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port Template" sheetId="1" r:id="rId5"/>
    <sheet state="visible" name="Control" sheetId="2" r:id="rId6"/>
    <sheet state="hidden" name="_RAW_STLY_Upsell" sheetId="3" r:id="rId7"/>
    <sheet state="visible" name="Property Config" sheetId="4" r:id="rId8"/>
    <sheet state="visible" name="YoY Aliases" sheetId="5" r:id="rId9"/>
    <sheet state="hidden" name="_RAW_AddOn" sheetId="6" r:id="rId10"/>
    <sheet state="hidden" name="_RAW_Upsell" sheetId="7" r:id="rId11"/>
    <sheet state="hidden" name="_RAW_STLY" sheetId="8" r:id="rId12"/>
    <sheet state="hidden" name="_RAW_CanaryStaff" sheetId="9" r:id="rId13"/>
    <sheet state="hidden" name="_RAW_CanaryMessages" sheetId="10" r:id="rId14"/>
    <sheet state="visible" name="Report" sheetId="11" r:id="rId1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Imported from: Upsell By Day %2F User_20260828133807.csv at Fri Aug 28 2026 09:42:28 GMT-0400 (Eastern Daylight Time)</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Imported from: Addon Production _20260828133748.csv at Fri Aug 28 2026 09:42:28 GMT-0400 (Eastern Daylight Time)</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Imported from: Upsell By Day %2F User_20260828133801.csv at Fri Aug 28 2026 09:42:28 GMT-0400 (Eastern Daylight Time)</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Imported from: Addon Production _20260828133751.csv at Fri Aug 28 2026 09:42:28 GMT-0400 (Eastern Daylight Time)</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Imported from: data_table_1 - 2026-08-28T094202.661.xlsx at Fri Aug 28 2026 09:42:28 GMT-0400 (Eastern Daylight Time)</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Imported from: data_table_2 (37).xlsx at Wed Aug 26 2026 15:31:55 GMT-0400 (Eastern Daylight Time)</t>
      </text>
    </comment>
  </commentList>
</comments>
</file>

<file path=xl/sharedStrings.xml><?xml version="1.0" encoding="utf-8"?>
<sst xmlns="http://schemas.openxmlformats.org/spreadsheetml/2006/main" count="12505" uniqueCount="3310">
  <si>
    <t>ANCILLARY REVENUE REPORT BUILDER</t>
  </si>
  <si>
    <t>Date</t>
  </si>
  <si>
    <t>REPORT SETTINGS</t>
  </si>
  <si>
    <t>User</t>
  </si>
  <si>
    <t>Channel</t>
  </si>
  <si>
    <t>Guest name</t>
  </si>
  <si>
    <t>From room type</t>
  </si>
  <si>
    <t>From level</t>
  </si>
  <si>
    <t>To room type</t>
  </si>
  <si>
    <t>To level</t>
  </si>
  <si>
    <t>Original rate price</t>
  </si>
  <si>
    <t>Upsell amount</t>
  </si>
  <si>
    <t>Property</t>
  </si>
  <si>
    <t>Nights</t>
  </si>
  <si>
    <t>Total amount</t>
  </si>
  <si>
    <t>Rajesh Kumar</t>
  </si>
  <si>
    <t>PMS</t>
  </si>
  <si>
    <t>JOSEPH DAVID STEM JOSEPH DAVID STEM</t>
  </si>
  <si>
    <t>King Bed City View</t>
  </si>
  <si>
    <t>Two Double Beds Partial Beach View</t>
  </si>
  <si>
    <t>Jordan Ramos</t>
  </si>
  <si>
    <t>PATRICIA MCGUINESS</t>
  </si>
  <si>
    <t>King Bed Interior View</t>
  </si>
  <si>
    <t>Allegria Hotel</t>
  </si>
  <si>
    <t>MICHAEL ROSENBLUM</t>
  </si>
  <si>
    <t>King Suite Partial Beachview</t>
  </si>
  <si>
    <t>Report Month</t>
  </si>
  <si>
    <t>MICHAEL EISENMENGER</t>
  </si>
  <si>
    <t>Accessible Two Double Beds Oceanfront</t>
  </si>
  <si>
    <t>Enter the first day of the month you are reporting</t>
  </si>
  <si>
    <t>Drive Folder ID</t>
  </si>
  <si>
    <t>Melanie Henderson</t>
  </si>
  <si>
    <t>1ydctHQupK1ecdaLoj1VLiB-O-R2eH0Ap</t>
  </si>
  <si>
    <t>Olga Laszczych</t>
  </si>
  <si>
    <t>Two Double Beds Oceanfront</t>
  </si>
  <si>
    <t>STLY Month</t>
  </si>
  <si>
    <t>Danielle Sidi</t>
  </si>
  <si>
    <t>Lori Stevens</t>
  </si>
  <si>
    <t>Two Double Beds Interior View</t>
  </si>
  <si>
    <t>WEB</t>
  </si>
  <si>
    <t>JOAN GERBASI</t>
  </si>
  <si>
    <t>Accessible Junior Suite Two Double Beds Oceanfront</t>
  </si>
  <si>
    <t>Neal Veta</t>
  </si>
  <si>
    <t>Kevin Hakimi</t>
  </si>
  <si>
    <t>Alisa Fletcher</t>
  </si>
  <si>
    <t>Adam Goodstone</t>
  </si>
  <si>
    <t>Lezlie Wright</t>
  </si>
  <si>
    <t>THOMAS ZAKRZEWSKI</t>
  </si>
  <si>
    <t>Accessible Junior Suite Interior View</t>
  </si>
  <si>
    <t>Accessible King Suite Partial Beachview</t>
  </si>
  <si>
    <t>Taylor Galloway</t>
  </si>
  <si>
    <t>Pinchus Grosz</t>
  </si>
  <si>
    <t>King Bed Partial Beach View</t>
  </si>
  <si>
    <t>Maranda Ficklin</t>
  </si>
  <si>
    <t>Folder should contain the monthly exports</t>
  </si>
  <si>
    <t>Jeff Ferraris</t>
  </si>
  <si>
    <t>Derrick Goodmond</t>
  </si>
  <si>
    <t>serena romero</t>
  </si>
  <si>
    <t>FILE NAME CONTAINS</t>
  </si>
  <si>
    <t>SNT Add On Production</t>
  </si>
  <si>
    <t>Addon Production</t>
  </si>
  <si>
    <t>Marissa Rudolph</t>
  </si>
  <si>
    <t>SNT Upsell By Day/User</t>
  </si>
  <si>
    <t>Upsell By Day</t>
  </si>
  <si>
    <t>Jared Rudolph</t>
  </si>
  <si>
    <t>Historical Canary Upsells</t>
  </si>
  <si>
    <t>2025 Upsells</t>
  </si>
  <si>
    <t>Vlad Gutkovich</t>
  </si>
  <si>
    <t>Canary Message Count by Staff</t>
  </si>
  <si>
    <t>data_table_1</t>
  </si>
  <si>
    <t>Canary All Messages</t>
  </si>
  <si>
    <t>Linda Martin</t>
  </si>
  <si>
    <t>SNT JOURNAL â€” enter the actual monthly revenue</t>
  </si>
  <si>
    <t>Sarah Pitrus</t>
  </si>
  <si>
    <t>1030 Early Check In Fee</t>
  </si>
  <si>
    <t>1031 Late Check Out Fee</t>
  </si>
  <si>
    <t>Silvana Gavidia</t>
  </si>
  <si>
    <t>King Bed Oceanfront</t>
  </si>
  <si>
    <t>Kevin Farrell</t>
  </si>
  <si>
    <t>lynn PERSAUD2</t>
  </si>
  <si>
    <t>Shaindy Censor</t>
  </si>
  <si>
    <t>STLY 1030 Early Check In Fee</t>
  </si>
  <si>
    <t>Gregory Buckley</t>
  </si>
  <si>
    <t>GRZEGORZMR MIKSZTA</t>
  </si>
  <si>
    <t>ELLIOT ANGEL</t>
  </si>
  <si>
    <t>Accessible King Bed Oceanfront</t>
  </si>
  <si>
    <t>FRIEDA vandelpool</t>
  </si>
  <si>
    <t>Beayonna Winston</t>
  </si>
  <si>
    <t>One Bedroom King Suite Oceanfront</t>
  </si>
  <si>
    <t>Alisha Thomas</t>
  </si>
  <si>
    <t>STEFFEN ABIGAI</t>
  </si>
  <si>
    <t>DONOFRIO MATTHEW</t>
  </si>
  <si>
    <t>TAVARE STEVEN</t>
  </si>
  <si>
    <t>ABHISHEK K K SHAH</t>
  </si>
  <si>
    <t>LUZ HERNANDEZ</t>
  </si>
  <si>
    <t>Rule Type</t>
  </si>
  <si>
    <t>CARINA MARIA VORLENHEINZE</t>
  </si>
  <si>
    <t>Source Name / Pattern</t>
  </si>
  <si>
    <t>Report Name</t>
  </si>
  <si>
    <t>Notes</t>
  </si>
  <si>
    <t>STLY 1031 Late Check Out Fee</t>
  </si>
  <si>
    <t>GUARCHAJ byron tzoc guarchaj, ixchel tzoc bonilla, jessica bonilla, quetzalhuitzilli tzoc bonilla BYRON TZOC</t>
  </si>
  <si>
    <t>Ashworth by the Sea</t>
  </si>
  <si>
    <t>CANARY INSIGHTS â€” enter values shown for the report month</t>
  </si>
  <si>
    <t>Total Messages</t>
  </si>
  <si>
    <t>CLEMENTE ESTELA U</t>
  </si>
  <si>
    <t>OPERATIONAL</t>
  </si>
  <si>
    <t>Parking Fee</t>
  </si>
  <si>
    <t>Keep separate from main ancillary table</t>
  </si>
  <si>
    <t>Guest Messages</t>
  </si>
  <si>
    <t>Hotel Messages</t>
  </si>
  <si>
    <t>LIPSIT GARRETT</t>
  </si>
  <si>
    <t>% Guests Messaged</t>
  </si>
  <si>
    <t>Resort Fee- $25</t>
  </si>
  <si>
    <t>Nina Andon-McLane</t>
  </si>
  <si>
    <t>Booking.com $25 Resort Fee Non-Taxable</t>
  </si>
  <si>
    <t>Marsha Carolina</t>
  </si>
  <si>
    <t>Booking.com $20 Resort Fee Non-Taxable</t>
  </si>
  <si>
    <t>Response Rate</t>
  </si>
  <si>
    <t>Eiad Hamdan</t>
  </si>
  <si>
    <t>Avg Minutes to Respond</t>
  </si>
  <si>
    <t>Booking.com Resort Fee ADJUSTMENT -$5</t>
  </si>
  <si>
    <t>Median Minutes to Respond</t>
  </si>
  <si>
    <t>Waive Parking Fee</t>
  </si>
  <si>
    <t>Irene Scala</t>
  </si>
  <si>
    <t>Two Double Beds City View</t>
  </si>
  <si>
    <t>Waive Resort Fee</t>
  </si>
  <si>
    <t>STLY CANARY INSIGHTS â€” enter prior-year values</t>
  </si>
  <si>
    <t>ITEMIZED</t>
  </si>
  <si>
    <t>1pm Early Check-in</t>
  </si>
  <si>
    <t>Erica Baker</t>
  </si>
  <si>
    <t>Diagnostic table only</t>
  </si>
  <si>
    <t>2pm Early Check-in</t>
  </si>
  <si>
    <t>1pm Late Check Out</t>
  </si>
  <si>
    <t>2pm Late Check-out</t>
  </si>
  <si>
    <t>JOURNAL</t>
  </si>
  <si>
    <t>Early Check In</t>
  </si>
  <si>
    <t>Galyean Dawn</t>
  </si>
  <si>
    <t>Official revenue from SNT Journal</t>
  </si>
  <si>
    <t>ENGAGEMENT RATE â€” enter the hover values from Canary</t>
  </si>
  <si>
    <t>Late Checkout</t>
  </si>
  <si>
    <t>Chris DiCecco</t>
  </si>
  <si>
    <t>Very Early Check In</t>
  </si>
  <si>
    <t>Very Late Checkout</t>
  </si>
  <si>
    <t>SNT screen may label this Very Late Check-In</t>
  </si>
  <si>
    <t>Peter Delalio</t>
  </si>
  <si>
    <t>ROOM_UPGRADE</t>
  </si>
  <si>
    <t>*</t>
  </si>
  <si>
    <t>Rate</t>
  </si>
  <si>
    <t>Room Upgrade</t>
  </si>
  <si>
    <t>Use SNT Upsell report for detailed views</t>
  </si>
  <si>
    <t>Michael deLalio</t>
  </si>
  <si>
    <t>Ruben Bardales</t>
  </si>
  <si>
    <t>Randall Joseph Diederich</t>
  </si>
  <si>
    <t>john MUNSON</t>
  </si>
  <si>
    <t>Enrico Zollo</t>
  </si>
  <si>
    <t>Christopher Mercuri</t>
  </si>
  <si>
    <t>Sioban Wynne</t>
  </si>
  <si>
    <t>Jack Riccio</t>
  </si>
  <si>
    <t>Denise riccio</t>
  </si>
  <si>
    <t>Philip Peterson</t>
  </si>
  <si>
    <t>Sarah Vakkas</t>
  </si>
  <si>
    <t>Eileen Hsu</t>
  </si>
  <si>
    <t>TONYA WILLIAMS</t>
  </si>
  <si>
    <t>Angel Reyes</t>
  </si>
  <si>
    <t>Katelyn Clancy</t>
  </si>
  <si>
    <t>caroline Collins</t>
  </si>
  <si>
    <t>Denise Maratea</t>
  </si>
  <si>
    <t>Erika Rosenberg</t>
  </si>
  <si>
    <t>Eileen Donnelly</t>
  </si>
  <si>
    <t>Diego Hernandez</t>
  </si>
  <si>
    <t>ORA Charm</t>
  </si>
  <si>
    <t>giuseppe careddu</t>
  </si>
  <si>
    <t>Brian Baker</t>
  </si>
  <si>
    <t>URL</t>
  </si>
  <si>
    <t>miguel mieles</t>
  </si>
  <si>
    <t>Carole Johnson</t>
  </si>
  <si>
    <t>Amy Curry</t>
  </si>
  <si>
    <t xml:space="preserve">George  Glenday </t>
  </si>
  <si>
    <t>Jamie Lazar</t>
  </si>
  <si>
    <t>Stephanie Gonterman</t>
  </si>
  <si>
    <t>Rebecca King</t>
  </si>
  <si>
    <t>Joe Derov</t>
  </si>
  <si>
    <t>Anne Baxter</t>
  </si>
  <si>
    <t>Aileen Mcguire</t>
  </si>
  <si>
    <t>Melissa Last</t>
  </si>
  <si>
    <t>Edith Adams</t>
  </si>
  <si>
    <t>Anna Mosley</t>
  </si>
  <si>
    <t>Accessible Junior Suite City View</t>
  </si>
  <si>
    <t>Laura Atkinson</t>
  </si>
  <si>
    <t>Missy Buchanan</t>
  </si>
  <si>
    <t>Lindsey Karman</t>
  </si>
  <si>
    <t>Artur Mavashev</t>
  </si>
  <si>
    <t>Gerrit Besselar</t>
  </si>
  <si>
    <t>Parker Armsby</t>
  </si>
  <si>
    <t>Charles Rahilly</t>
  </si>
  <si>
    <t>Lucia Leo</t>
  </si>
  <si>
    <t>Ruth Post</t>
  </si>
  <si>
    <t>Joanne Pradella</t>
  </si>
  <si>
    <t>Anna Dee</t>
  </si>
  <si>
    <t>Scott Chmela</t>
  </si>
  <si>
    <t>Jason Kessler</t>
  </si>
  <si>
    <t>Matthew Strober</t>
  </si>
  <si>
    <t>Erica Zohn</t>
  </si>
  <si>
    <t>Shari Kaplan</t>
  </si>
  <si>
    <t>Paul Oken</t>
  </si>
  <si>
    <t>Mindy Fischer</t>
  </si>
  <si>
    <t>Nicole Redd</t>
  </si>
  <si>
    <t>B Mark Hilton</t>
  </si>
  <si>
    <t>Jeanette Fernandez</t>
  </si>
  <si>
    <t>John Mcleod</t>
  </si>
  <si>
    <t>Tatianna Fordd</t>
  </si>
  <si>
    <t>trine nyaagard</t>
  </si>
  <si>
    <t>David Barker</t>
  </si>
  <si>
    <t>Ken Anderson</t>
  </si>
  <si>
    <t>GOPALAN VANYA MISS</t>
  </si>
  <si>
    <t>PATEL MEERA</t>
  </si>
  <si>
    <t>Nicholas Sipp</t>
  </si>
  <si>
    <t>Richard French</t>
  </si>
  <si>
    <t>BIRGIT LARSEN HANNE</t>
  </si>
  <si>
    <t>danna small</t>
  </si>
  <si>
    <t>SOMANPRABHA SAJUBHASKAR</t>
  </si>
  <si>
    <t>Donald Ross</t>
  </si>
  <si>
    <t>Junior Suite City View</t>
  </si>
  <si>
    <t>ART ARIENO</t>
  </si>
  <si>
    <t>Current-Year Name</t>
  </si>
  <si>
    <t>STLY Name</t>
  </si>
  <si>
    <t>Carole  Tondi</t>
  </si>
  <si>
    <t>Pet Fee</t>
  </si>
  <si>
    <t>Bring your furry friend</t>
  </si>
  <si>
    <t>Known name change</t>
  </si>
  <si>
    <t>Cheese &amp; Cracker Tray</t>
  </si>
  <si>
    <t>Cheese and Cracker Tray</t>
  </si>
  <si>
    <t>Known punctuation/name change</t>
  </si>
  <si>
    <t>Craig Cahoon</t>
  </si>
  <si>
    <t>David Hill</t>
  </si>
  <si>
    <t>Cookies &amp; Milk</t>
  </si>
  <si>
    <t>Hadiqah Khan</t>
  </si>
  <si>
    <t>Cookies and Milk</t>
  </si>
  <si>
    <t>Joseph Tipograph</t>
  </si>
  <si>
    <t>Bottle of Champagne</t>
  </si>
  <si>
    <t>Exact match</t>
  </si>
  <si>
    <t>Early Check-in</t>
  </si>
  <si>
    <t>Stuart Tipograph</t>
  </si>
  <si>
    <t>Juan Silva</t>
  </si>
  <si>
    <t>Cheryl Siperstein</t>
  </si>
  <si>
    <t>Exact/normalized match</t>
  </si>
  <si>
    <t>NATASHA THOMPSON</t>
  </si>
  <si>
    <t>Very Early Check-in</t>
  </si>
  <si>
    <t>Felipe Augusto Ribeiro</t>
  </si>
  <si>
    <t>CHRISTOPHER LARKIN CHRISTOPHER LARKIN</t>
  </si>
  <si>
    <t>Sharon Tirbani</t>
  </si>
  <si>
    <t>Shawnna Jannah</t>
  </si>
  <si>
    <t>Remby Remby</t>
  </si>
  <si>
    <t>Chris Cornelli</t>
  </si>
  <si>
    <t>Wendy Wismer</t>
  </si>
  <si>
    <t>MARIE HANNIGAN</t>
  </si>
  <si>
    <t>AnneMarie DeRicco</t>
  </si>
  <si>
    <t>LYNN MONDELLO</t>
  </si>
  <si>
    <t>Junior Suite Interior View</t>
  </si>
  <si>
    <t>Jessica Segura</t>
  </si>
  <si>
    <t>Jonathan Paxson</t>
  </si>
  <si>
    <t>Karen Cohen</t>
  </si>
  <si>
    <t>Bekki Petrucci</t>
  </si>
  <si>
    <t>Sally Baron</t>
  </si>
  <si>
    <t>Gary Cusano</t>
  </si>
  <si>
    <t>Daniel Orvets</t>
  </si>
  <si>
    <t>Steve Lewis</t>
  </si>
  <si>
    <t>Sherri Zabko-McGuire</t>
  </si>
  <si>
    <t>Carine Sabourin</t>
  </si>
  <si>
    <t>Laine Whitaker</t>
  </si>
  <si>
    <t>Thomas Bracken</t>
  </si>
  <si>
    <t>Donald Kendall</t>
  </si>
  <si>
    <t>Eric Perez</t>
  </si>
  <si>
    <t>Hillary Post</t>
  </si>
  <si>
    <t>Date Range</t>
  </si>
  <si>
    <t>Sindy Vega</t>
  </si>
  <si>
    <t>Total number</t>
  </si>
  <si>
    <t>Total Revenue</t>
  </si>
  <si>
    <t>Average revenue</t>
  </si>
  <si>
    <t>Toby Barsky</t>
  </si>
  <si>
    <t>2026-07-01 - 2026-07-31</t>
  </si>
  <si>
    <t>Total Count</t>
  </si>
  <si>
    <t>MYEONGJA HEO</t>
  </si>
  <si>
    <t>Mary Anne Schneider</t>
  </si>
  <si>
    <t>Tara Powers</t>
  </si>
  <si>
    <t>Thomas Montgomery</t>
  </si>
  <si>
    <t>LARRY ALBIN</t>
  </si>
  <si>
    <t>Shawnakaye Okpala</t>
  </si>
  <si>
    <t>LakishaM StHillB</t>
  </si>
  <si>
    <t>At The Movies</t>
  </si>
  <si>
    <t>LakishaM StHillA</t>
  </si>
  <si>
    <t>Rolphid LespinasseA</t>
  </si>
  <si>
    <t>GREG SLANSKY</t>
  </si>
  <si>
    <t>Rachel Keneston</t>
  </si>
  <si>
    <t>Alana Levy</t>
  </si>
  <si>
    <t>agarbermd agarbermd</t>
  </si>
  <si>
    <t>Angel Collazo</t>
  </si>
  <si>
    <t>Claudia-Jade lauze-olivier</t>
  </si>
  <si>
    <t>Richard Sautner</t>
  </si>
  <si>
    <t>Bubbles &amp; Bon Bon's</t>
  </si>
  <si>
    <t>SHU WENG LAN</t>
  </si>
  <si>
    <t>Jonghee Caldararo</t>
  </si>
  <si>
    <t>Ashworth Upsell Overview - July</t>
  </si>
  <si>
    <t>christine murray</t>
  </si>
  <si>
    <t>McHale Tom</t>
  </si>
  <si>
    <t>Todd Herold</t>
  </si>
  <si>
    <t>Cards &amp; Cookies</t>
  </si>
  <si>
    <t>Yunuskhodjaeva Shakhlo</t>
  </si>
  <si>
    <t>Christiane Wallenhauer</t>
  </si>
  <si>
    <t>Tara Fisher</t>
  </si>
  <si>
    <t>Leslie Saint-Julien</t>
  </si>
  <si>
    <t>Check-In &amp; Cheers</t>
  </si>
  <si>
    <t>Ashworth Messaging Overview - July</t>
  </si>
  <si>
    <t>Natalia Ermashova</t>
  </si>
  <si>
    <t>LYNDON FREEDMAN</t>
  </si>
  <si>
    <t>Goldner Vera</t>
  </si>
  <si>
    <t>Early Check In - 12pm - 3pm</t>
  </si>
  <si>
    <t>Justine Perillo</t>
  </si>
  <si>
    <t>Muhammad Haq</t>
  </si>
  <si>
    <t>Naomi Schoenkin</t>
  </si>
  <si>
    <t>Name</t>
  </si>
  <si>
    <t>Walter Rua</t>
  </si>
  <si>
    <t>Barry Marks</t>
  </si>
  <si>
    <t>nicholas DiBlasio</t>
  </si>
  <si>
    <t>Rose Devine</t>
  </si>
  <si>
    <t>Early Check In - 7am - 12pm</t>
  </si>
  <si>
    <t>Dan Papandrea</t>
  </si>
  <si>
    <t>Accesible King Bed City View</t>
  </si>
  <si>
    <t>Christian Reyes</t>
  </si>
  <si>
    <t>Labbat John Paul</t>
  </si>
  <si>
    <t>Louis Gallo</t>
  </si>
  <si>
    <t>Peter Trout</t>
  </si>
  <si>
    <t>Sandrine Daly</t>
  </si>
  <si>
    <t>SCOTT GRAY</t>
  </si>
  <si>
    <t>Exclusive Birthday Celebration Package</t>
  </si>
  <si>
    <t>TIFFANY SHATZKES</t>
  </si>
  <si>
    <t>BARTOLO CAMILLA</t>
  </si>
  <si>
    <t>Joseph Ingardia</t>
  </si>
  <si>
    <t>GARCIAARBEJ FERNANDO</t>
  </si>
  <si>
    <t>Topic</t>
  </si>
  <si>
    <t>YVONNE POSTLER</t>
  </si>
  <si>
    <t>Mentions</t>
  </si>
  <si>
    <t>% of Guest Messages</t>
  </si>
  <si>
    <t>OZOUDE CHUKWUEMEKA</t>
  </si>
  <si>
    <t xml:space="preserve">Late Checkout </t>
  </si>
  <si>
    <t>Dominique brichard</t>
  </si>
  <si>
    <t>Arrival &amp; Early Check-In Requests</t>
  </si>
  <si>
    <t>Make It a Proper Morning — Breakfast for Two</t>
  </si>
  <si>
    <t>Priya Rai</t>
  </si>
  <si>
    <t>Nolan Grush</t>
  </si>
  <si>
    <t>Thank You / Positive Feedback</t>
  </si>
  <si>
    <t>Very Late Check Out</t>
  </si>
  <si>
    <t>Room Requests &amp; Preferences</t>
  </si>
  <si>
    <t>Trey Sikahema</t>
  </si>
  <si>
    <t>CROMWELL BAUN</t>
  </si>
  <si>
    <t>Deluxe Room One King Bed Side Balcony</t>
  </si>
  <si>
    <t>Pack'n'Play - Crib</t>
  </si>
  <si>
    <t>KIMBERLEEMRS CALDWELL</t>
  </si>
  <si>
    <t>NICHOLE LOUISE HORSLEY</t>
  </si>
  <si>
    <t>Reservation / Booking Questions</t>
  </si>
  <si>
    <t>DANIEL MORRISSEY</t>
  </si>
  <si>
    <t>BRIGITTE FRIDA ACER</t>
  </si>
  <si>
    <t>General Property &amp; Amenity Questions</t>
  </si>
  <si>
    <t>Deluxe Room Two Queen Beds Side Balcony</t>
  </si>
  <si>
    <t>CHERIE SANES</t>
  </si>
  <si>
    <t>Picnic Box to Go (For 2)</t>
  </si>
  <si>
    <t>LIA Wallick</t>
  </si>
  <si>
    <t>Parking &amp; Arrival Logistics</t>
  </si>
  <si>
    <t>Jacob Teller</t>
  </si>
  <si>
    <t>Chocolate Covered Strawberries</t>
  </si>
  <si>
    <t>Checkout / Departure Requests</t>
  </si>
  <si>
    <t>Steve Scutellaro</t>
  </si>
  <si>
    <t>Accessible Oceanfront Room One King Bed Balcony</t>
  </si>
  <si>
    <t>Isabela Macher</t>
  </si>
  <si>
    <t>Ronald Williams</t>
  </si>
  <si>
    <t>Staff Name</t>
  </si>
  <si>
    <t>Mohamed Mohamed</t>
  </si>
  <si>
    <t>Relax &amp; Revel until 1pm</t>
  </si>
  <si>
    <t>Room Upgrades Produced</t>
  </si>
  <si>
    <t>Revenue Produced</t>
  </si>
  <si>
    <t>MATTHEW PEREZ MATTHEW PEREZ</t>
  </si>
  <si>
    <t>Housekeeping &amp; In-Room Supplies</t>
  </si>
  <si>
    <t>HAITHAM HISHAM J ALIM</t>
  </si>
  <si>
    <t>Carolyne Wedelstaedt</t>
  </si>
  <si>
    <t>Relax &amp; Revel until 2pm</t>
  </si>
  <si>
    <t>Sarah Lebel</t>
  </si>
  <si>
    <t>Bucket of Beers</t>
  </si>
  <si>
    <t>Andrew Fare</t>
  </si>
  <si>
    <t>Joshua Gehman</t>
  </si>
  <si>
    <t>MARK STEVEN KAILA</t>
  </si>
  <si>
    <t>James Huesa</t>
  </si>
  <si>
    <t>Jasonn Williams</t>
  </si>
  <si>
    <t>Ashworth Oceanfront Room One King Bed Balcony</t>
  </si>
  <si>
    <t>NADINE SHEPHEARD</t>
  </si>
  <si>
    <t>Rollaway Bed</t>
  </si>
  <si>
    <t>KERRY DETHOMASIS</t>
  </si>
  <si>
    <t>cheri halberstadt</t>
  </si>
  <si>
    <t>Susanna Frogiero</t>
  </si>
  <si>
    <t>Water Country Tickets</t>
  </si>
  <si>
    <t>Danielle Vouyoukliotis (Citrolo)</t>
  </si>
  <si>
    <t>Fernando Amaya</t>
  </si>
  <si>
    <t>JOSHUA RYAN GIGGER JOSHUA RYAN GIGGER</t>
  </si>
  <si>
    <t>Bottle of Red Wine</t>
  </si>
  <si>
    <t>Jolene Wood</t>
  </si>
  <si>
    <t>LINDA NAYKENE LINDA NAYKENE</t>
  </si>
  <si>
    <t>JOSHUA RYAN GIGGER</t>
  </si>
  <si>
    <t>Romance Getaway Package</t>
  </si>
  <si>
    <t>Rick Oakley</t>
  </si>
  <si>
    <t>ERIN MELISSA ERIN MELISSA</t>
  </si>
  <si>
    <t>Oceanfront Room One King Bed Balcony</t>
  </si>
  <si>
    <t>ANTONIO M WRIGHT ANTONIO M WRIGHT</t>
  </si>
  <si>
    <t>BRAHIM ALAI BRAHIM ALAI</t>
  </si>
  <si>
    <t>Rita Hocker</t>
  </si>
  <si>
    <t>RACHAEL TULLY RACHAEL TULLY</t>
  </si>
  <si>
    <t xml:space="preserve">Romance Getaway Room Package </t>
  </si>
  <si>
    <t>CAROLINA REYES WOLTER CAROLINA REYES WOLTER</t>
  </si>
  <si>
    <t>Ryan Cunningham</t>
  </si>
  <si>
    <t>OLUFELA AYOTOMIWA AYODELE OLUFELA AYOTOMIWA AYODELE</t>
  </si>
  <si>
    <t>JUL 2026</t>
  </si>
  <si>
    <t>RACHIDA ELDEEB RACHIDA ELDEEB</t>
  </si>
  <si>
    <t>KAYLA ANTOINETTE KAYLA ANTOINETTE</t>
  </si>
  <si>
    <t>STLY</t>
  </si>
  <si>
    <t>YoY</t>
  </si>
  <si>
    <t>Oceanfront Room Two Queen Beds Balcony</t>
  </si>
  <si>
    <t>GARY EMERSON EUBANK GARY EMERSON EUBANK</t>
  </si>
  <si>
    <t>Room Upgrade $100</t>
  </si>
  <si>
    <t>AVERY JULIAN AVERY JULIAN</t>
  </si>
  <si>
    <t>Tammy Smith</t>
  </si>
  <si>
    <t>SEBASTIAN CHARLES HANTZ SEBASTIAN CHARLES HANTZ</t>
  </si>
  <si>
    <t>Donna Estupinan</t>
  </si>
  <si>
    <t>Kavitha Ram</t>
  </si>
  <si>
    <t>Executive King Suite Oceanfront</t>
  </si>
  <si>
    <t>Room Upgrade $50</t>
  </si>
  <si>
    <t>Pizza Voucher</t>
  </si>
  <si>
    <t>Benjamin Pratico</t>
  </si>
  <si>
    <t># of messages guest sent</t>
  </si>
  <si>
    <t>Valet Parking Room Package</t>
  </si>
  <si>
    <t>Aaron Fruchter</t>
  </si>
  <si>
    <t>TOTALS</t>
  </si>
  <si>
    <t>Terry Dawson</t>
  </si>
  <si>
    <t>Andrew Malamud</t>
  </si>
  <si>
    <t>Pippa Bagley</t>
  </si>
  <si>
    <t>James Spilsbury</t>
  </si>
  <si>
    <t>Michael Janus</t>
  </si>
  <si>
    <t>Sueanna Mckay</t>
  </si>
  <si>
    <t>George  Katz</t>
  </si>
  <si>
    <t>Rivka Matan</t>
  </si>
  <si>
    <t># of messages hotel sent</t>
  </si>
  <si>
    <t>Michael Marks</t>
  </si>
  <si>
    <t>Jaclyn Conklin</t>
  </si>
  <si>
    <t>Room Level Increase</t>
  </si>
  <si>
    <t>Jillian Auteri</t>
  </si>
  <si>
    <t>Waive $55 Resort Fee (Incl Tax)</t>
  </si>
  <si>
    <t>Count</t>
  </si>
  <si>
    <t>Nicholas  Flaherty</t>
  </si>
  <si>
    <t>% of your guests that sent a message</t>
  </si>
  <si>
    <t>Patricia Bonbetre</t>
  </si>
  <si>
    <t>Mary Cawley</t>
  </si>
  <si>
    <t>Glenn Gistis</t>
  </si>
  <si>
    <t>Jerry Tom</t>
  </si>
  <si>
    <t>Revenue Requested $</t>
  </si>
  <si>
    <t>Revenue Approved $</t>
  </si>
  <si>
    <t>Revenue Denied $</t>
  </si>
  <si>
    <t>Revenue Expired $</t>
  </si>
  <si>
    <t>1+</t>
  </si>
  <si>
    <t>Richard Wolfington</t>
  </si>
  <si>
    <t>Bonnie Catalfamo</t>
  </si>
  <si>
    <t>MATTHEW ESPOSITO</t>
  </si>
  <si>
    <t>DePinto Joe</t>
  </si>
  <si>
    <t>2025-07-01 - 2025-07-31</t>
  </si>
  <si>
    <t>Steven Weiss</t>
  </si>
  <si>
    <t>Sabrina Artura</t>
  </si>
  <si>
    <t>Chad Anderson</t>
  </si>
  <si>
    <t>Michael Morgan</t>
  </si>
  <si>
    <t>Michael  Stromberg</t>
  </si>
  <si>
    <t>Quentin Sengun</t>
  </si>
  <si>
    <t>Bradlyn Matican</t>
  </si>
  <si>
    <t>2+</t>
  </si>
  <si>
    <t>Average minutes to respond</t>
  </si>
  <si>
    <t>James Kelly</t>
  </si>
  <si>
    <t>Geredine Charles</t>
  </si>
  <si>
    <t>KATELYN CUNNINGHAM</t>
  </si>
  <si>
    <t>Renata Hlaváčová</t>
  </si>
  <si>
    <t>Beatriz Cole</t>
  </si>
  <si>
    <t>Lindsey Cifuni</t>
  </si>
  <si>
    <t>ROBIN A GAYER</t>
  </si>
  <si>
    <t>Christopher Wise</t>
  </si>
  <si>
    <t>John Argonish</t>
  </si>
  <si>
    <t>Bradford Crute</t>
  </si>
  <si>
    <t>Hugo Falque</t>
  </si>
  <si>
    <t>Linda McCann</t>
  </si>
  <si>
    <t>Kathleen Witkowski</t>
  </si>
  <si>
    <t>Alexa Varela</t>
  </si>
  <si>
    <t>Hold KATZ</t>
  </si>
  <si>
    <t>CORAL SCOVNER</t>
  </si>
  <si>
    <t>Caleb Brittain</t>
  </si>
  <si>
    <t>Jacob Abrams</t>
  </si>
  <si>
    <t>Nicholas Dalia</t>
  </si>
  <si>
    <t>Median minutes to respond</t>
  </si>
  <si>
    <t>kelly james kelly hold</t>
  </si>
  <si>
    <t>Michael Thomson</t>
  </si>
  <si>
    <t>$75 Food &amp; Beverage Credit for $60!</t>
  </si>
  <si>
    <t>Donna Paggi</t>
  </si>
  <si>
    <t>Regina Cregin</t>
  </si>
  <si>
    <t>$30 Food &amp; Beverage Credit for $20!</t>
  </si>
  <si>
    <t>Angella Manganiello</t>
  </si>
  <si>
    <t>Julie Taparia</t>
  </si>
  <si>
    <t>Messages</t>
  </si>
  <si>
    <t>MEEGHAN MULLIN</t>
  </si>
  <si>
    <t>Engagement Rate</t>
  </si>
  <si>
    <t>Champagne and Chocolate Covered Strawberries</t>
  </si>
  <si>
    <t>Semal Khalil</t>
  </si>
  <si>
    <t>AI Messaging Assistant</t>
  </si>
  <si>
    <t>Israfil Yusibov</t>
  </si>
  <si>
    <t>Lillian Carolina</t>
  </si>
  <si>
    <t>Vijay NP</t>
  </si>
  <si>
    <t>Kiosk 1</t>
  </si>
  <si>
    <t>KIOSK</t>
  </si>
  <si>
    <t>Arseny Klekovkin</t>
  </si>
  <si>
    <t>Danielle Lembo</t>
  </si>
  <si>
    <t>Daily Breakfast Buffet - Prior to Check-In</t>
  </si>
  <si>
    <t>Dara Baker</t>
  </si>
  <si>
    <t>Susan Werth</t>
  </si>
  <si>
    <t>HOLD JASON SCHOEN</t>
  </si>
  <si>
    <t>Ocean Front, 2 Queen Beds, Balcony</t>
  </si>
  <si>
    <t>Shukhrat Mirsaidov</t>
  </si>
  <si>
    <t>Emily Bencal</t>
  </si>
  <si>
    <t>Hold RB</t>
  </si>
  <si>
    <t>Patricia Hurgoiu</t>
  </si>
  <si>
    <t>Leslie Meau</t>
  </si>
  <si>
    <t>Ashworth Ocean Front, 1 King Bed, Balcony</t>
  </si>
  <si>
    <t>Martin Baigorria Alonso</t>
  </si>
  <si>
    <t>Leonard Singer</t>
  </si>
  <si>
    <t>Ocean Front, 1 King Bed, Balcony</t>
  </si>
  <si>
    <t>hold blocking overbook</t>
  </si>
  <si>
    <t>Operational Theme</t>
  </si>
  <si>
    <t>Rock Band Room, Ocean Front, 1 King Bed</t>
  </si>
  <si>
    <t>Parking / Access Issues</t>
  </si>
  <si>
    <t>Judy Brown</t>
  </si>
  <si>
    <t>Summer Cottage</t>
  </si>
  <si>
    <t>Marcelo Chacon</t>
  </si>
  <si>
    <t>HVAC / Temperature Concerns</t>
  </si>
  <si>
    <t>Theresa Marangoudakis</t>
  </si>
  <si>
    <t>Housekeeping / Service Issues</t>
  </si>
  <si>
    <t>Daniel Colllier Houston</t>
  </si>
  <si>
    <t>MAMATMUROTOV ELDOR</t>
  </si>
  <si>
    <t>Anthony Lee</t>
  </si>
  <si>
    <t>Davron Rakhmatullaev</t>
  </si>
  <si>
    <t>Room Condition / Cleanliness Concerns</t>
  </si>
  <si>
    <t>Ulrich Ramos</t>
  </si>
  <si>
    <t>Variance</t>
  </si>
  <si>
    <t>Billy Scott</t>
  </si>
  <si>
    <t>Water / Plumbing Issues</t>
  </si>
  <si>
    <t>Andrea Chen</t>
  </si>
  <si>
    <t>Gerry Busillo</t>
  </si>
  <si>
    <t>Sharon Dolan</t>
  </si>
  <si>
    <t>Sandra Lorenzo</t>
  </si>
  <si>
    <t>Julia Murtagh</t>
  </si>
  <si>
    <t>Cristina Lasierra Fondevila</t>
  </si>
  <si>
    <t>Suzanne Cunningham</t>
  </si>
  <si>
    <t>Catherine Cross</t>
  </si>
  <si>
    <t>JESSICA ALLEN</t>
  </si>
  <si>
    <t>D D</t>
  </si>
  <si>
    <t>Lanay Reyes</t>
  </si>
  <si>
    <t>Tracy McElhinney</t>
  </si>
  <si>
    <t>Jason Montero</t>
  </si>
  <si>
    <t>Terrence Rose</t>
  </si>
  <si>
    <t>MICHAEL ALLARE</t>
  </si>
  <si>
    <t>mikhial podgayetsky</t>
  </si>
  <si>
    <t>Tony Vozzolo</t>
  </si>
  <si>
    <t>Maria Torres</t>
  </si>
  <si>
    <t>Francesco Fiera</t>
  </si>
  <si>
    <t>Ashley Baglieri</t>
  </si>
  <si>
    <t>Kelley Detweiler</t>
  </si>
  <si>
    <t>CLAUDIA RUIZ PALOMINO</t>
  </si>
  <si>
    <t>CHERYL DEWAR</t>
  </si>
  <si>
    <t>LAKEESHA MARIE GRANT</t>
  </si>
  <si>
    <t>Mark Forlenza</t>
  </si>
  <si>
    <t>Stephen Glassberg</t>
  </si>
  <si>
    <t>Ariana Artura</t>
  </si>
  <si>
    <t xml:space="preserve">Mary Blair </t>
  </si>
  <si>
    <t>Rachel Hoban</t>
  </si>
  <si>
    <t>FREY GEORGE FREY GEORGE</t>
  </si>
  <si>
    <t>MAVERICK EWALD MAVERICK EWALD</t>
  </si>
  <si>
    <t>LUCAS BRANDON LUCAS BRANDON</t>
  </si>
  <si>
    <t>EDOUARD MR DENISJR EDOUARD MR DENISJR</t>
  </si>
  <si>
    <t>BASSEL CHAMSEDDINE BASSEL CHAMSEDDINE</t>
  </si>
  <si>
    <t>MARION ELIZABETH</t>
  </si>
  <si>
    <t>NIKOLINA JURISIC NIKOLINA JURISIC</t>
  </si>
  <si>
    <t>AARON JUNTUNEN AARON JUNTUNEN</t>
  </si>
  <si>
    <t>Eddie Nieto</t>
  </si>
  <si>
    <t>Matthew Flood</t>
  </si>
  <si>
    <t>LAYLA NUCHO LAYLA NUCHO</t>
  </si>
  <si>
    <t>Distressed Passengers</t>
  </si>
  <si>
    <t>AMY NOE AMY NOE</t>
  </si>
  <si>
    <t>STEVEN CORTEZ STEVEN CORTEZ</t>
  </si>
  <si>
    <t>Early Check In &amp; Late Checkout Itemized</t>
  </si>
  <si>
    <t>KAYLA NOEL KAYLA NOEL</t>
  </si>
  <si>
    <t>HAYAT JIHAD HAYAT JIHAD</t>
  </si>
  <si>
    <t>JAIRISON MELO JAIRISON MELO</t>
  </si>
  <si>
    <t>GARY DEAN GARY DEAN</t>
  </si>
  <si>
    <t>Jason Kintzer</t>
  </si>
  <si>
    <t>Jeff Artura</t>
  </si>
  <si>
    <t>Stanley DiCicco</t>
  </si>
  <si>
    <t>MEG SERRELL</t>
  </si>
  <si>
    <t>flor cawley</t>
  </si>
  <si>
    <t>Johnny Lesak</t>
  </si>
  <si>
    <t>Eric Scherzer</t>
  </si>
  <si>
    <t>LILIANA VANESSA PEQUITO RIBEIRO</t>
  </si>
  <si>
    <t>ALEIX PI PORTET</t>
  </si>
  <si>
    <t>Joanne Zuar</t>
  </si>
  <si>
    <t>Igal Carmi</t>
  </si>
  <si>
    <t>Sarkis Ruben Nalchadzhan</t>
  </si>
  <si>
    <t>Brett Feinberg</t>
  </si>
  <si>
    <t>Avraham Trachtingot</t>
  </si>
  <si>
    <t>ESPERANZA SANTOS TORREALBA</t>
  </si>
  <si>
    <t>MARTA VALDERAS POLO</t>
  </si>
  <si>
    <t>Suzane Matz</t>
  </si>
  <si>
    <t>From</t>
  </si>
  <si>
    <t>Thread Id</t>
  </si>
  <si>
    <t>Sent Date</t>
  </si>
  <si>
    <t>Source</t>
  </si>
  <si>
    <t>Username</t>
  </si>
  <si>
    <t>Message Content</t>
  </si>
  <si>
    <t>Message Id</t>
  </si>
  <si>
    <t>+1 617 828 6173</t>
  </si>
  <si>
    <t>Jeannette Fernandez</t>
  </si>
  <si>
    <t>system</t>
  </si>
  <si>
    <t>Hi Martin,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</si>
  <si>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Have you taken advantage of our included amenities yet? Stop by the front desk to borrow a beach chair and umbrella, or explore the area with one of our bikes!
The Sandbar Rooftop Restaurant is now open and ready to welcome you for drinks, dining, and ocean views. Click the link below to view hours:
https://www.ashworthhotel.com/dining/the-sandbar-rooftop-lounge
Please let us know if there's anything we can do to make your stay even more enjoyable!</t>
  </si>
  <si>
    <t>+12023523008</t>
  </si>
  <si>
    <t>Dear Benjamin,
This is Ashworth By The Sea Hotel. Make sure to complete the pre-arrival check-in for your upcoming stay:
https://mobility.stayntouch.com/checkin/url/linabs/canary. 
You can reach out to the front desk by responding to this message any time. Reply QUIT to stop.</t>
  </si>
  <si>
    <t>Hi Benjamin,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</si>
  <si>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+12032605044</t>
  </si>
  <si>
    <t>Hi Patsy,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</si>
  <si>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Patsy,
This is Ashworth By The Sea Hotel. Make sure to complete the pre-arrival check-in for your upcoming stay:
https://mobility.stayntouch.com/checkin/url/linabs/canary. 
You can reach out to the front desk by responding to this message any time. Reply QUIT to stop.</t>
  </si>
  <si>
    <t>+12035588536</t>
  </si>
  <si>
    <t>Hi Ryan,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</si>
  <si>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Ryan,
This is Ashworth By The Sea Hotel. Make sure to complete the pre-arrival check-in for your upcoming stay:
https://mobility.stayntouch.com/checkin/url/linabs/canary. 
You can reach out to the front desk by responding to this message any time. Reply QUIT to stop.</t>
  </si>
  <si>
    <t>+12035640799</t>
  </si>
  <si>
    <t>Dear Catherine,
This is Ashworth By The Sea Hotel. Make sure to complete the pre-arrival check-in for your upcoming stay:
https://mobility.stayntouch.com/checkin/url/linabs/canary. 
You can reach out to the front desk by responding to this message any time. Reply QUIT to stop.</t>
  </si>
  <si>
    <t>Dear Thomas,
This is Ashworth By The Sea Hotel. Make sure to complete the pre-arrival check-in for your upcoming stay:
https://mobility.stayntouch.com/checkin/url/linabs/canary. 
You can reach out to the front desk by responding to this message any time. Reply QUIT to stop.</t>
  </si>
  <si>
    <t>Dear Kimberly,
This is Ashworth By The Sea Hotel. Make sure to complete the pre-arrival check-in for your upcoming stay:
https://mobility.stayntouch.com/checkin/url/linabs/canary. 
You can reach out to the front desk by responding to this message any time. Reply QUIT to stop.</t>
  </si>
  <si>
    <t>Dear Marci,
This is Ashworth By The Sea Hotel. Make sure to complete the pre-arrival check-in for your upcoming stay:
https://mobility.stayntouch.com/checkin/url/linabs/canary. 
You can reach out to the front desk by responding to this message any time. Reply QUIT to stop.</t>
  </si>
  <si>
    <t>Dear Eric,
This is Ashworth By The Sea Hotel. Make sure to complete the pre-arrival check-in for your upcoming stay:
https://mobility.stayntouch.com/checkin/url/linabs/canary. 
You can reach out to the front desk by responding to this message any time. Reply QUIT to stop.</t>
  </si>
  <si>
    <t>+12035895722</t>
  </si>
  <si>
    <t>Dear Michael,
This is Ashworth By The Sea Hotel. Make sure to complete the pre-arrival check-in for your upcoming stay:
https://mobility.stayntouch.com/checkin/url/linabs/canary. 
You can reach out to the front desk by responding to this message any time. Reply QUIT to stop.</t>
  </si>
  <si>
    <t>Hi Michael,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</si>
  <si>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+12035923430</t>
  </si>
  <si>
    <t>Hi Kathleen,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</si>
  <si>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Kathleen,
This is Ashworth By The Sea Hotel. Make sure to complete the pre-arrival check-in for your upcoming stay:
https://mobility.stayntouch.com/checkin/url/linabs/canary. 
You can reach out to the front desk by responding to this message any time. Reply QUIT to stop.</t>
  </si>
  <si>
    <t>+12036232683</t>
  </si>
  <si>
    <t>ota</t>
  </si>
  <si>
    <t xml:space="preserve">Complete pre-arrival check-in - Ashworth By The Sea Hotel
Contactless Check-In
Hello John,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Canary Technologies logo Powered by Canary Technologies • Unsubscribe • Privacy
                                     Policy
</t>
  </si>
  <si>
    <t xml:space="preserve">Pre-check in for your stay at Ashworth by the Sea
                                    Hi John,
  Use the link below to check in before your arrival to speed up the process!
                      Upgrades and more may be available!
                                  Pre Check-In
 When you arrive, please present your photo ID and credit card. See you soon -
                                 safe travels!
            This is an automated message from Ashworth by the Sea -
                         frontdesk@ashworthbythesea.com
                         ©2026  |  All Rights Reserved
              295 Ocean Blvd. , Hampton, NH, 03842, United States
                            Call us at  603-926-6762
                            Privacy Policy  |  FAQs
</t>
  </si>
  <si>
    <t>Dear John,
This is Ashworth By The Sea Hotel. Make sure to complete the pre-arrival check-in for your upcoming stay:
https://mobility.stayntouch.com/checkin/url/linabs/canary. 
You can reach out to the front desk by responding to this message any time. Reply QUIT to stop.</t>
  </si>
  <si>
    <t>Hi John,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</si>
  <si>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+12036272311</t>
  </si>
  <si>
    <t>Dear Julie,
This is Ashworth By The Sea Hotel. Make sure to complete the pre-arrival check-in for your upcoming stay:
https://mobility.stayntouch.com/checkin/url/linabs/canary. 
You can reach out to the front desk by responding to this message any time. Reply QUIT to stop.</t>
  </si>
  <si>
    <t>Hi Julie,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</si>
  <si>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+12036317428</t>
  </si>
  <si>
    <t>Hi Brian,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</si>
  <si>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Dear Brian,
This is Ashworth By The Sea Hotel. Make sure to complete the pre-arrival check-in for your upcoming stay:
https://mobility.stayntouch.com/checkin/url/linabs/canary. 
You can reach out to the front desk by responding to this message any time. Reply QUIT to stop.</t>
  </si>
  <si>
    <t>+12036401998</t>
  </si>
  <si>
    <t>Dear Ronald,
This is Ashworth By The Sea Hotel. Make sure to complete the pre-arrival check-in for your upcoming stay:
https://mobility.stayntouch.com/checkin/url/linabs/canary. 
You can reach out to the front desk by responding to this message any time. Reply QUIT to stop.</t>
  </si>
  <si>
    <t>Hi Ronald,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</si>
  <si>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hotel</t>
  </si>
  <si>
    <t>ritahawker</t>
  </si>
  <si>
    <t>Good afternoon, I have 2 chairs for you at the front desk</t>
  </si>
  <si>
    <t>+12036902014</t>
  </si>
  <si>
    <t>Hi George,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</si>
  <si>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+12038040472</t>
  </si>
  <si>
    <t>+12039060126</t>
  </si>
  <si>
    <t>Hi Sarah,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</si>
  <si>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Sarah,
This is Ashworth By The Sea Hotel. Make sure to complete the pre-arrival check-in for your upcoming stay:
https://mobility.stayntouch.com/checkin/url/linabs/canary. 
You can reach out to the front desk by responding to this message any time. Reply QUIT to stop.</t>
  </si>
  <si>
    <t>+12064508695</t>
  </si>
  <si>
    <t>Dear Aniello,
This is Ashworth By The Sea Hotel. Make sure to complete the pre-arrival check-in for your upcoming stay:
https://mobility.stayntouch.com/checkin/url/linabs/canary. 
You can reach out to the front desk by responding to this message any time. Reply QUIT to stop.</t>
  </si>
  <si>
    <t>Hi Aniello,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</si>
  <si>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+12072143300</t>
  </si>
  <si>
    <t>Hi Wendy,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</si>
  <si>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Wendy,
This is Ashworth By The Sea Hotel. Make sure to complete the pre-arrival check-in for your upcoming stay:
https://mobility.stayntouch.com/checkin/url/linabs/canary. 
You can reach out to the front desk by responding to this message any time. Reply QUIT to stop.</t>
  </si>
  <si>
    <t>+12072150716</t>
  </si>
  <si>
    <t>Dear Jennifer,
This is Ashworth By The Sea Hotel. Make sure to complete the pre-arrival check-in for your upcoming stay:
https://mobility.stayntouch.com/checkin/url/linabs/canary. 
You can reach out to the front desk by responding to this message any time. Reply QUIT to stop.</t>
  </si>
  <si>
    <t>+12072151010</t>
  </si>
  <si>
    <t>Hi Catharine,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</si>
  <si>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Catharine,
This is Ashworth By The Sea Hotel. Make sure to complete the pre-arrival check-in for your upcoming stay:
https://mobility.stayntouch.com/checkin/url/linabs/canary. 
You can reach out to the front desk by responding to this message any time. Reply QUIT to stop.</t>
  </si>
  <si>
    <t>+12072398823</t>
  </si>
  <si>
    <t xml:space="preserve">Pre-check in for your stay at Ashworth by the Sea
                                  Hi Matthews,
  Use the link below to check in before your arrival to speed up the process!
                      Upgrades and more may be available!
                                  Pre Check-In
 When you arrive, please present your photo ID and credit card. See you soon -
                                 safe travels!
            This is an automated message from Ashworth by the Sea -
                         frontdesk@ashworthbythesea.com
                         ©2026  |  All Rights Reserved
              295 Ocean Blvd. , Hampton, NH, 03842, United States
                            Call us at  603-926-6762
                            Privacy Policy  |  FAQs
</t>
  </si>
  <si>
    <t xml:space="preserve">Reminder : How was your stay at Ashworth By The Sea? 3 Minute Survey
Please share your feedback with Medallia
                    Thank you so much for your recent stay.
                      ‌ ‌ ‌ ‌ ‌ ‌ ‌ ‌ ‌ ‌ ‌ ‌ ‌ ‌ ‌ ‌ ‌ ‌ 
alt_text
Dear Matthews Leah,
A few days ago, we sent you an invitation for you to provide us with valuable
feedback regarding your recent stay with us at Ashworth By The Sea, where you
checked out on July 26, 2026.
We would still like to hear about your stay and understand if we met your
expectations. It's easy and will only take a few minutes.
How likely are you to recommend Ashworth By The Sea to a friend or colleague?
Not at all Likely                                               Extremely Likely
┌──────┬──────┬──────┬──────┬──────┬──────┬──────┬──────┬──────┬──────┬────────┐
│  0   │  1   │  2   │  3   │  4   │  5   │  6   │  7   │  8   │  9   │   10   │
└──────┴──────┴──────┴──────┴──────┴──────┴──────┴──────┴──────┴──────┴────────┘
This is the only reminder you will receive from us. If you have already
completed this online form, please disregard this email and thank you for
sharing your opinions with us.
Sincerely,
Andrew Fare
General Manager
Ashworth By The Sea
                              Powered by Medallia
Please do not “Reply” to this invitation.
To unsubscribe: We rely on feedback from guests to ensure that your stay will
meet and exceed your expectations. If, however, you would not like to receive a
survey invitation in the future, please click this link:
https://survey10.medallia.com/?ecsvn37ffd94wn22m9crht&amp;reject=begin, to
unsubscribe to our guest satisfaction surveys.
Should you need help accessing or completing this survey, please visit:
surveysupport.medallia.com
</t>
  </si>
  <si>
    <t>Hi Matthews,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</si>
  <si>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 xml:space="preserve">How was your stay at Ashworth By The Sea? 3 Minute Survey
Please share your feedback with Medallia
                    Thank you so much for your recent stay.
                      ‌ ‌ ‌ ‌ ‌ ‌ ‌ ‌ ‌ ‌ ‌ ‌ ‌ ‌ ‌ ‌ ‌ ‌ 
alt_text
Dear Matthews Leah,
We hope you enjoyed your recent stay at Ashworth By The Sea, where you checked
out on July 26, 2026.
We genuinely care about your experience with us, and we'd really appreciate your
feedback — it will only take a few minutes.
How likely are you to recommend Ashworth By The Sea to a friend or colleague?
Not at all Likely                                               Extremely Likely
┌──────┬──────┬──────┬──────┬──────┬──────┬──────┬──────┬──────┬──────┬────────┐
│  0   │  1   │  2   │  3   │  4   │  5   │  6   │  7   │  8   │  9   │   10   │
└──────┴──────┴──────┴──────┴──────┴──────┴──────┴──────┴──────┴──────┴────────┘
By completing this survey, you may be contacted by the hotel to help improve the
quality of service provided.
We appreciate your opinion and look forward to welcoming you again soon.
Kind Regards,
Andrew Fare
General Manager
Ashworth By The Sea
                              Powered by Medallia
Please do not “Reply” to this invitation.
To unsubscribe: We rely on feedback from guests to ensure that your stay will
meet and exceed your expectations. If, however, you would not like to receive a
survey invitation in the future, please click this link:
https://survey10.medallia.com/?ecsvn37ffd94wn22m9crht&amp;reject=begin, to
unsubscribe to our guest satisfaction surveys.
Should you need help accessing or completing this survey, please visit:
surveysupport.medallia.com
</t>
  </si>
  <si>
    <t xml:space="preserve">INVOICE: Ashworth by the Sea | 105587
Thank you for staying at Ashworth by the Sea. Your invoice is attached.
</t>
  </si>
  <si>
    <t xml:space="preserve">Complete pre-arrival check-in - Ashworth By The Sea Hotel
Contactless Check-In
Hello Matthews,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Canary Technologies logo Powered by Canary Technologies • Unsubscribe • Privacy
                                     Policy
</t>
  </si>
  <si>
    <t>Dear Matthews,
This is Ashworth By The Sea Hotel. Make sure to complete the pre-arrival check-in for your upcoming stay:
https://mobility.stayntouch.com/checkin/url/linabs/canary. 
You can reach out to the front desk by responding to this message any time. Reply QUIT to stop.</t>
  </si>
  <si>
    <t>+12072405931</t>
  </si>
  <si>
    <t>Hi Mell,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</si>
  <si>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Mell,
This is Ashworth By The Sea Hotel. Make sure to complete the pre-arrival check-in for your upcoming stay:
https://mobility.stayntouch.com/checkin/url/linabs/canary. 
You can reach out to the front desk by responding to this message any time. Reply QUIT to stop.</t>
  </si>
  <si>
    <t>+12073007617</t>
  </si>
  <si>
    <t>Hi John,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</si>
  <si>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+12073101774</t>
  </si>
  <si>
    <t>Dear Julia,
This is Ashworth By The Sea Hotel. Make sure to complete the pre-arrival check-in for your upcoming stay:
https://mobility.stayntouch.com/checkin/url/linabs/canary. 
You can reach out to the front desk by responding to this message any time. Reply QUIT to stop.</t>
  </si>
  <si>
    <t>Hi Julia,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</si>
  <si>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rjcunn</t>
  </si>
  <si>
    <t>Yes!</t>
  </si>
  <si>
    <t>client</t>
  </si>
  <si>
    <t>Can we please get towels in room 257?</t>
  </si>
  <si>
    <t>+12073185988</t>
  </si>
  <si>
    <t>Dear Melanie,
This is Ashworth By The Sea Hotel. Make sure to complete the pre-arrival check-in for your upcoming stay:
https://mobility.stayntouch.com/checkin/url/linabs/canary. 
You can reach out to the front desk by responding to this message any time. Reply QUIT to stop.</t>
  </si>
  <si>
    <t>Hi Melanie,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</si>
  <si>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+12073517775</t>
  </si>
  <si>
    <t>Hi andrea,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</si>
  <si>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andrea,
This is Ashworth By The Sea Hotel. Make sure to complete the pre-arrival check-in for your upcoming stay:
https://mobility.stayntouch.com/checkin/url/linabs/canary. 
You can reach out to the front desk by responding to this message any time. Reply QUIT to stop.</t>
  </si>
  <si>
    <t>+12073992096</t>
  </si>
  <si>
    <t>Dear Steven,
This is Ashworth By The Sea Hotel. Make sure to complete the pre-arrival check-in for your upcoming stay:
https://mobility.stayntouch.com/checkin/url/linabs/canary. 
You can reach out to the front desk by responding to this message any time. Reply QUIT to stop.</t>
  </si>
  <si>
    <t>Hi Steven,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</si>
  <si>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+12074162600</t>
  </si>
  <si>
    <t>Hi Jennifer,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</si>
  <si>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+12074501954</t>
  </si>
  <si>
    <t xml:space="preserve">INVOICE: Ashworth by the Sea | 106563
Thank you for staying at Ashworth by the Sea. Your invoice is attached.
</t>
  </si>
  <si>
    <t>Dear Guy,
This is Ashworth By The Sea Hotel. Make sure to complete the pre-arrival check-in for your upcoming stay:
https://mobility.stayntouch.com/checkin/url/linabs/canary. 
You can reach out to the front desk by responding to this message any time. Reply QUIT to stop.</t>
  </si>
  <si>
    <t xml:space="preserve">Reminder : How was your stay at Ashworth By The Sea? 3 Minute Survey
Please share your feedback with Medallia
                    Thank you so much for your recent stay.
                      ‌ ‌ ‌ ‌ ‌ ‌ ‌ ‌ ‌ ‌ ‌ ‌ ‌ ‌ ‌ ‌ ‌ ‌ 
alt_text
Dear Guy Langelier,
A few days ago, we sent you an invitation for you to provide us with valuable
feedback regarding your recent stay with us at Ashworth By The Sea, where you
checked out on July 12, 2026.
We would still like to hear about your stay and understand if we met your
expectations. It's easy and will only take a few minutes.
How likely are you to recommend Ashworth By The Sea to a friend or colleague?
Not at all Likely                                               Extremely Likely
┌──────┬──────┬──────┬──────┬──────┬──────┬──────┬──────┬──────┬──────┬────────┐
│  0   │  1   │  2   │  3   │  4   │  5   │  6   │  7   │  8   │  9   │   10   │
└──────┴──────┴──────┴──────┴──────┴──────┴──────┴──────┴──────┴──────┴────────┘
This is the only reminder you will receive from us. If you have already
completed this online form, please disregard this email and thank you for
sharing your opinions with us.
Sincerely,
Andrew Fare
General Manager
Ashworth By The Sea
                              Powered by Medallia
Please do not “Reply” to this invitation.
To unsubscribe: We rely on feedback from guests to ensure that your stay will
meet and exceed your expectations. If, however, you would not like to receive a
survey invitation in the future, please click this link:
https://survey10.medallia.com/?ecdtpyykfd94wn22m9crht&amp;reject=begin, to
unsubscribe to our guest satisfaction surveys.
Should you need help accessing or completing this survey, please visit:
surveysupport.medallia.com
</t>
  </si>
  <si>
    <t>I'd like to request check-in at 14:00 - 15:00. Is this ok?</t>
  </si>
  <si>
    <t xml:space="preserve">Pre-check in for your stay at Ashworth by the Sea
Hi Guy,
Use the link below to check in before your arrival to speed up the process!
Upgrades and more may be available!
Pre Check-In
When you arrive, please present your photo ID and credit card. See you soon -
safe travels!
This is an automated message from Ashworth by the Sea -
frontdesk@ashworthbythesea.com
©2026  |  All Rights Reserved
295 Ocean Blvd. , Hampton, NH, 03842, United States
Call us at  603-926-6762
Privacy Policy  |  FAQs
</t>
  </si>
  <si>
    <t xml:space="preserve">Complete pre-arrival check-in - Ashworth By The Sea Hotel
Contactless Check-In
Hello Guy,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Canary Technologies logo Powered by Canary Technologies • Unsubscribe • Privacy
Policy
</t>
  </si>
  <si>
    <t xml:space="preserve">Ashworth By The Sea Hotel - Set checkout time now
Contactless Checkout
Hello Guy,
Your departure is coming up. Use the link below to set your checkout time.
https://mobility.stayntouch.com/checkout/ashworthbythesea
We hope you enjoyed your stay.
Sincerely,
Ashworth By The Sea Hotel
Ashworth By The Sea Hotel | 295 Ocean Blvd, Hampton, NH 03842-3629
Canary Technologies logo Powered by Canary Technologies • Unsubscribe • Privacy
Policy
</t>
  </si>
  <si>
    <t xml:space="preserve">How was your stay at Ashworth By The Sea? 3 Minute Survey
Please share your feedback with Medallia
Thank you so much for your recent stay.
‌ ‌ ‌ ‌ ‌ ‌ ‌ ‌ ‌ ‌ ‌ ‌ ‌ ‌ ‌ ‌ ‌ ‌ 
alt_text
Dear Guy Langelier,
We hope you enjoyed your recent stay at Ashworth By The Sea, where you checked
out on July 12, 2026.
We genuinely care about your experience with us, and we'd really appreciate your
feedback — it will only take a few minutes.
How likely are you to recommend Ashworth By The Sea to a friend or colleague?
Not at all Likely                        Extremely Likely
0       1       2      3      4      5      6      7      8      9      10
By completing this survey, you may be contacted by the hotel to help improve the
quality of service provided.
We appreciate your opinion and look forward to welcoming you again soon.
Kind Regards,
Andrew Fare
General Manager
Ashworth By The Sea
Powered by Medallia
Please do not “Reply” to this invitation.
To unsubscribe: We rely on feedback from guests to ensure that your stay will
meet and exceed your expectations. If, however, you would not like to receive a
survey invitation in the future, please click this link:
https://survey10.medallia.com/?ecdtpyykfd94wn22m9crht&amp;reject=begin, to
unsubscribe to our guest satisfaction surveys.
Should you need help accessing or completing this survey, please visit:
surveysupport.medallia.com
</t>
  </si>
  <si>
    <t>Wife's 40th Birthday</t>
  </si>
  <si>
    <t>Hi Guy,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</si>
  <si>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+12074670828</t>
  </si>
  <si>
    <t>Hi Mark,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</si>
  <si>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Mark,
This is Ashworth By The Sea Hotel. Make sure to complete the pre-arrival check-in for your upcoming stay:
https://mobility.stayntouch.com/checkin/url/linabs/canary. 
You can reach out to the front desk by responding to this message any time. Reply QUIT to stop.</t>
  </si>
  <si>
    <t>+12074792955</t>
  </si>
  <si>
    <t>Hi Darcy,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</si>
  <si>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Darcy,
This is Ashworth By The Sea Hotel. Make sure to complete the pre-arrival check-in for your upcoming stay:
https://mobility.stayntouch.com/checkin/url/linabs/canary. 
You can reach out to the front desk by responding to this message any time. Reply QUIT to stop.</t>
  </si>
  <si>
    <t>+12075090584</t>
  </si>
  <si>
    <t>Dear Brittany,
This is Ashworth By The Sea Hotel. Make sure to complete the pre-arrival check-in for your upcoming stay:
https://mobility.stayntouch.com/checkin/url/linabs/canary. 
You can reach out to the front desk by responding to this message any time. Reply QUIT to stop.</t>
  </si>
  <si>
    <t>Hi Brittany,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</si>
  <si>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+12075570317</t>
  </si>
  <si>
    <t>Hi Lisa,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</si>
  <si>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Lisa,
This is Ashworth By The Sea Hotel. Make sure to complete the pre-arrival check-in for your upcoming stay:
https://mobility.stayntouch.com/checkin/url/linabs/canary. 
You can reach out to the front desk by responding to this message any time. Reply QUIT to stop.</t>
  </si>
  <si>
    <t>+12076040285</t>
  </si>
  <si>
    <t>Thank you</t>
  </si>
  <si>
    <t>Dear Karen,
This is Ashworth By The Sea Hotel. Make sure to complete the pre-arrival check-in for your upcoming stay:
https://mobility.stayntouch.com/checkin/url/linabs/canary. 
You can reach out to the front desk by responding to this message any time. Reply QUIT to stop.</t>
  </si>
  <si>
    <t>Hi Karen,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</si>
  <si>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Good afternoon Karen, your room is ready for check in</t>
  </si>
  <si>
    <t>+12076083552</t>
  </si>
  <si>
    <t xml:space="preserve">Complete pre-arrival check-in - Ashworth By The Sea Hotel
Contactless Check-In
Hello MacKenzie,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Canary Technologies logo Powered by Canary Technologies • Unsubscribe • Privacy
                                     Policy
</t>
  </si>
  <si>
    <t>Hi MacKenzie,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</si>
  <si>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MacKenzie,
This is Ashworth By The Sea Hotel. Make sure to complete the pre-arrival check-in for your upcoming stay:
https://mobility.stayntouch.com/checkin/url/linabs/canary. 
You can reach out to the front desk by responding to this message any time. Reply QUIT to stop.</t>
  </si>
  <si>
    <t>+12076533536</t>
  </si>
  <si>
    <t xml:space="preserve">Complete pre-arrival check-in - Ashworth By The Sea Hotel
Contactless Check-In
Hello Tammi,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+16039266762
Canary Technologies logo Powered by Canary Technologies • Unsubscribe • Privacy
                                     Policy
</t>
  </si>
  <si>
    <t>Dear Tammi,
This is Ashworth By The Sea Hotel. Make sure to complete the pre-arrival check-in for your upcoming stay:
https://mobility.stayntouch.com/checkin/url/linabs/canary. 
You can reach out to the front desk by responding to this message any time. Reply QUIT to stop.</t>
  </si>
  <si>
    <t xml:space="preserve">Newly Remodeled Rooms. Same Iconic Oceanfront Escape.
Discover refreshed rooms and bathrooms just steps from Hampton Beach.
              Your Hampton Beach Stay Just Got a Refresh
 There’s a fresh new way to experience Ashworth by the Sea. Our newly
   remodeled rooms and bathrooms bring an elevated sense of comfort,
 style, and relaxation to your favorite Hampton Beach getaway. Whether
 you’re planning a romantic oceanfront escape, a family beach weekend,
 or a quick coastal retreat, you’ll enjoy modern updates, comfortable
  bedding, and the same unbeatable location just steps from the sand,
  surf, dining, and entertainment that make Ashworth by the Sea a New
                            England classic
Book A Getaway
                      Take a look at our glow up!
 Ashworth Oceanfront Room – One King Bed – Balcony
 Wake up to Atlantic Ocean views in this refreshed oceanfront king room
 featuring a private balcony, comfortable king bed, pullout sofa bed,
 and a bright coastal setting made for relaxing after a day on Hampton
 Beach. 
 Deluxe Room – Two Queen Beds – Side Balcony
 Perfect for families or friends, this updated deluxe room features two
 queen beds and a side balcony with ocean views, giving you plenty of
 space to unwind with the sound of the waves as your backdrop. 
 Standard Room – One King Bed – Side Balcony
 A comfortable coastal retreat for two, this refreshed standard king
 room features one king bed, a side ocean-view balcony, and everything
 you need to relax after a full day of beach activities. 
  But there's so much more - all of our rooms &amp; bathrooms received a
                       refresh.  See more below!
See All Rooms
Facebook Instagram
                          Ashworth by the Sea
                            295 Ocean Blvd
                           Hampton, NH 03842
    If you'd like to unsubscribe and stop receiving these emails  click here
</t>
  </si>
  <si>
    <t xml:space="preserve">Pre-check in for your stay at Ashworth by the Sea
                                   Hi Tammi,
  Use the link below to check in before your arrival to speed up the process!
                      Upgrades and more may be available!
                                  Pre Check-In
 When you arrive, please present your photo ID and credit card. See you soon -
                                 safe travels!
            This is an automated message from Ashworth by the Sea -
                         frontdesk@ashworthbythesea.com
                         ©2026  |  All Rights Reserved
              295 Ocean Blvd. , Hampton, NH, 03842, United States
                            Call us at  603-926-6762
                            Privacy Policy  |  FAQs
</t>
  </si>
  <si>
    <t>+12077542185</t>
  </si>
  <si>
    <t>I'd like to request check-in at 15:00 - 16:00. Is this ok?</t>
  </si>
  <si>
    <t>Dear Kayla,
This is Ashworth By The Sea Hotel. Make sure to complete the pre-arrival check-in for your upcoming stay:
https://mobility.stayntouch.com/checkin/url/linabs/canary. 
You can reach out to the front desk by responding to this message any time. Reply QUIT to stop.</t>
  </si>
  <si>
    <t xml:space="preserve">Complete pre-arrival check-in - Ashworth By The Sea Hotel
Contactless Check-In
Hello Kayla,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Canary Technologies logo Powered by Canary Technologies • Unsubscribe • Privacy
                                     Policy
</t>
  </si>
  <si>
    <t>Hi Kayla,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</si>
  <si>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 xml:space="preserve">Pre-check in for your stay at Ashworth by the Sea
                                   Hi Kayla,
  Use the link below to check in before your arrival to speed up the process!
                      Upgrades and more may be available!
                                  Pre Check-In
 When you arrive, please present your photo ID and credit card. See you soon -
                                 safe travels!
            This is an automated message from Ashworth by the Sea -
                         frontdesk@ashworthbythesea.com
                         ©2026  |  All Rights Reserved
              295 Ocean Blvd. , Hampton, NH, 03842, United States
                            Call us at  603-926-6762
                            Privacy Policy  |  FAQs
</t>
  </si>
  <si>
    <t>+12078318604</t>
  </si>
  <si>
    <t>Hi Eric,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</si>
  <si>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+12079392854</t>
  </si>
  <si>
    <t>Dear Patricia,
This is Ashworth By The Sea Hotel. Make sure to complete the pre-arrival check-in for your upcoming stay:
https://mobility.stayntouch.com/checkin/url/linabs/canary. 
You can reach out to the front desk by responding to this message any time. Reply QUIT to stop.</t>
  </si>
  <si>
    <t>+12079393429</t>
  </si>
  <si>
    <t>Hi Holly,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</si>
  <si>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Holly,
This is Ashworth By The Sea Hotel. Make sure to complete the pre-arrival check-in for your upcoming stay:
https://mobility.stayntouch.com/checkin/url/linabs/canary. 
You can reach out to the front desk by responding to this message any time. Reply QUIT to stop.</t>
  </si>
  <si>
    <t>+12079912184</t>
  </si>
  <si>
    <t>Hi Sara,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</si>
  <si>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Sara,
This is Ashworth By The Sea Hotel. Make sure to complete the pre-arrival check-in for your upcoming stay:
https://mobility.stayntouch.com/checkin/url/linabs/canary. 
You can reach out to the front desk by responding to this message any time. Reply QUIT to stop.</t>
  </si>
  <si>
    <t>+12098966807</t>
  </si>
  <si>
    <t>Dear Nelia,
This is Ashworth By The Sea Hotel. Make sure to complete the pre-arrival check-in for your upcoming stay:
https://mobility.stayntouch.com/checkin/url/linabs/canary. 
You can reach out to the front desk by responding to this message any time. Reply QUIT to stop.</t>
  </si>
  <si>
    <t>+12124440023</t>
  </si>
  <si>
    <t>Dear Peter,
This is Ashworth By The Sea Hotel. Make sure to complete the pre-arrival check-in for your upcoming stay:
https://mobility.stayntouch.com/checkin/url/linabs/canary. 
You can reach out to the front desk by responding to this message any time. Reply QUIT to stop.</t>
  </si>
  <si>
    <t>Dear David,
This is Ashworth By The Sea Hotel. Make sure to complete the pre-arrival check-in for your upcoming stay:
https://mobility.stayntouch.com/checkin/url/linabs/canary. 
You can reach out to the front desk by responding to this message any time. Reply QUIT to stop.</t>
  </si>
  <si>
    <t>Dear Charles,
This is Ashworth By The Sea Hotel. Make sure to complete the pre-arrival check-in for your upcoming stay:
https://mobility.stayntouch.com/checkin/url/linabs/canary. 
You can reach out to the front desk by responding to this message any time. Reply QUIT to stop.</t>
  </si>
  <si>
    <t>Hi Peter,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</si>
  <si>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Hi Terra,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</si>
  <si>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Ian,
This is Ashworth By The Sea Hotel. Make sure to complete the pre-arrival check-in for your upcoming stay:
https://mobility.stayntouch.com/checkin/url/linabs/canary. 
You can reach out to the front desk by responding to this message any time. Reply QUIT to stop.</t>
  </si>
  <si>
    <t>Dear Josselyn,
This is Ashworth By The Sea Hotel. Make sure to complete the pre-arrival check-in for your upcoming stay:
https://mobility.stayntouch.com/checkin/url/linabs/canary. 
You can reach out to the front desk by responding to this message any time. Reply QUIT to stop.</t>
  </si>
  <si>
    <t>Dear Gail,
This is Ashworth By The Sea Hotel. Make sure to complete the pre-arrival check-in for your upcoming stay:
https://mobility.stayntouch.com/checkin/url/linabs/canary. 
You can reach out to the front desk by responding to this message any time. Reply QUIT to stop.</t>
  </si>
  <si>
    <t>Hi Rick,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</si>
  <si>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Hi Gail,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</si>
  <si>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Dear Shima,
This is Ashworth By The Sea Hotel. Make sure to complete the pre-arrival check-in for your upcoming stay:
https://mobility.stayntouch.com/checkin/url/linabs/canary. 
You can reach out to the front desk by responding to this message any time. Reply QUIT to stop.</t>
  </si>
  <si>
    <t>Dear Melissa,
This is Ashworth By The Sea Hotel. Make sure to complete the pre-arrival check-in for your upcoming stay:
https://mobility.stayntouch.com/checkin/url/linabs/canary. 
You can reach out to the front desk by responding to this message any time. Reply QUIT to stop.</t>
  </si>
  <si>
    <t>Dear Karys,
This is Ashworth By The Sea Hotel. Make sure to complete the pre-arrival check-in for your upcoming stay:
https://mobility.stayntouch.com/checkin/url/linabs/canary. 
You can reach out to the front desk by responding to this message any time. Reply QUIT to stop.</t>
  </si>
  <si>
    <t>Dear Terra,
This is Ashworth By The Sea Hotel. Make sure to complete the pre-arrival check-in for your upcoming stay:
https://mobility.stayntouch.com/checkin/url/linabs/canary. 
You can reach out to the front desk by responding to this message any time. Reply QUIT to stop.</t>
  </si>
  <si>
    <t>Dear Brittni,
This is Ashworth By The Sea Hotel. Make sure to complete the pre-arrival check-in for your upcoming stay:
https://mobility.stayntouch.com/checkin/url/linabs/canary. 
You can reach out to the front desk by responding to this message any time. Reply QUIT to stop.</t>
  </si>
  <si>
    <t>Hi Ian,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</si>
  <si>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Hi Josselyn,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</si>
  <si>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Hi Shima,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</si>
  <si>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+12126581999</t>
  </si>
  <si>
    <t>Dear Stanley,
This is Ashworth By The Sea Hotel. Make sure to complete the pre-arrival check-in for your upcoming stay:
https://mobility.stayntouch.com/checkin/url/linabs/canary. 
You can reach out to the front desk by responding to this message any time. Reply QUIT to stop.</t>
  </si>
  <si>
    <t>Hi Stanley,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</si>
  <si>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+12147976903</t>
  </si>
  <si>
    <t xml:space="preserve">Ashworth By The Sea Hotel - Set checkout time now
Contactless Checkout
Hello Kimberly,
Your departure is coming up. Use the link below to set your checkout time.
https://mobility.stayntouch.com/checkout/ashworthbythesea
We hope you enjoyed your stay.
Sincerely,
Ashworth By The Sea Hotel
Ashworth By The Sea Hotel | 295 Ocean Blvd, Hampton, NH 03842-3629
Canary Technologies logo Powered by Canary Technologies • Unsubscribe • Privacy
Policy
</t>
  </si>
  <si>
    <t>Good afternoon Kimberly, Would you like to extend your stay with us, or would you like me to add a late check out to your reservation?</t>
  </si>
  <si>
    <t>Hi Kimberly,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</si>
  <si>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 xml:space="preserve">INVOICE: Ashworth by the Sea | 107094
Thank you for staying at Ashworth by the Sea. Your invoice is attached.
</t>
  </si>
  <si>
    <t>+12163558890</t>
  </si>
  <si>
    <t>Dear Traci,
This is Ashworth By The Sea Hotel. Make sure to complete the pre-arrival check-in for your upcoming stay:
https://mobility.stayntouch.com/checkin/url/linabs/canary. 
You can reach out to the front desk by responding to this message any time. Reply QUIT to stop.</t>
  </si>
  <si>
    <t>+12178272300</t>
  </si>
  <si>
    <t>Hi Larry,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</si>
  <si>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+12694494033</t>
  </si>
  <si>
    <t>Hi Fallon,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</si>
  <si>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Fallon,
This is Ashworth By The Sea Hotel. Make sure to complete the pre-arrival check-in for your upcoming stay:
https://mobility.stayntouch.com/checkin/url/linabs/canary. 
You can reach out to the front desk by responding to this message any time. Reply QUIT to stop.</t>
  </si>
  <si>
    <t>+12697446804</t>
  </si>
  <si>
    <t xml:space="preserve">Complete pre-arrival check-in - Ashworth By The Sea Hotel
Contactless Check-In
Hello Ashley,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+16039266762
Canary Technologies logo Powered by Canary Technologies • Unsubscribe • Privacy
                                     Policy
</t>
  </si>
  <si>
    <t>Dear Ashley,
This is Ashworth By The Sea Hotel. Make sure to complete the pre-arrival check-in for your upcoming stay:
https://mobility.stayntouch.com/checkin/url/linabs/canary. 
You can reach out to the front desk by responding to this message any time. Reply QUIT to stop.</t>
  </si>
  <si>
    <t>Hi Ashley,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</si>
  <si>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 xml:space="preserve">Pre-check in for your stay at Ashworth by the Sea
                                   Hi Ashley,
  Use the link below to check in before your arrival to speed up the process!
                      Upgrades and more may be available!
                                  Pre Check-In
 When you arrive, please present your photo ID and credit card. See you soon -
                                 safe travels!
            This is an automated message from Ashworth by the Sea -
                         frontdesk@ashworthbythesea.com
                         ©2026  |  All Rights Reserved
              295 Ocean Blvd. , Hampton, NH, 03842, United States
                            Call us at  603-926-6762
                            Privacy Policy  |  FAQs
</t>
  </si>
  <si>
    <t>+13039315217</t>
  </si>
  <si>
    <t>Also, the new couch looks great and is so comfy. Thank you!!!</t>
  </si>
  <si>
    <t>Please let us know what time is best for us to replace the couch.</t>
  </si>
  <si>
    <t>Haha! That's perfect! We definitely do not want to disturb nap time. I will let our maintenance team know 10am-12pm tomorrow will be best for you guys. Thanks or working with us!</t>
  </si>
  <si>
    <t>*is there</t>
  </si>
  <si>
    <t xml:space="preserve">Wow. That would be great! Thank you for the swift action. I think 10am-12pm would be the best window for replacing it tomorrow (we are off due to time zone differences and also have a toddler who needs to nap midday). Does that work?
</t>
  </si>
  <si>
    <t>Hi Sabrena, we are so sorry for the condition of the couch. We have a brand new one we can put in the cottage tomorrow morning if you are interested? For this inconvenience I will take off the resort fee for your stay.</t>
  </si>
  <si>
    <t>Dear Sabrena,
This is Ashworth By The Sea Hotel. Make sure to complete the pre-arrival check-in for your upcoming stay:
https://mobility.stayntouch.com/checkin/url/linabs/canary. 
You can reach out to the front desk by responding to this message any time. Reply QUIT to stop.</t>
  </si>
  <si>
    <t>We have the Apple Watch! ⌚️</t>
  </si>
  <si>
    <t>Oh, is that dishwasher detergent and dish soap anywhere in the cottage?</t>
  </si>
  <si>
    <t>Hi Sabrena,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</si>
  <si>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We did not get the dishwasher soap yet.</t>
  </si>
  <si>
    <t>There are not any there. Please bring some so we can do our dishes. Thank you so much.</t>
  </si>
  <si>
    <t xml:space="preserve">Hello! The amenities are awesome. We are so happy. 
I should share with you the condition of the couch in our cottage. It was like this upon arrival and is really not even usable. </t>
  </si>
  <si>
    <t>That's really great. Thank you so much.</t>
  </si>
  <si>
    <t>Hello Sabrena, just making sure dish soap got over to you or not yet? Also yesterday one of our employee left an apple watch with a teal band on your porch there, was that yours? We had a guest come down looking for it and we might've gotten them confused! Please let us know when you can!</t>
  </si>
  <si>
    <t>Can we head over and trade?</t>
  </si>
  <si>
    <t>emilybencal</t>
  </si>
  <si>
    <t>Hi Sabrena, there should be pods under the sink and a bottle of dish soap by the sink or under it. If you do not see any there, then please let us know and we can bring you some new dish soap.</t>
  </si>
  <si>
    <t>Is it okay if we go to you? We ran out of soap and have to run to the store! So Sorry!</t>
  </si>
  <si>
    <t>We are on our way to the front desk now.</t>
  </si>
  <si>
    <t>+13152196434</t>
  </si>
  <si>
    <t>Hi Catherine,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</si>
  <si>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+13152442208</t>
  </si>
  <si>
    <t>Dear Brian R,
This is Ashworth By The Sea Hotel. Make sure to complete the pre-arrival check-in for your upcoming stay:
https://mobility.stayntouch.com/checkin/url/linabs/canary. 
You can reach out to the front desk by responding to this message any time. Reply QUIT to stop.</t>
  </si>
  <si>
    <t>+13153353898</t>
  </si>
  <si>
    <t>Hi Melissa,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</si>
  <si>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+13154087035</t>
  </si>
  <si>
    <t>Hi Pilar,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</si>
  <si>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Pilar,
This is Ashworth By The Sea Hotel. Make sure to complete the pre-arrival check-in for your upcoming stay:
https://mobility.stayntouch.com/checkin/url/linabs/canary. 
You can reach out to the front desk by responding to this message any time. Reply QUIT to stop.</t>
  </si>
  <si>
    <t>+13155251282</t>
  </si>
  <si>
    <t>Hi Ryan,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</si>
  <si>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+13156018755</t>
  </si>
  <si>
    <t>Dear Beau,
This is Ashworth By The Sea Hotel. Make sure to complete the pre-arrival check-in for your upcoming stay:
https://mobility.stayntouch.com/checkin/url/linabs/canary. 
You can reach out to the front desk by responding to this message any time. Reply QUIT to stop.</t>
  </si>
  <si>
    <t>Hi Beau,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</si>
  <si>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+13157173912</t>
  </si>
  <si>
    <t>+13159527513</t>
  </si>
  <si>
    <t>Hi David,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</si>
  <si>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+13179379609</t>
  </si>
  <si>
    <t>Found them and been returned to owner</t>
  </si>
  <si>
    <t>andrewfareGM</t>
  </si>
  <si>
    <t>Hi Laura, I am sorry to disturb you. Our Valet team believes you had a bag stored in the Valet office, and that a pair of keys may have been attached to your bag. Can you please take a look at this for us? Thank you!</t>
  </si>
  <si>
    <t>Dear Laura,
This is Ashworth By The Sea Hotel. Make sure to complete the pre-arrival check-in for your upcoming stay:
https://mobility.stayntouch.com/checkin/url/linabs/canary. 
You can reach out to the front desk by responding to this message any time. Reply QUIT to stop.</t>
  </si>
  <si>
    <t>Hi Laura,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</si>
  <si>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+13199306290</t>
  </si>
  <si>
    <t>Dear Randi,
This is Ashworth By The Sea Hotel. Make sure to complete the pre-arrival check-in for your upcoming stay:
https://mobility.stayntouch.com/checkin/url/linabs/canary. 
You can reach out to the front desk by responding to this message any time. Reply QUIT to stop.</t>
  </si>
  <si>
    <t>Hi Randi,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</si>
  <si>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+13302420088</t>
  </si>
  <si>
    <t>Dear Phede,
This is Ashworth By The Sea Hotel. Make sure to complete the pre-arrival check-in for your upcoming stay:
https://mobility.stayntouch.com/checkin/url/linabs/canary. 
You can reach out to the front desk by responding to this message any time. Reply QUIT to stop.</t>
  </si>
  <si>
    <t>Hi Phebe,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</si>
  <si>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+13303045225</t>
  </si>
  <si>
    <t>Dear Chelsea,
This is Ashworth By The Sea Hotel. Make sure to complete the pre-arrival check-in for your upcoming stay:
https://mobility.stayntouch.com/checkin/url/linabs/canary. 
You can reach out to the front desk by responding to this message any time. Reply QUIT to stop.</t>
  </si>
  <si>
    <t>+13308196717</t>
  </si>
  <si>
    <t>+13392227385</t>
  </si>
  <si>
    <t>Dear Sean,
This is Ashworth By The Sea Hotel. Make sure to complete the pre-arrival check-in for your upcoming stay:
https://mobility.stayntouch.com/checkin/url/linabs/canary. 
You can reach out to the front desk by responding to this message any time. Reply QUIT to stop.</t>
  </si>
  <si>
    <t>Hi Sean,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</si>
  <si>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+13392261760</t>
  </si>
  <si>
    <t xml:space="preserve">Pre-check in for your stay at Ashworth by the Sea
                                   Hi NICOLE,
  Use the link below to check in before your arrival to speed up the process!
                      Upgrades and more may be available!
                                  Pre Check-In
 When you arrive, please present your photo ID and credit card. See you soon -
                                 safe travels!
            This is an automated message from Ashworth by the Sea -
                         frontdesk@ashworthbythesea.com
                         ©2026  |  All Rights Reserved
              295 Ocean Blvd. , Hampton, NH, 03842, United States
                            Call us at  603-926-6762
                            Privacy Policy  |  FAQs
</t>
  </si>
  <si>
    <t>Dear Nicole,
This is Ashworth By The Sea Hotel. Make sure to complete the pre-arrival check-in for your upcoming stay:
https://mobility.stayntouch.com/checkin/url/linabs/canary. 
You can reach out to the front desk by responding to this message any time. Reply QUIT to stop.</t>
  </si>
  <si>
    <t xml:space="preserve">INVOICE: Ashworth by the Sea | 104276
Thank you for staying at Ashworth by the Sea. Your invoice is attached.
</t>
  </si>
  <si>
    <t>I'd like to request check-in at 12:00 - 13:00. Is this ok?</t>
  </si>
  <si>
    <t>Hi Nicole,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</si>
  <si>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 xml:space="preserve">How was your stay at Ashworth By The Sea? 3 Minute Survey
Please share your feedback with Medallia
                    Thank you so much for your recent stay.
                      ‌ ‌ ‌ ‌ ‌ ‌ ‌ ‌ ‌ ‌ ‌ ‌ ‌ ‌ ‌ ‌ ‌ ‌ 
alt_text
Dear Nicole Brightman,
We hope you enjoyed your recent stay at Ashworth By The Sea, where you checked
out on July 19, 2026.
We genuinely care about your experience with us, and we'd really appreciate your
feedback — it will only take a few minutes.
How likely are you to recommend Ashworth By The Sea to a friend or colleague?
Not at all Likely                                               Extremely Likely
┌──────┬──────┬──────┬──────┬──────┬──────┬──────┬──────┬──────┬──────┬────────┐
│  0   │  1   │  2   │  3   │  4   │  5   │  6   │  7   │  8   │  9   │   10   │
└──────┴──────┴──────┴──────┴──────┴──────┴──────┴──────┴──────┴──────┴────────┘
By completing this survey, you may be contacted by the hotel to help improve the
quality of service provided.
We appreciate your opinion and look forward to welcoming you again soon.
Kind Regards,
Andrew Fare
General Manager
Ashworth By The Sea
                              Powered by Medallia
Please do not “Reply” to this invitation.
To unsubscribe: We rely on feedback from guests to ensure that your stay will
meet and exceed your expectations. If, however, you would not like to receive a
survey invitation in the future, please click this link:
https://survey10.medallia.com/?e34f3fykfd94wn22m9crht&amp;reject=begin, to
unsubscribe to our guest satisfaction surveys.
Should you need help accessing or completing this survey, please visit:
surveysupport.medallia.com
</t>
  </si>
  <si>
    <t xml:space="preserve">Complete pre-arrival check-in - Ashworth By The Sea Hotel
Contactless Check-In
Hello Nicole,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Canary Technologies logo Powered by Canary Technologies • Unsubscribe • Privacy
                                     Policy
</t>
  </si>
  <si>
    <t>+13513779137</t>
  </si>
  <si>
    <t>Hi Iolanda,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</si>
  <si>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Dear Iolanda,
This is Ashworth By The Sea Hotel. Make sure to complete the pre-arrival check-in for your upcoming stay:
https://mobility.stayntouch.com/checkin/url/linabs/canary. 
You can reach out to the front desk by responding to this message any time. Reply QUIT to stop.</t>
  </si>
  <si>
    <t>+13864793613</t>
  </si>
  <si>
    <t>Hi Crystal,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</si>
  <si>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Dear Crystal,
This is Ashworth By The Sea Hotel. Make sure to complete the pre-arrival check-in for your upcoming stay:
https://mobility.stayntouch.com/checkin/url/linabs/canary. 
You can reach out to the front desk by responding to this message any time. Reply QUIT to stop.</t>
  </si>
  <si>
    <t>+14012266076</t>
  </si>
  <si>
    <t>Dear Elizabeth,
This is Ashworth By The Sea Hotel. Make sure to complete the pre-arrival check-in for your upcoming stay:
https://mobility.stayntouch.com/checkin/url/linabs/canary. 
You can reach out to the front desk by responding to this message any time. Reply QUIT to stop.</t>
  </si>
  <si>
    <t>Hi Elizabeth,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</si>
  <si>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+14012555617</t>
  </si>
  <si>
    <t>fernandoamayar</t>
  </si>
  <si>
    <t>Yes please modify reservation free of charge</t>
  </si>
  <si>
    <t>From Booking.com: This guest wants to modify their booking. Because of the way this request was sent, please respond via the extranet. Note: Replies sent through any other channel will not be recorded.
"I'd like to request: 
Check-in: 2026-07-31
Check-out: 2026-08-02
My previous dates: 
Check-in: 2026-08-14
Check-out: 2026-08-16
The price will change from US$841.11 to US$841.11."</t>
  </si>
  <si>
    <t>+14012634250</t>
  </si>
  <si>
    <t>Dear Richard,
This is Ashworth By The Sea Hotel. Make sure to complete the pre-arrival check-in for your upcoming stay:
https://mobility.stayntouch.com/checkin/url/linabs/canary. 
You can reach out to the front desk by responding to this message any time. Reply QUIT to stop.</t>
  </si>
  <si>
    <t>+14012654116</t>
  </si>
  <si>
    <t>Hi Michelle,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</si>
  <si>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Michelle,
This is Ashworth By The Sea Hotel. Make sure to complete the pre-arrival check-in for your upcoming stay:
https://mobility.stayntouch.com/checkin/url/linabs/canary. 
You can reach out to the front desk by responding to this message any time. Reply QUIT to stop.</t>
  </si>
  <si>
    <t>+14012887114</t>
  </si>
  <si>
    <t>Dear Colleen,
This is Ashworth By The Sea Hotel. Make sure to complete the pre-arrival check-in for your upcoming stay:
https://mobility.stayntouch.com/checkin/url/linabs/canary. 
You can reach out to the front desk by responding to this message any time. Reply QUIT to stop.</t>
  </si>
  <si>
    <t>Hi Colleen,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</si>
  <si>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+14013397065</t>
  </si>
  <si>
    <t xml:space="preserve">Good Morning, 
What time  can early check in be for? </t>
  </si>
  <si>
    <t>Hi Norma,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</si>
  <si>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Dear Norma,
This is Ashworth By The Sea Hotel. Make sure to complete the pre-arrival check-in for your upcoming stay:
https://mobility.stayntouch.com/checkin/url/linabs/canary. 
You can reach out to the front desk by responding to this message any time. Reply QUIT to stop.</t>
  </si>
  <si>
    <t>+14013479490</t>
  </si>
  <si>
    <t>Hi Gregory,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</si>
  <si>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Gregory,
This is Ashworth By The Sea Hotel. Make sure to complete the pre-arrival check-in for your upcoming stay:
https://mobility.stayntouch.com/checkin/url/linabs/canary. 
You can reach out to the front desk by responding to this message any time. Reply QUIT to stop.</t>
  </si>
  <si>
    <t>+14014657841</t>
  </si>
  <si>
    <t>Hi Crystal,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</si>
  <si>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+14014739931</t>
  </si>
  <si>
    <t>Dear Keri,
This is Ashworth By The Sea Hotel. Make sure to complete the pre-arrival check-in for your upcoming stay:
https://mobility.stayntouch.com/checkin/url/linabs/canary. 
You can reach out to the front desk by responding to this message any time. Reply QUIT to stop.</t>
  </si>
  <si>
    <t>Hi Keri,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</si>
  <si>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+14014815774</t>
  </si>
  <si>
    <t>Dear Varieur,
This is Ashworth By The Sea Hotel. Make sure to complete the pre-arrival check-in for your upcoming stay:
https://mobility.stayntouch.com/checkin/url/linabs/canary. 
You can reach out to the front desk by responding to this message any time. Reply QUIT to stop.</t>
  </si>
  <si>
    <t>Hi Varieur,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</si>
  <si>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+14014979536</t>
  </si>
  <si>
    <t>+14015561917</t>
  </si>
  <si>
    <t>+14018687838</t>
  </si>
  <si>
    <t>Dear Justin,
This is Ashworth By The Sea Hotel. Make sure to complete the pre-arrival check-in for your upcoming stay:
https://mobility.stayntouch.com/checkin/url/linabs/canary. 
You can reach out to the front desk by responding to this message any time. Reply QUIT to stop.</t>
  </si>
  <si>
    <t>Hi Justin,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</si>
  <si>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+14018714033</t>
  </si>
  <si>
    <t>I'd like to request check-in at 16:00 - 17:00. Is this ok?</t>
  </si>
  <si>
    <t>Request approved</t>
  </si>
  <si>
    <t>+14019433399</t>
  </si>
  <si>
    <t>+14019961878</t>
  </si>
  <si>
    <t>Hi Brian,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</si>
  <si>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+14024818853</t>
  </si>
  <si>
    <t>Dear Kevin,
This is Ashworth By The Sea Hotel. Make sure to complete the pre-arrival check-in for your upcoming stay:
https://mobility.stayntouch.com/checkin/url/linabs/canary. 
You can reach out to the front desk by responding to this message any time. Reply QUIT to stop.</t>
  </si>
  <si>
    <t>Hi Kevin,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</si>
  <si>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+14077186827</t>
  </si>
  <si>
    <t>Dear Allison,
This is Ashworth By The Sea Hotel. Make sure to complete the pre-arrival check-in for your upcoming stay:
https://mobility.stayntouch.com/checkin/url/linabs/canary. 
You can reach out to the front desk by responding to this message any time. Reply QUIT to stop.</t>
  </si>
  <si>
    <t>Hi Allison,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</si>
  <si>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+14128224838</t>
  </si>
  <si>
    <t>Dear Mary,
This is Ashworth By The Sea Hotel. Make sure to complete the pre-arrival check-in for your upcoming stay:
https://mobility.stayntouch.com/checkin/url/linabs/canary. 
You can reach out to the front desk by responding to this message any time. Reply QUIT to stop.</t>
  </si>
  <si>
    <t>I'm trying to find someone to take over the room sincey cat broke down and I had to turn around and come home</t>
  </si>
  <si>
    <t>+14132048646</t>
  </si>
  <si>
    <t>Hi Chris,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</si>
  <si>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Chris,
This is Ashworth By The Sea Hotel. Make sure to complete the pre-arrival check-in for your upcoming stay:
https://mobility.stayntouch.com/checkin/url/linabs/canary. 
You can reach out to the front desk by responding to this message any time. Reply QUIT to stop.</t>
  </si>
  <si>
    <t>+14132213391</t>
  </si>
  <si>
    <t>Hi Meagan,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</si>
  <si>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Meagan,
This is Ashworth By The Sea Hotel. Make sure to complete the pre-arrival check-in for your upcoming stay:
https://mobility.stayntouch.com/checkin/url/linabs/canary. 
You can reach out to the front desk by responding to this message any time. Reply QUIT to stop.</t>
  </si>
  <si>
    <t>+14132778087</t>
  </si>
  <si>
    <t xml:space="preserve">Reminder : How was your stay at Ashworth By The Sea? 3 Minute Survey
Please share your feedback with Medallia
                    Thank you so much for your recent stay.
                      ‌ ‌ ‌ ‌ ‌ ‌ ‌ ‌ ‌ ‌ ‌ ‌ ‌ ‌ ‌ ‌ ‌ ‌ 
alt_text
Dear Jason Ortiz,
A few days ago, we sent you an invitation for you to provide us with valuable
feedback regarding your recent stay with us at Ashworth By The Sea, where you
checked out on July 12, 2026.
We would still like to hear about your stay and understand if we met your
expectations. It's easy and will only take a few minutes.
How likely are you to recommend Ashworth By The Sea to a friend or colleague?
Not at all Likely                                               Extremely Likely
┌──────┬──────┬──────┬──────┬──────┬──────┬──────┬──────┬──────┬──────┬────────┐
│  0   │  1   │  2   │  3   │  4   │  5   │  6   │  7   │  8   │  9   │   10   │
└──────┴──────┴──────┴──────┴──────┴──────┴──────┴──────┴──────┴──────┴────────┘
This is the only reminder you will receive from us. If you have already
completed this online form, please disregard this email and thank you for
sharing your opinions with us.
Sincerely,
Andrew Fare
General Manager
Ashworth By The Sea
                              Powered by Medallia
Please do not “Reply” to this invitation.
To unsubscribe: We rely on feedback from guests to ensure that your stay will
meet and exceed your expectations. If, however, you would not like to receive a
survey invitation in the future, please click this link:
https://survey10.medallia.com/?evsbch2kfd94wn22m9crht&amp;reject=begin, to
unsubscribe to our guest satisfaction surveys.
Should you need help accessing or completing this survey, please visit:
surveysupport.medallia.com
</t>
  </si>
  <si>
    <t xml:space="preserve">Re: You have a message from Ashworth by the Sea
Ok thank you so much!
</t>
  </si>
  <si>
    <t xml:space="preserve">How was your stay at Ashworth By The Sea? 3 Minute Survey
Please share your feedback with Medallia
Thank you so much for your recent stay.
‌ ‌ ‌ ‌ ‌ ‌ ‌ ‌ ‌ ‌ ‌ ‌ ‌ ‌ ‌ ‌ ‌ ‌ 
alt_text
Dear Jason Ortiz,
We hope you enjoyed your recent stay at Ashworth By The Sea, where you checked
out on July 12, 2026.
We genuinely care about your experience with us, and we'd really appreciate your
feedback — it will only take a few minutes.
How likely are you to recommend Ashworth By The Sea to a friend or colleague?
Not at all Likely                        Extremely Likely
0       1       2      3      4      5      6      7      8      9      10
By completing this survey, you may be contacted by the hotel to help improve the
quality of service provided.
We appreciate your opinion and look forward to welcoming you again soon.
Kind Regards,
Andrew Fare
General Manager
Ashworth By The Sea
Powered by Medallia
Please do not “Reply” to this invitation.
To unsubscribe: We rely on feedback from guests to ensure that your stay will
meet and exceed your expectations. If, however, you would not like to receive a
survey invitation in the future, please click this link:
https://survey10.medallia.com/?evsbch2kfd94wn22m9crht&amp;reject=begin, to
unsubscribe to our guest satisfaction surveys.
Should you need help accessing or completing this survey, please visit:
surveysupport.medallia.com
</t>
  </si>
  <si>
    <t>Yes, we do allow pets at our hotel, but please note that charges may apply. If you have any specific questions or need further assistance regarding your stay with your dog, feel free to ask!
Early check-in is based on availability and cannot be guaranteed in advance. Please contact the hotel on the day of your arrival to inquire about the possibility of checking in early.</t>
  </si>
  <si>
    <t>Dear Jason,
This is Ashworth By The Sea Hotel. Make sure to complete the pre-arrival check-in for your upcoming stay:
https://mobility.stayntouch.com/checkin/url/linabs/canary. 
You can reach out to the front desk by responding to this message any time. Reply QUIT to stop.</t>
  </si>
  <si>
    <t xml:space="preserve">Complete pre-arrival check-in - Ashworth By The Sea Hotel
Contactless Check-In
Hello Jason,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Canary Technologies logo Powered by Canary Technologies • Unsubscribe • Privacy
Policy
</t>
  </si>
  <si>
    <t xml:space="preserve">Pre-check in for your stay at Ashworth by the Sea
Hi Jason,
Use the link below to check in before your arrival to speed up the process!
Upgrades and more may be available!
Pre Check-In
When you arrive, please present your photo ID and credit card. See you soon -
safe travels!
This is an automated message from Ashworth by the Sea -
frontdesk@ashworthbythesea.com
©2026  |  All Rights Reserved
295 Ocean Blvd. , Hampton, NH, 03842, United States
Call us at  603-926-6762
Privacy Policy  |  FAQs
</t>
  </si>
  <si>
    <t xml:space="preserve">INVOICE: Ashworth by the Sea | 105327
Thank you for staying at Ashworth by the Sea. Your invoice is attached.
</t>
  </si>
  <si>
    <t>Hi Jason,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</si>
  <si>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I'd like to request check-in at 02:00 - 03:00. Is this ok?</t>
  </si>
  <si>
    <t>Allegria Hotel Upsell Overview - July</t>
  </si>
  <si>
    <t>Allegria Hotel Messaging Overview - July</t>
  </si>
  <si>
    <t>We have one dog coming with us.</t>
  </si>
  <si>
    <t xml:space="preserve">Ashworth By The Sea Hotel - Set checkout time now
Contactless Checkout
Hello Jason,
Your departure is coming up. Use the link below to set your checkout time.
https://mobility.stayntouch.com/checkout/ashworthbythesea
We hope you enjoyed your stay.
Sincerely,
Ashworth By The Sea Hotel
Ashworth By The Sea Hotel | 295 Ocean Blvd, Hampton, NH 03842-3629
Canary Technologies logo Powered by Canary Technologies • Unsubscribe • Privacy
Policy
</t>
  </si>
  <si>
    <t>+14132810981</t>
  </si>
  <si>
    <t>WiFi password?</t>
  </si>
  <si>
    <t>You can access our WiFi without a password! The WiFi network is called "Ashworth by the Sea."</t>
  </si>
  <si>
    <t>Hi Cassidy,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</si>
  <si>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 xml:space="preserve">Pre-check in for your stay at Ashworth by the Sea
                                  Hi Cassidy,
  Use the link below to check in before your arrival to speed up the process!
                      Upgrades and more may be available!
                                  Pre Check-In
 When you arrive, please present your photo ID and credit card. See you soon -
                                 safe travels!
            This is an automated message from Ashworth by the Sea -
                         frontdesk@ashworthbythesea.com
                         ©2026  |  All Rights Reserved
              295 Ocean Blvd. , Hampton, NH, 03842, United States
                            Call us at  603-926-6762
                            Privacy Policy  |  FAQs
</t>
  </si>
  <si>
    <t>Thank you for contacting us, Cassidy Crawford.
Private parking is possible on site (reservation is not needed) and costs US$25 per day.
We look forward to your stay.
Best regards,
Ashworth by the Sea</t>
  </si>
  <si>
    <t>Dear Cassidy,
This is Ashworth By The Sea Hotel. Make sure to complete the pre-arrival check-in for your upcoming stay:
https://mobility.stayntouch.com/checkin/url/linabs/canary. 
You can reach out to the front desk by responding to this message any time. Reply QUIT to stop.</t>
  </si>
  <si>
    <t xml:space="preserve">Hello! I have a booking for the 16th of July, do you guys have parking? </t>
  </si>
  <si>
    <t>You would pull up to the front of the building, unload your belongings, then the valets will park your car for you!</t>
  </si>
  <si>
    <t xml:space="preserve">Hello, we are at the beach now. When it is time for check in is there a place to pull up to for parking or is it valet? 
Also, if there’s any way the room will be available earlier please shoot me a message! </t>
  </si>
  <si>
    <t xml:space="preserve">Complete pre-arrival check-in - Ashworth By The Sea Hotel
Contactless Check-In
Hello Cassidy,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Canary Technologies logo Powered by Canary Technologies • Unsubscribe • Privacy
                                     Policy
</t>
  </si>
  <si>
    <t>+14133201173</t>
  </si>
  <si>
    <t>Hi Harmony,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</si>
  <si>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Harmony,
This is Ashworth By The Sea Hotel. Make sure to complete the pre-arrival check-in for your upcoming stay:
https://mobility.stayntouch.com/checkin/url/linabs/canary. 
You can reach out to the front desk by responding to this message any time. Reply QUIT to stop.</t>
  </si>
  <si>
    <t>+14133202785</t>
  </si>
  <si>
    <t>Hi Janna,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</si>
  <si>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Janna,
This is Ashworth By The Sea Hotel. Make sure to complete the pre-arrival check-in for your upcoming stay:
https://mobility.stayntouch.com/checkin/url/linabs/canary. 
You can reach out to the front desk by responding to this message any time. Reply QUIT to stop.</t>
  </si>
  <si>
    <t>+14133242103</t>
  </si>
  <si>
    <t>Dear Lynn,
This is Ashworth By The Sea Hotel. Make sure to complete the pre-arrival check-in for your upcoming stay:
https://mobility.stayntouch.com/checkin/url/linabs/canary. 
You can reach out to the front desk by responding to this message any time. Reply QUIT to stop.</t>
  </si>
  <si>
    <t>Hi Lynn,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</si>
  <si>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+14133308148</t>
  </si>
  <si>
    <t xml:space="preserve">Pre-check in for your stay at Ashworth by the Sea
                                  Hi Michelle,
  Use the link below to check in before your arrival to speed up the process!
                      Upgrades and more may be available!
                                  Pre Check-In
 When you arrive, please present your photo ID and credit card. See you soon -
                                 safe travels!
            This is an automated message from Ashworth by the Sea -
                         frontdesk@ashworthbythesea.com
                         ©2026  |  All Rights Reserved
              295 Ocean Blvd. , Hampton, NH, 03842, United States
                            Call us at  603-926-6762
                            Privacy Policy  |  FAQs
</t>
  </si>
  <si>
    <t>Hello, we are coming up on Friday, is there any chance of an early check in?</t>
  </si>
  <si>
    <t xml:space="preserve">Complete pre-arrival check-in - Ashworth By The Sea Hotel
Contactless Check-In
Hello Michelle,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Canary Technologies logo Powered by Canary Technologies • Unsubscribe • Privacy
                                     Policy
</t>
  </si>
  <si>
    <t>+14133357974</t>
  </si>
  <si>
    <t>Dear Jon,
This is Ashworth By The Sea Hotel. Make sure to complete the pre-arrival check-in for your upcoming stay:
https://mobility.stayntouch.com/checkin/url/linabs/canary. 
You can reach out to the front desk by responding to this message any time. Reply QUIT to stop.</t>
  </si>
  <si>
    <t>Hi Jon,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</si>
  <si>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+14133486612</t>
  </si>
  <si>
    <t>Hi Ellen,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</si>
  <si>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Ellen,
This is Ashworth By The Sea Hotel. Make sure to complete the pre-arrival check-in for your upcoming stay:
https://mobility.stayntouch.com/checkin/url/linabs/canary. 
You can reach out to the front desk by responding to this message any time. Reply QUIT to stop.</t>
  </si>
  <si>
    <t>+14133863708</t>
  </si>
  <si>
    <t>Hello Mrs. Papadoulias, unfortunately, we wouldn't be able to combine the reservation dates into one since the second reservation that was made is an advanced purchase, which cannot be modified or cancelled in any way. We apologize. It does show that you booked the same room type for both reservations, so we can go ahead and keep you in the same room.</t>
  </si>
  <si>
    <t>Hi! I booked a room for Monday into Tuesday to extend my stay one more night, is there any way to combine these reservations so I wouldn't have to change rooms?</t>
  </si>
  <si>
    <t>+14133886022</t>
  </si>
  <si>
    <t>Dear Brad,
This is Ashworth By The Sea Hotel. Make sure to complete the pre-arrival check-in for your upcoming stay:
https://mobility.stayntouch.com/checkin/url/linabs/canary. 
You can reach out to the front desk by responding to this message any time. Reply QUIT to stop.</t>
  </si>
  <si>
    <t>Hi Brad,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</si>
  <si>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+14133889237</t>
  </si>
  <si>
    <t>No worries! See you soon!</t>
  </si>
  <si>
    <t>Okay we are coming back but are about 30 minutes away. Sorry!</t>
  </si>
  <si>
    <t>Hi Savannah, we wanted to let you know that we've received reports that your dogs have been barking loudly and are disturbing other guests. We kindly ask that you take steps to minimize the noise so everyone can enjoy a comfortable stay. We appreciate your understanding and cooperation.</t>
  </si>
  <si>
    <t>+14133896013</t>
  </si>
  <si>
    <t>Hi Cody,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</si>
  <si>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Cody,
This is Ashworth By The Sea Hotel. Make sure to complete the pre-arrival check-in for your upcoming stay:
https://mobility.stayntouch.com/checkin/url/linabs/canary. 
You can reach out to the front desk by responding to this message any time. Reply QUIT to stop.</t>
  </si>
  <si>
    <t>+14134275379</t>
  </si>
  <si>
    <t>Dear Linda,
This is Ashworth By The Sea Hotel. Make sure to complete the pre-arrival check-in for your upcoming stay:
https://mobility.stayntouch.com/checkin/url/linabs/canary. 
You can reach out to the front desk by responding to this message any time. Reply QUIT to stop.</t>
  </si>
  <si>
    <t>Hi Linda,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</si>
  <si>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+14134395022</t>
  </si>
  <si>
    <t>+14134395351</t>
  </si>
  <si>
    <t>+14134496565</t>
  </si>
  <si>
    <t xml:space="preserve">Pre-check in for your stay at Ashworth by the Sea
                                  Hi Tiffany,
  Use the link below to check in before your arrival to speed up the process!
                      Upgrades and more may be available!
                                  Pre Check-In
 When you arrive, please present your photo ID and credit card. See you soon -
                                 safe travels!
            This is an automated message from Ashworth by the Sea -
                         frontdesk@ashworthbythesea.com
                         ©2026  |  All Rights Reserved
              295 Ocean Blvd. , Hampton, NH, 03842, United States
                            Call us at  603-926-6762
                            Privacy Policy  |  FAQs
</t>
  </si>
  <si>
    <t>Romance Getaway Room Package</t>
  </si>
  <si>
    <t xml:space="preserve">Complete pre-arrival check-in - Ashworth By The Sea Hotel
Contactless Check-In
Hello Tiffany,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+16039266762
Canary Technologies logo Powered by Canary Technologies • Unsubscribe • Privacy
                                     Policy
</t>
  </si>
  <si>
    <t xml:space="preserve">INVOICE: Ashworth by the Sea | 107790
Thank you for staying at Ashworth by the Sea. Your invoice is attached.
</t>
  </si>
  <si>
    <t>Dear Tiffany,
This is Ashworth By The Sea Hotel. Make sure to complete the pre-arrival check-in for your upcoming stay:
https://mobility.stayntouch.com/checkin/url/linabs/canary. 
You can reach out to the front desk by responding to this message any time. Reply QUIT to stop.</t>
  </si>
  <si>
    <t>Hi Tiffany,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</si>
  <si>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+14134541024</t>
  </si>
  <si>
    <t>Dear Brett,
This is Ashworth By The Sea Hotel. Make sure to complete the pre-arrival check-in for your upcoming stay:
https://mobility.stayntouch.com/checkin/url/linabs/canary. 
You can reach out to the front desk by responding to this message any time. Reply QUIT to stop.</t>
  </si>
  <si>
    <t>Hi Brett,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</si>
  <si>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+14134595154</t>
  </si>
  <si>
    <t>Dear Courtney,
This is Ashworth By The Sea Hotel. Make sure to complete the pre-arrival check-in for your upcoming stay:
https://mobility.stayntouch.com/checkin/url/linabs/canary. 
You can reach out to the front desk by responding to this message any time. Reply QUIT to stop.</t>
  </si>
  <si>
    <t>Hi Courtney,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</si>
  <si>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+14134596186</t>
  </si>
  <si>
    <t>Hi Luther,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</si>
  <si>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Dear Luther,
This is Ashworth By The Sea Hotel. Make sure to complete the pre-arrival check-in for your upcoming stay:
https://mobility.stayntouch.com/checkin/url/linabs/canary. 
You can reach out to the front desk by responding to this message any time. Reply QUIT to stop.</t>
  </si>
  <si>
    <t>+14134598890</t>
  </si>
  <si>
    <t xml:space="preserve">Pre-check in for your stay at Ashworth by the Sea
Hi Yareliz,
Use the link below to check in before your arrival to speed up the process!
Upgrades and more may be available!
Pre Check-In
When you arrive, please present your photo ID and credit card. See you soon -
safe travels!
This is an automated message from Ashworth by the Sea -
frontdesk@ashworthbythesea.com
©2026  |  All Rights Reserved
295 Ocean Blvd. , Hampton, NH, 03842, United States
Call us at  603-926-6762
Privacy Policy  |  FAQs
</t>
  </si>
  <si>
    <t xml:space="preserve">Ashworth By The Sea Hotel - Set checkout time now
Contactless Checkout
Hello Yareliz,
Your departure is coming up. Use the link below to set your checkout time.
https://mobility.stayntouch.com/checkout/ashworthbythesea
We hope you enjoyed your stay.
Sincerely,
Ashworth By The Sea Hotel
Ashworth By The Sea Hotel | 295 Ocean Blvd, Hampton, NH 03842-3629
Canary Technologies logo Powered by Canary Technologies • Unsubscribe • Privacy
Policy
</t>
  </si>
  <si>
    <t>Dear Yareliz,
This is Ashworth By The Sea Hotel. Make sure to complete the pre-arrival check-in for your upcoming stay:
https://mobility.stayntouch.com/checkin/url/linabs/canary. 
You can reach out to the front desk by responding to this message any time. Reply QUIT to stop.</t>
  </si>
  <si>
    <t xml:space="preserve">Complete pre-arrival check-in - Ashworth By The Sea Hotel
Contactless Check-In
Hello Yareliz,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Canary Technologies logo Powered by Canary Technologies • Unsubscribe • Privacy
Policy
</t>
  </si>
  <si>
    <t xml:space="preserve">How was your stay at Ashworth By The Sea? 3 Minute Survey
Please share your feedback with Medallia
Thank you so much for your recent stay.
‌ ‌ ‌ ‌ ‌ ‌ ‌ ‌ ‌ ‌ ‌ ‌ ‌ ‌ ‌ ‌ ‌ ‌ 
alt_text
Dear Yareliz Rodriguez,
We hope you enjoyed your recent stay at Ashworth By The Sea, where you checked
out on July 12, 2026.
We genuinely care about your experience with us, and we'd really appreciate your
feedback — it will only take a few minutes.
How likely are you to recommend Ashworth By The Sea to a friend or colleague?
Not at all Likely                        Extremely Likely
0       1       2      3      4      5      6      7      8      9      10
By completing this survey, you may be contacted by the hotel to help improve the
quality of service provided.
We appreciate your opinion and look forward to welcoming you again soon.
Kind Regards,
Andrew Fare
General Manager
Ashworth By The Sea
Powered by Medallia
Please do not “Reply” to this invitation.
To unsubscribe: We rely on feedback from guests to ensure that your stay will
meet and exceed your expectations. If, however, you would not like to receive a
survey invitation in the future, please click this link:
https://survey10.medallia.com/?ekwhpyykfd94wn22m9crht&amp;reject=begin, to
unsubscribe to our guest satisfaction surveys.
Should you need help accessing or completing this survey, please visit:
surveysupport.medallia.com
</t>
  </si>
  <si>
    <t xml:space="preserve">INVOICE: Ashworth by the Sea | 106836
Thank you for staying at Ashworth by the Sea. Your invoice is attached.
</t>
  </si>
  <si>
    <t>Hi Yareliz,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</si>
  <si>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If room is available earlier please let us know if can have an early check in.</t>
  </si>
  <si>
    <t xml:space="preserve">Reminder : How was your stay at Ashworth By The Sea? 3 Minute Survey
Please share your feedback with Medallia
                    Thank you so much for your recent stay.
                      ‌ ‌ ‌ ‌ ‌ ‌ ‌ ‌ ‌ ‌ ‌ ‌ ‌ ‌ ‌ ‌ ‌ ‌ 
alt_text
Dear Yareliz Rodriguez,
A few days ago, we sent you an invitation for you to provide us with valuable
feedback regarding your recent stay with us at Ashworth By The Sea, where you
checked out on July 12, 2026.
We would still like to hear about your stay and understand if we met your
expectations. It's easy and will only take a few minutes.
How likely are you to recommend Ashworth By The Sea to a friend or colleague?
Not at all Likely                                               Extremely Likely
┌──────┬──────┬──────┬──────┬──────┬──────┬──────┬──────┬──────┬──────┬────────┐
│  0   │  1   │  2   │  3   │  4   │  5   │  6   │  7   │  8   │  9   │   10   │
└──────┴──────┴──────┴──────┴──────┴──────┴──────┴──────┴──────┴──────┴────────┘
This is the only reminder you will receive from us. If you have already
completed this online form, please disregard this email and thank you for
sharing your opinions with us.
Sincerely,
Andrew Fare
General Manager
Ashworth By The Sea
                              Powered by Medallia
Please do not “Reply” to this invitation.
To unsubscribe: We rely on feedback from guests to ensure that your stay will
meet and exceed your expectations. If, however, you would not like to receive a
survey invitation in the future, please click this link:
https://survey10.medallia.com/?ekwhpyykfd94wn22m9crht&amp;reject=begin, to
unsubscribe to our guest satisfaction surveys.
Should you need help accessing or completing this survey, please visit:
surveysupport.medallia.com
</t>
  </si>
  <si>
    <t>+14134783738</t>
  </si>
  <si>
    <t>Dear Tracy,
This is Ashworth By The Sea Hotel. Make sure to complete the pre-arrival check-in for your upcoming stay:
https://mobility.stayntouch.com/checkin/url/linabs/canary. 
You can reach out to the front desk by responding to this message any time. Reply QUIT to stop.</t>
  </si>
  <si>
    <t>Hi Tracy,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</si>
  <si>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Hi Tracy, your second room is ready for check - in</t>
  </si>
  <si>
    <t>+14134784134</t>
  </si>
  <si>
    <t>Dear Frank,
This is Ashworth By The Sea Hotel. Make sure to complete the pre-arrival check-in for your upcoming stay:
https://mobility.stayntouch.com/checkin/url/linabs/canary. 
You can reach out to the front desk by responding to this message any time. Reply QUIT to stop.</t>
  </si>
  <si>
    <t>Hi Frank,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</si>
  <si>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+14135222389</t>
  </si>
  <si>
    <t>Dear Heidi,
This is Ashworth By The Sea Hotel. Make sure to complete the pre-arrival check-in for your upcoming stay:
https://mobility.stayntouch.com/checkin/url/linabs/canary. 
You can reach out to the front desk by responding to this message any time. Reply QUIT to stop.</t>
  </si>
  <si>
    <t>Hi Heidi,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</si>
  <si>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+14135311165</t>
  </si>
  <si>
    <t>Hi Kyle,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</si>
  <si>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+14135315744</t>
  </si>
  <si>
    <t>Dear Jeffery,
This is Ashworth By The Sea Hotel. Make sure to complete the pre-arrival check-in for your upcoming stay:
https://mobility.stayntouch.com/checkin/url/linabs/canary. 
You can reach out to the front desk by responding to this message any time. Reply QUIT to stop.</t>
  </si>
  <si>
    <t>+14135484561</t>
  </si>
  <si>
    <t>Dear Doug,
This is Ashworth By The Sea Hotel. Make sure to complete the pre-arrival check-in for your upcoming stay:
https://mobility.stayntouch.com/checkin/url/linabs/canary. 
You can reach out to the front desk by responding to this message any time. Reply QUIT to stop.</t>
  </si>
  <si>
    <t>Hi Doug,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</si>
  <si>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 xml:space="preserve">INVOICE: Ashworth by the Sea | 106172
Thank you for staying at Ashworth by the Sea. Your invoice is attached.
</t>
  </si>
  <si>
    <t xml:space="preserve">Pre-check in for your stay at Ashworth by the Sea
                                    Hi Doug,
  Use the link below to check in before your arrival to speed up the process!
                      Upgrades and more may be available!
                                  Pre Check-In
 When you arrive, please present your photo ID and credit card. See you soon -
                                 safe travels!
            This is an automated message from Ashworth by the Sea -
                         frontdesk@ashworthbythesea.com
                         ©2026  |  All Rights Reserved
              295 Ocean Blvd. , Hampton, NH, 03842, United States
                            Call us at  603-926-6762
                            Privacy Policy  |  FAQs
</t>
  </si>
  <si>
    <t xml:space="preserve">Complete pre-arrival check-in - Ashworth By The Sea Hotel
Contactless Check-In
Hello Doug,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Canary Technologies logo Powered by Canary Technologies • Unsubscribe • Privacy
                                     Policy
</t>
  </si>
  <si>
    <t>Upsell Name</t>
  </si>
  <si>
    <t xml:space="preserve">How was your stay at Ashworth By The Sea? 3 Minute Survey
Please share your feedback with Medallia
                    Thank you so much for your recent stay.
                      ‌ ‌ ‌ ‌ ‌ ‌ ‌ ‌ ‌ ‌ ‌ ‌ ‌ ‌ ‌ ‌ ‌ ‌ 
alt_text
Dear Doug Goodnow,
We hope you enjoyed your recent stay at Ashworth By The Sea, where you checked
out on July 19, 2026.
We genuinely care about your experience with us, and we'd really appreciate your
feedback — it will only take a few minutes.
How likely are you to recommend Ashworth By The Sea to a friend or colleague?
Not at all Likely                                               Extremely Likely
┌──────┬──────┬──────┬──────┬──────┬──────┬──────┬──────┬──────┬──────┬────────┐
│  0   │  1   │  2   │  3   │  4   │  5   │  6   │  7   │  8   │  9   │   10   │
└──────┴──────┴──────┴──────┴──────┴──────┴──────┴──────┴──────┴──────┴────────┘
By completing this survey, you may be contacted by the hotel to help improve the
quality of service provided.
We appreciate your opinion and look forward to welcoming you again soon.
Kind Regards,
Andrew Fare
General Manager
Ashworth By The Sea
                              Powered by Medallia
Please do not “Reply” to this invitation.
To unsubscribe: We rely on feedback from guests to ensure that your stay will
meet and exceed your expectations. If, however, you would not like to receive a
survey invitation in the future, please click this link:
https://survey10.medallia.com/?ef7n3fykfd94wn22m9crht&amp;reject=begin, to
unsubscribe to our guest satisfaction surveys.
Should you need help accessing or completing this survey, please visit:
surveysupport.medallia.com
</t>
  </si>
  <si>
    <t>Average Revenue</t>
  </si>
  <si>
    <t>+14135753764</t>
  </si>
  <si>
    <t>Hi Aimee,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</si>
  <si>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Aimee,
This is Ashworth By The Sea Hotel. Make sure to complete the pre-arrival check-in for your upcoming stay:
https://mobility.stayntouch.com/checkin/url/linabs/canary. 
You can reach out to the front desk by responding to this message any time. Reply QUIT to stop.</t>
  </si>
  <si>
    <t>+14135797591</t>
  </si>
  <si>
    <t xml:space="preserve">Complete pre-arrival check-in - Ashworth By The Sea Hotel
Contactless Check-In
Hello Cheryl,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Canary Technologies logo Powered by Canary Technologies • Unsubscribe • Privacy
                                     Policy
</t>
  </si>
  <si>
    <t>Dear Cheryl,
This is Ashworth By The Sea Hotel. Make sure to complete the pre-arrival check-in for your upcoming stay:
https://mobility.stayntouch.com/checkin/url/linabs/canary. 
You can reach out to the front desk by responding to this message any time. Reply QUIT to stop.</t>
  </si>
  <si>
    <t>Hi Cheryl,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</si>
  <si>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+14135888697</t>
  </si>
  <si>
    <t>Hi Timothy,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</si>
  <si>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Dear Timothy,
This is Ashworth By The Sea Hotel. Make sure to complete the pre-arrival check-in for your upcoming stay:
https://mobility.stayntouch.com/checkin/url/linabs/canary. 
You can reach out to the front desk by responding to this message any time. Reply QUIT to stop.</t>
  </si>
  <si>
    <t>+14136365459</t>
  </si>
  <si>
    <t xml:space="preserve">Pre-check in for your stay at Ashworth by the Sea
                                  Hi Kimberly,
  Use the link below to check in before your arrival to speed up the process!
                      Upgrades and more may be available!
                                  Pre Check-In
 When you arrive, please present your photo ID and credit card. See you soon -
                                 safe travels!
            This is an automated message from Ashworth by the Sea -
                         frontdesk@ashworthbythesea.com
                         ©2026  |  All Rights Reserved
              295 Ocean Blvd. , Hampton, NH, 03842, United States
                            Call us at  603-926-6762
                            Privacy Policy  |  FAQs
</t>
  </si>
  <si>
    <t xml:space="preserve">How was your stay at Ashworth By The Sea? 3 Minute Survey
Please share your feedback with Medallia
                    Thank you so much for your recent stay.
                      ‌ ‌ ‌ ‌ ‌ ‌ ‌ ‌ ‌ ‌ ‌ ‌ ‌ ‌ ‌ ‌ ‌ ‌ 
alt_text
Dear Kimberly Hebert,
We hope you enjoyed your recent stay at Ashworth By The Sea, where you checked
out on July 27, 2026.
We genuinely care about your experience with us, and we'd really appreciate your
feedback — it will only take a few minutes.
How likely are you to recommend Ashworth By The Sea to a friend or colleague?
Not at all Likely                                               Extremely Likely
┌──────┬──────┬──────┬──────┬──────┬──────┬──────┬──────┬──────┬──────┬────────┐
│  0   │  1   │  2   │  3   │  4   │  5   │  6   │  7   │  8   │  9   │   10   │
└──────┴──────┴──────┴──────┴──────┴──────┴──────┴──────┴──────┴──────┴────────┘
By completing this survey, you may be contacted by the hotel to help improve the
quality of service provided.
We appreciate your opinion and look forward to welcoming you again soon.
Kind Regards,
Andrew Fare
General Manager
Ashworth By The Sea
                              Powered by Medallia
Please do not “Reply” to this invitation.
To unsubscribe: We rely on feedback from guests to ensure that your stay will
meet and exceed your expectations. If, however, you would not like to receive a
survey invitation in the future, please click this link:
https://survey10.medallia.com/?e4zdn57ffd94wn22m9crht&amp;reject=begin, to
unsubscribe to our guest satisfaction surveys.
Should you need help accessing or completing this survey, please visit:
surveysupport.medallia.com
</t>
  </si>
  <si>
    <t xml:space="preserve">INVOICE: Ashworth by the Sea | 104712
Thank you for staying at Ashworth by the Sea. Your invoice is attached.
</t>
  </si>
  <si>
    <t xml:space="preserve">Complete pre-arrival check-in - Ashworth By The Sea Hotel
Contactless Check-In
Hello Kimberly,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Canary Technologies logo Powered by Canary Technologies • Unsubscribe • Privacy
                                     Policy
</t>
  </si>
  <si>
    <t>+14136520664</t>
  </si>
  <si>
    <t>Dear Kyla,
This is Ashworth By The Sea Hotel. Make sure to complete the pre-arrival check-in for your upcoming stay:
https://mobility.stayntouch.com/checkin/url/linabs/canary. 
You can reach out to the front desk by responding to this message any time. Reply QUIT to stop.</t>
  </si>
  <si>
    <t>+14136527588</t>
  </si>
  <si>
    <t>Dear Mathew,
This is Ashworth By The Sea Hotel. Make sure to complete the pre-arrival check-in for your upcoming stay:
https://mobility.stayntouch.com/checkin/url/linabs/canary. 
You can reach out to the front desk by responding to this message any time. Reply QUIT to stop.</t>
  </si>
  <si>
    <t>+14136547471</t>
  </si>
  <si>
    <t xml:space="preserve">Ashworth By The Sea Hotel - Set checkout time now
Contactless Checkout
Hello Greg,
Your departure is coming up. Use the link below to set your checkout time.
https://mobility.stayntouch.com/checkout/ashworthbythesea
We hope you enjoyed your stay.
Sincerely,
Ashworth By The Sea Hotel
Ashworth By The Sea Hotel | 295 Ocean Blvd, Hampton, NH 03842-3629
Canary Technologies logo Powered by Canary Technologies • Unsubscribe • Privacy
Policy
</t>
  </si>
  <si>
    <t>Dear Greg,
This is Ashworth By The Sea Hotel. Make sure to complete the pre-arrival check-in for your upcoming stay:
https://mobility.stayntouch.com/checkin/url/linabs/canary. 
You can reach out to the front desk by responding to this message any time. Reply QUIT to stop.</t>
  </si>
  <si>
    <t xml:space="preserve">How was your stay at Ashworth By The Sea? 3 Minute Survey
Please share your feedback with Medallia
Thank you so much for your recent stay.
‌ ‌ ‌ ‌ ‌ ‌ ‌ ‌ ‌ ‌ ‌ ‌ ‌ ‌ ‌ ‌ ‌ ‌ 
alt_text
Dear Greg Danis,
We hope you enjoyed your recent stay at Ashworth By The Sea, where you checked
out on July 12, 2026.
We genuinely care about your experience with us, and we'd really appreciate your
feedback — it will only take a few minutes.
How likely are you to recommend Ashworth By The Sea to a friend or colleague?
Not at all Likely                        Extremely Likely
0       1       2      3      4      5      6      7      8      9      10
By completing this survey, you may be contacted by the hotel to help improve the
quality of service provided.
We appreciate your opinion and look forward to welcoming you again soon.
Kind Regards,
Andrew Fare
General Manager
Ashworth By The Sea
Powered by Medallia
Please do not “Reply” to this invitation.
To unsubscribe: We rely on feedback from guests to ensure that your stay will
meet and exceed your expectations. If, however, you would not like to receive a
survey invitation in the future, please click this link:
https://survey10.medallia.com/?evwwpyykfd94wn22m9crht&amp;reject=begin, to
unsubscribe to our guest satisfaction surveys.
Should you need help accessing or completing this survey, please visit:
surveysupport.medallia.com
</t>
  </si>
  <si>
    <t xml:space="preserve">INVOICE: Ashworth by the Sea | 106769
Thank you for staying at Ashworth by the Sea. Your invoice is attached.
</t>
  </si>
  <si>
    <t>Hi Greg,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</si>
  <si>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 xml:space="preserve">Reminder : How was your stay at Ashworth By The Sea? 3 Minute Survey
Please share your feedback with Medallia
                    Thank you so much for your recent stay.
                      ‌ ‌ ‌ ‌ ‌ ‌ ‌ ‌ ‌ ‌ ‌ ‌ ‌ ‌ ‌ ‌ ‌ ‌ 
alt_text
Dear Greg Danis,
A few days ago, we sent you an invitation for you to provide us with valuable
feedback regarding your recent stay with us at Ashworth By The Sea, where you
checked out on July 12, 2026.
We would still like to hear about your stay and understand if we met your
expectations. It's easy and will only take a few minutes.
How likely are you to recommend Ashworth By The Sea to a friend or colleague?
Not at all Likely                                               Extremely Likely
┌──────┬──────┬──────┬──────┬──────┬──────┬──────┬──────┬──────┬──────┬────────┐
│  0   │  1   │  2   │  3   │  4   │  5   │  6   │  7   │  8   │  9   │   10   │
└──────┴──────┴──────┴──────┴──────┴──────┴──────┴──────┴──────┴──────┴────────┘
This is the only reminder you will receive from us. If you have already
completed this online form, please disregard this email and thank you for
sharing your opinions with us.
Sincerely,
Andrew Fare
General Manager
Ashworth By The Sea
                              Powered by Medallia
Please do not “Reply” to this invitation.
To unsubscribe: We rely on feedback from guests to ensure that your stay will
meet and exceed your expectations. If, however, you would not like to receive a
survey invitation in the future, please click this link:
https://survey10.medallia.com/?evwwpyykfd94wn22m9crht&amp;reject=begin, to
unsubscribe to our guest satisfaction surveys.
Should you need help accessing or completing this survey, please visit:
surveysupport.medallia.com
</t>
  </si>
  <si>
    <t xml:space="preserve">Pre-check in for your stay at Ashworth by the Sea
Hi Greg,
Use the link below to check in before your arrival to speed up the process!
Upgrades and more may be available!
Pre Check-In
When you arrive, please present your photo ID and credit card. See you soon -
safe travels!
This is an automated message from Ashworth by the Sea -
frontdesk@ashworthbythesea.com
©2026  |  All Rights Reserved
295 Ocean Blvd. , Hampton, NH, 03842, United States
Call us at  603-926-6762
Privacy Policy  |  FAQs
</t>
  </si>
  <si>
    <t xml:space="preserve">Complete pre-arrival check-in - Ashworth By The Sea Hotel
Contactless Check-In
Hello Greg,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Canary Technologies logo Powered by Canary Technologies • Unsubscribe • Privacy
Policy
</t>
  </si>
  <si>
    <t>+14136629241</t>
  </si>
  <si>
    <t>Dear Oliver,
This is Ashworth By The Sea Hotel. Make sure to complete the pre-arrival check-in for your upcoming stay:
https://mobility.stayntouch.com/checkin/url/linabs/canary. 
You can reach out to the front desk by responding to this message any time. Reply QUIT to stop.</t>
  </si>
  <si>
    <t>Hi Oliver,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</si>
  <si>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+14136633326</t>
  </si>
  <si>
    <t xml:space="preserve">Ashworth By The Sea Hotel - Set checkout time now
Contactless Checkout
Hello John,
Your departure is coming up. Use the link below to set your checkout time.
https://mobility.stayntouch.com/checkout/ashworthbythesea
We hope you enjoyed your stay.
Sincerely,
Ashworth By The Sea Hotel
       Ashworth By The Sea Hotel | 295 Ocean Blvd, Hampton, NH 03842-3629
Canary Technologies logo Powered by Canary Technologies • Unsubscribe • Privacy
                                     Policy
</t>
  </si>
  <si>
    <t xml:space="preserve">Pre-check in for your stay at Ashworth by the Sea
Hi John,
Use the link below to check in before your arrival to speed up the process!
Upgrades and more may be available!
Pre Check-In
When you arrive, please present your photo ID and credit card. See you soon -
safe travels!
This is an automated message from Ashworth by the Sea -
frontdesk@ashworthbythesea.com
©2026  |  All Rights Reserved
295 Ocean Blvd. , Hampton, NH, 03842, United States
Call us at  603-926-6762
Privacy Policy  |  FAQs
</t>
  </si>
  <si>
    <t xml:space="preserve">Complete pre-arrival check-in - Ashworth By The Sea Hotel
Contactless Check-In
Hello John,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Canary Technologies logo Powered by Canary Technologies • Unsubscribe • Privacy
Policy
</t>
  </si>
  <si>
    <t>+14136685071</t>
  </si>
  <si>
    <t>Dear Megan,
This is Ashworth By The Sea Hotel. Make sure to complete the pre-arrival check-in for your upcoming stay:
https://mobility.stayntouch.com/checkin/url/linabs/canary. 
You can reach out to the front desk by responding to this message any time. Reply QUIT to stop.</t>
  </si>
  <si>
    <t>Hi Megan,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</si>
  <si>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+14136687886</t>
  </si>
  <si>
    <t>Hi Heather,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</si>
  <si>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Heather,
This is Ashworth By The Sea Hotel. Make sure to complete the pre-arrival check-in for your upcoming stay:
https://mobility.stayntouch.com/checkin/url/linabs/canary. 
You can reach out to the front desk by responding to this message any time. Reply QUIT to stop.</t>
  </si>
  <si>
    <t>+14136878066</t>
  </si>
  <si>
    <t>Hi Erin,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</si>
  <si>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+14136953168</t>
  </si>
  <si>
    <t>Hi Lesley,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</si>
  <si>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+14137702430</t>
  </si>
  <si>
    <t>+14138224362</t>
  </si>
  <si>
    <t>+14138228265</t>
  </si>
  <si>
    <t>+14138244451</t>
  </si>
  <si>
    <t>Hi Wendy,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</si>
  <si>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+14138415081</t>
  </si>
  <si>
    <t xml:space="preserve">Ashworth By The Sea Hotel - Set checkout time now
Contactless Checkout
Hello Edward,
Your departure is coming up. Use the link below to set your checkout time.
https://mobility.stayntouch.com/checkout/ashworthbythesea
We hope you enjoyed your stay.
Sincerely,
Ashworth By The Sea Hotel
Ashworth By The Sea Hotel | 295 Ocean Blvd, Hampton, NH 03842-3629
Canary Technologies logo Powered by Canary Technologies • Unsubscribe • Privacy
Policy
</t>
  </si>
  <si>
    <t xml:space="preserve">Pre-check in for your stay at Ashworth by the Sea
Hi Edward,
Use the link below to check in before your arrival to speed up the process!
Upgrades and more may be available!
Pre Check-In
When you arrive, please present your photo ID and credit card. See you soon -
safe travels!
This is an automated message from Ashworth by the Sea -
frontdesk@ashworthbythesea.com
©2026  |  All Rights Reserved
295 Ocean Blvd. , Hampton, NH, 03842, United States
Call us at  603-926-6762
Privacy Policy  |  FAQs
</t>
  </si>
  <si>
    <t>Upper floor if possible!</t>
  </si>
  <si>
    <t>Dear Edward,
This is Ashworth By The Sea Hotel. Make sure to complete the pre-arrival check-in for your upcoming stay:
https://mobility.stayntouch.com/checkin/url/linabs/canary. 
You can reach out to the front desk by responding to this message any time. Reply QUIT to stop.</t>
  </si>
  <si>
    <t>Hi Edward,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</si>
  <si>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 xml:space="preserve">How was your stay at Ashworth By The Sea? 3 Minute Survey
Please share your feedback with Medallia
Thank you so much for your recent stay.
‌ ‌ ‌ ‌ ‌ ‌ ‌ ‌ ‌ ‌ ‌ ‌ ‌ ‌ ‌ ‌ ‌ ‌ 
alt_text
Dear Edward Elias,
We hope you enjoyed your recent stay at Ashworth By The Sea, where you checked
out on July 12, 2026.
We genuinely care about your experience with us, and we'd really appreciate your
feedback — it will only take a few minutes.
How likely are you to recommend Ashworth By The Sea to a friend or colleague?
Not at all Likely                        Extremely Likely
0       1       2      3      4      5      6      7      8      9      10
By completing this survey, you may be contacted by the hotel to help improve the
quality of service provided.
We appreciate your opinion and look forward to welcoming you again soon.
Kind Regards,
Andrew Fare
General Manager
Ashworth By The Sea
Powered by Medallia
Please do not “Reply” to this invitation.
To unsubscribe: We rely on feedback from guests to ensure that your stay will
meet and exceed your expectations. If, however, you would not like to receive a
survey invitation in the future, please click this link:
https://survey10.medallia.com/?e54nch2kfd94wn22m9crht&amp;reject=begin, to
unsubscribe to our guest satisfaction surveys.
Should you need help accessing or completing this survey, please visit:
surveysupport.medallia.com
</t>
  </si>
  <si>
    <t xml:space="preserve">INVOICE: Ashworth by the Sea | 104733
Thank you for staying at Ashworth by the Sea. Your invoice is attached.
</t>
  </si>
  <si>
    <t xml:space="preserve">Reminder : How was your stay at Ashworth By The Sea? 3 Minute Survey
Please share your feedback with Medallia
                    Thank you so much for your recent stay.
                      ‌ ‌ ‌ ‌ ‌ ‌ ‌ ‌ ‌ ‌ ‌ ‌ ‌ ‌ ‌ ‌ ‌ ‌ 
alt_text
Dear Edward Elias,
A few days ago, we sent you an invitation for you to provide us with valuable
feedback regarding your recent stay with us at Ashworth By The Sea, where you
checked out on July 12, 2026.
We would still like to hear about your stay and understand if we met your
expectations. It's easy and will only take a few minutes.
How likely are you to recommend Ashworth By The Sea to a friend or colleague?
Not at all Likely                                               Extremely Likely
┌──────┬──────┬──────┬──────┬──────┬──────┬──────┬──────┬──────┬──────┬────────┐
│  0   │  1   │  2   │  3   │  4   │  5   │  6   │  7   │  8   │  9   │   10   │
└──────┴──────┴──────┴──────┴──────┴──────┴──────┴──────┴──────┴──────┴────────┘
This is the only reminder you will receive from us. If you have already
completed this online form, please disregard this email and thank you for
sharing your opinions with us.
Sincerely,
Andrew Fare
General Manager
Ashworth By The Sea
                              Powered by Medallia
Please do not “Reply” to this invitation.
To unsubscribe: We rely on feedback from guests to ensure that your stay will
meet and exceed your expectations. If, however, you would not like to receive a
survey invitation in the future, please click this link:
https://survey10.medallia.com/?e54nch2kfd94wn22m9crht&amp;reject=begin, to
unsubscribe to our guest satisfaction surveys.
Should you need help accessing or completing this survey, please visit:
surveysupport.medallia.com
</t>
  </si>
  <si>
    <t xml:space="preserve">Complete pre-arrival check-in - Ashworth By The Sea Hotel
Contactless Check-In
Hello Edward,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Canary Technologies logo Powered by Canary Technologies • Unsubscribe • Privacy
Policy
</t>
  </si>
  <si>
    <t>+14138855937</t>
  </si>
  <si>
    <t xml:space="preserve">Complete pre-arrival check-in - Ashworth By The Sea Hotel
Contactless Check-In
Hello John,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+16039266762
Canary Technologies logo Powered by Canary Technologies • Unsubscribe • Privacy
                                     Policy
</t>
  </si>
  <si>
    <t>+14138872068</t>
  </si>
  <si>
    <t>Dear jAMIE,
This is Ashworth By The Sea Hotel. Make sure to complete the pre-arrival check-in for your upcoming stay:
https://mobility.stayntouch.com/checkin/url/linabs/canary. 
You can reach out to the front desk by responding to this message any time. Reply QUIT to stop.</t>
  </si>
  <si>
    <t>Hi jAMIE,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</si>
  <si>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+14138962867</t>
  </si>
  <si>
    <t>Hi Alan,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</si>
  <si>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+14138965738</t>
  </si>
  <si>
    <t>Hi Alyssa,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</si>
  <si>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Alyssa,
This is Ashworth By The Sea Hotel. Make sure to complete the pre-arrival check-in for your upcoming stay:
https://mobility.stayntouch.com/checkin/url/linabs/canary. 
You can reach out to the front desk by responding to this message any time. Reply QUIT to stop.</t>
  </si>
  <si>
    <t>+14138968406</t>
  </si>
  <si>
    <t>Hello there will be 3 guests can we switch the room?</t>
  </si>
  <si>
    <t>+14182221182</t>
  </si>
  <si>
    <t xml:space="preserve">Complete pre-arrival check-in - Ashworth By The Sea Hotel
Contactless Check-In
Hello Roy,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Canary Technologies logo Powered by Canary Technologies • Unsubscribe • Privacy
                                     Policy
</t>
  </si>
  <si>
    <t xml:space="preserve">Pre-check in for your stay at Ashworth by the Sea
                                    Hi Roy,
  Use the link below to check in before your arrival to speed up the process!
                      Upgrades and more may be available!
                                  Pre Check-In
 When you arrive, please present your photo ID and credit card. See you soon -
                                 safe travels!
            This is an automated message from Ashworth by the Sea -
                         frontdesk@ashworthbythesea.com
                         ©2026  |  All Rights Reserved
              295 Ocean Blvd. , Hampton, NH, 03842, United States
                            Call us at  603-926-6762
                            Privacy Policy  |  FAQs
</t>
  </si>
  <si>
    <t>Hi Roy,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</si>
  <si>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Roy,
This is Ashworth By The Sea Hotel. Make sure to complete the pre-arrival check-in for your upcoming stay:
https://mobility.stayntouch.com/checkin/url/linabs/canary. 
You can reach out to the front desk by responding to this message any time. Reply QUIT to stop.</t>
  </si>
  <si>
    <t>+14184563419</t>
  </si>
  <si>
    <t xml:space="preserve">Pre-check in for your stay at Ashworth by the Sea
                                  Hi Melanie,
  Use the link below to check in before your arrival to speed up the process!
                      Upgrades and more may be available!
                                  Pre Check-In
 When you arrive, please present your photo ID and credit card. See you soon -
                                 safe travels!
            This is an automated message from Ashworth by the Sea -
                         frontdesk@ashworthbythesea.com
                         ©2026  |  All Rights Reserved
              295 Ocean Blvd. , Hampton, NH, 03842, United States
                            Call us at  603-926-6762
                            Privacy Policy  |  FAQs
</t>
  </si>
  <si>
    <t xml:space="preserve">Complete pre-arrival check-in - Ashworth By The Sea Hotel
Contactless Check-In
Hello Melanie,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Canary Technologies logo Powered by Canary Technologies • Unsubscribe • Privacy
                                     Policy
</t>
  </si>
  <si>
    <t>+14187741679</t>
  </si>
  <si>
    <t xml:space="preserve">Pre-check in for your stay at Ashworth by the Sea
                                 Hi Véronique,
  Use the link below to check in before your arrival to speed up the process!
                      Upgrades and more may be available!
                                  Pre Check-In
 When you arrive, please present your photo ID and credit card. See you soon -
                                 safe travels!
            This is an automated message from Ashworth by the Sea -
                         frontdesk@ashworthbythesea.com
                         ©2026  |  All Rights Reserved
              295 Ocean Blvd. , Hampton, NH, 03842, United States
                            Call us at  603-926-6762
                            Privacy Policy  |  FAQs
</t>
  </si>
  <si>
    <t>Dear Véronique,
This is Ashworth By The Sea Hotel. Make sure to complete the pre-arrival check-in for your upcoming stay:
https://mobility.stayntouch.com/checkin/url/linabs/canary. 
You can reach out to the front desk by responding to this message any time. Reply QUIT to stop.</t>
  </si>
  <si>
    <t xml:space="preserve">Complete pre-arrival check-in - Ashworth By The Sea Hotel
Contactless Check-In
Hello Véronique,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Canary Technologies logo Powered by Canary Technologies • Unsubscribe • Privacy
                                     Policy
</t>
  </si>
  <si>
    <t>Hi Véronique,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</si>
  <si>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+14188067218</t>
  </si>
  <si>
    <t>Dear Vachon,
This is Ashworth By The Sea Hotel. Make sure to complete the pre-arrival check-in for your upcoming stay:
https://mobility.stayntouch.com/checkin/url/linabs/canary. 
You can reach out to the front desk by responding to this message any time. Reply QUIT to stop.</t>
  </si>
  <si>
    <t>Hi Vachon,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</si>
  <si>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 xml:space="preserve">Complete pre-arrival check-in - Ashworth By The Sea Hotel
Contactless Check-In
Hello Vachon,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Canary Technologies logo Powered by Canary Technologies • Unsubscribe • Privacy
                                     Policy
</t>
  </si>
  <si>
    <t xml:space="preserve">Pre-check in for your stay at Ashworth by the Sea
                                   Hi Vachon,
  Use the link below to check in before your arrival to speed up the process!
                      Upgrades and more may be available!
                                  Pre Check-In
 When you arrive, please present your photo ID and credit card. See you soon -
                                 safe travels!
            This is an automated message from Ashworth by the Sea -
                         frontdesk@ashworthbythesea.com
                         ©2026  |  All Rights Reserved
              295 Ocean Blvd. , Hampton, NH, 03842, United States
                            Call us at  603-926-6762
                            Privacy Policy  |  FAQs
</t>
  </si>
  <si>
    <t>+14189570145</t>
  </si>
  <si>
    <t xml:space="preserve">Pre-check in for your stay at Ashworth by the Sea
                                Hi Christopher,
  Use the link below to check in before your arrival to speed up the process!
                      Upgrades and more may be available!
                                  Pre Check-In
 When you arrive, please present your photo ID and credit card. See you soon -
                                 safe travels!
            This is an automated message from Ashworth by the Sea -
                         frontdesk@ashworthbythesea.com
                         ©2026  |  All Rights Reserved
              295 Ocean Blvd. , Hampton, NH, 03842, United States
                            Call us at  603-926-6762
                            Privacy Policy  |  FAQs
</t>
  </si>
  <si>
    <t>Can I park my car tomorrow morning for the day at the Hotel even if my reservation is for the night?</t>
  </si>
  <si>
    <t>Dear Christopher,
This is Ashworth By The Sea Hotel. Make sure to complete the pre-arrival check-in for your upcoming stay:
https://mobility.stayntouch.com/checkin/url/linabs/canary. 
You can reach out to the front desk by responding to this message any time. Reply QUIT to stop.</t>
  </si>
  <si>
    <t>Hello?</t>
  </si>
  <si>
    <t xml:space="preserve">Complete pre-arrival check-in - Ashworth By The Sea Hotel
Contactless Check-In
Hello Christopher,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Canary Technologies logo Powered by Canary Technologies • Unsubscribe • Privacy
                                     Policy
</t>
  </si>
  <si>
    <t>Hi Christopher,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</si>
  <si>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+14382752719</t>
  </si>
  <si>
    <t>Dear Bertrand,
This is Ashworth By The Sea Hotel. Make sure to complete the pre-arrival check-in for your upcoming stay:
https://mobility.stayntouch.com/checkin/url/linabs/canary. 
You can reach out to the front desk by responding to this message any time. Reply QUIT to stop.</t>
  </si>
  <si>
    <t xml:space="preserve">Pre-check in for your stay at Ashworth by the Sea
                                  Hi Bertrand,
  Use the link below to check in before your arrival to speed up the process!
                      Upgrades and more may be available!
                                  Pre Check-In
 When you arrive, please present your photo ID and credit card. See you soon -
                                 safe travels!
            This is an automated message from Ashworth by the Sea -
                         frontdesk@ashworthbythesea.com
                         ©2026  |  All Rights Reserved
              295 Ocean Blvd. , Hampton, NH, 03842, United States
                            Call us at  603-926-6762
                            Privacy Policy  |  FAQs
</t>
  </si>
  <si>
    <t>I'd like to request check-in at 13:00 - 14:00. Is this ok?</t>
  </si>
  <si>
    <t xml:space="preserve">How was your stay at Ashworth By The Sea? 3 Minute Survey
Please share your feedback with Medallia
                    Thank you so much for your recent stay.
                      ‌ ‌ ‌ ‌ ‌ ‌ ‌ ‌ ‌ ‌ ‌ ‌ ‌ ‌ ‌ ‌ ‌ ‌ 
alt_text
Dear Bertrand Frappier,
We hope you enjoyed your recent stay at Ashworth By The Sea, where you checked
out on July 28, 2026.
We genuinely care about your experience with us, and we'd really appreciate your
feedback — it will only take a few minutes.
How likely are you to recommend Ashworth By The Sea to a friend or colleague?
Not at all Likely                                               Extremely Likely
┌──────┬──────┬──────┬──────┬──────┬──────┬──────┬──────┬──────┬──────┬────────┐
│  0   │  1   │  2   │  3   │  4   │  5   │  6   │  7   │  8   │  9   │   10   │
└──────┴──────┴──────┴──────┴──────┴──────┴──────┴──────┴──────┴──────┴────────┘
By completing this survey, you may be contacted by the hotel to help improve the
quality of service provided.
We appreciate your opinion and look forward to welcoming you again soon.
Kind Regards,
Andrew Fare
General Manager
Ashworth By The Sea
                              Powered by Medallia
Please do not “Reply” to this invitation.
To unsubscribe: We rely on feedback from guests to ensure that your stay will
meet and exceed your expectations. If, however, you would not like to receive a
survey invitation in the future, please click this link:
https://survey10.medallia.com/?e7zxv97ffd94wn22m9crht&amp;reject=begin, to
unsubscribe to our guest satisfaction surveys.
Should you need help accessing or completing this survey, please visit:
surveysupport.medallia.com
</t>
  </si>
  <si>
    <t xml:space="preserve">INVOICE: Ashworth by the Sea | 107695
Thank you for staying at Ashworth by the Sea. Your invoice is attached.
</t>
  </si>
  <si>
    <t>Hi Bertrand,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</si>
  <si>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+14384048369</t>
  </si>
  <si>
    <t xml:space="preserve">Pre-check in for your stay at Ashworth by the Sea
                                  Hi Bilotto,
  Use the link below to check in before your arrival to speed up the process!
                      Upgrades and more may be available!
                                  Pre Check-In
 When you arrive, please present your photo ID and credit card. See you soon -
                                 safe travels!
            This is an automated message from Ashworth by the Sea -
                         frontdesk@ashworthbythesea.com
                         ©2026  |  All Rights Reserved
              295 Ocean Blvd. , Hampton, NH, 03842, United States
                            Call us at  603-926-6762
                            Privacy Policy  |  FAQs
</t>
  </si>
  <si>
    <t xml:space="preserve">INVOICE: Ashworth by the Sea | 107293
Thank you for staying at Ashworth by the Sea. Your invoice is attached.
</t>
  </si>
  <si>
    <t xml:space="preserve">How was your stay at Ashworth By The Sea? 3 Minute Survey
Please share your feedback with Medallia
                    Thank you so much for your recent stay.
                      ‌ ‌ ‌ ‌ ‌ ‌ ‌ ‌ ‌ ‌ ‌ ‌ ‌ ‌ ‌ ‌ ‌ ‌ 
alt_text
Dear Bilotto Nick,
We hope you enjoyed your recent stay at Ashworth By The Sea, where you checked
out on July 20, 2026.
We genuinely care about your experience with us, and we'd really appreciate your
feedback — it will only take a few minutes.
How likely are you to recommend Ashworth By The Sea to a friend or colleague?
Not at all Likely                                               Extremely Likely
┌──────┬──────┬──────┬──────┬──────┬──────┬──────┬──────┬──────┬──────┬────────┐
│  0   │  1   │  2   │  3   │  4   │  5   │  6   │  7   │  8   │  9   │   10   │
└──────┴──────┴──────┴──────┴──────┴──────┴──────┴──────┴──────┴──────┴────────┘
By completing this survey, you may be contacted by the hotel to help improve the
quality of service provided.
We appreciate your opinion and look forward to welcoming you again soon.
Kind Regards,
Andrew Fare
General Manager
Ashworth By The Sea
                              Powered by Medallia
Please do not “Reply” to this invitation.
To unsubscribe: We rely on feedback from guests to ensure that your stay will
meet and exceed your expectations. If, however, you would not like to receive a
survey invitation in the future, please click this link:
https://survey10.medallia.com/?ekhhdmykfd94wn22m9crht&amp;reject=begin, to
unsubscribe to our guest satisfaction surveys.
Should you need help accessing or completing this survey, please visit:
surveysupport.medallia.com
</t>
  </si>
  <si>
    <t>Dear Bilotto,
This is Ashworth By The Sea Hotel. Make sure to complete the pre-arrival check-in for your upcoming stay:
https://mobility.stayntouch.com/checkin/url/linabs/canary. 
You can reach out to the front desk by responding to this message any time. Reply QUIT to stop.</t>
  </si>
  <si>
    <t>Hi Bilotto,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</si>
  <si>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 xml:space="preserve">Complete pre-arrival check-in - Ashworth By The Sea Hotel
Contactless Check-In
Hello Bilotto,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Canary Technologies logo Powered by Canary Technologies • Unsubscribe • Privacy
                                     Policy
</t>
  </si>
  <si>
    <t>+14434785341</t>
  </si>
  <si>
    <t xml:space="preserve">Complete pre-arrival check-in - Ashworth By The Sea Hotel
Contactless Check-In
Hello Cynthia,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Canary Technologies logo Powered by Canary Technologies • Unsubscribe • Privacy
                                     Policy
</t>
  </si>
  <si>
    <t xml:space="preserve">Additional guests
Can i pay for an extra guest for only one or two nights during my full stay
which is 5 nights and my room accomodates 4 people
Thank you 
</t>
  </si>
  <si>
    <t xml:space="preserve">INVOICE: Ashworth by the Sea | 106704
Thank you for staying at Ashworth by the Sea. Your invoice is attached.
</t>
  </si>
  <si>
    <t>Dear Cynthia,
This is Ashworth By The Sea Hotel. Make sure to complete the pre-arrival check-in for your upcoming stay:
https://mobility.stayntouch.com/checkin/url/linabs/canary. 
You can reach out to the front desk by responding to this message any time. Reply QUIT to stop.</t>
  </si>
  <si>
    <t>Hi Cynthia,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</si>
  <si>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 xml:space="preserve">Pre-check in for your stay at Ashworth by the Sea
                                  Hi Cynthia,
  Use the link below to check in before your arrival to speed up the process!
                      Upgrades and more may be available!
                                  Pre Check-In
 When you arrive, please present your photo ID and credit card. See you soon -
                                 safe travels!
            This is an automated message from Ashworth by the Sea -
                         frontdesk@ashworthbythesea.com
                         ©2026  |  All Rights Reserved
              295 Ocean Blvd. , Hampton, NH, 03842, United States
                            Call us at  603-926-6762
                            Privacy Policy  |  FAQs
</t>
  </si>
  <si>
    <t>+14436906674</t>
  </si>
  <si>
    <t>Dear Terry,
This is Ashworth By The Sea Hotel. Make sure to complete the pre-arrival check-in for your upcoming stay:
https://mobility.stayntouch.com/checkin/url/linabs/canary. 
You can reach out to the front desk by responding to this message any time. Reply QUIT to stop.</t>
  </si>
  <si>
    <t>Hi Terry,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</si>
  <si>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+14504213150</t>
  </si>
  <si>
    <t>Dear Alex-Ann,
This is Ashworth By The Sea Hotel. Make sure to complete the pre-arrival check-in for your upcoming stay:
https://mobility.stayntouch.com/checkin/url/linabs/canary. 
You can reach out to the front desk by responding to this message any time. Reply QUIT to stop.</t>
  </si>
  <si>
    <t>Hi Alex-Ann,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</si>
  <si>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+14509167945</t>
  </si>
  <si>
    <t>Dear Mathieu,
This is Ashworth By The Sea Hotel. Make sure to complete the pre-arrival check-in for your upcoming stay:
https://mobility.stayntouch.com/checkin/url/linabs/canary. 
You can reach out to the front desk by responding to this message any time. Reply QUIT to stop.</t>
  </si>
  <si>
    <t>Hi Mathieu,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</si>
  <si>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+15013372321</t>
  </si>
  <si>
    <t>+15082088721</t>
  </si>
  <si>
    <t>+15082455148</t>
  </si>
  <si>
    <t>Hi William,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</si>
  <si>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William,
This is Ashworth By The Sea Hotel. Make sure to complete the pre-arrival check-in for your upcoming stay:
https://mobility.stayntouch.com/checkin/url/linabs/canary. 
You can reach out to the front desk by responding to this message any time. Reply QUIT to stop.</t>
  </si>
  <si>
    <t>+15082484317</t>
  </si>
  <si>
    <t>Hi Susan,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</si>
  <si>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+15082542029</t>
  </si>
  <si>
    <t>Hi Joseph,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</si>
  <si>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Joseph,
This is Ashworth By The Sea Hotel. Make sure to complete the pre-arrival check-in for your upcoming stay:
https://mobility.stayntouch.com/checkin/url/linabs/canary. 
You can reach out to the front desk by responding to this message any time. Reply QUIT to stop.</t>
  </si>
  <si>
    <t>+15082593433</t>
  </si>
  <si>
    <t>Hi Rebecca,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</si>
  <si>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+15082595825</t>
  </si>
  <si>
    <t>Dear Gregg,
This is Ashworth By The Sea Hotel. Make sure to complete the pre-arrival check-in for your upcoming stay:
https://mobility.stayntouch.com/checkin/url/linabs/canary. 
You can reach out to the front desk by responding to this message any time. Reply QUIT to stop.</t>
  </si>
  <si>
    <t>Hi Gregg,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</si>
  <si>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+15082692387</t>
  </si>
  <si>
    <t>Hi Charles,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</si>
  <si>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Hi! I am exited to bring my 2 children to Hampton and stay at the Ashworth for the first time. I am looking to arrive around 1 to possibly valet park but check in at the regular time. Thank you very much!</t>
  </si>
  <si>
    <t>+15082693013</t>
  </si>
  <si>
    <t>Hi Kerri,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</si>
  <si>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Kerri,
This is Ashworth By The Sea Hotel. Make sure to complete the pre-arrival check-in for your upcoming stay:
https://mobility.stayntouch.com/checkin/url/linabs/canary. 
You can reach out to the front desk by responding to this message any time. Reply QUIT to stop.</t>
  </si>
  <si>
    <t>+15082726459</t>
  </si>
  <si>
    <t>+15082748831</t>
  </si>
  <si>
    <t>Hi Steve,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</si>
  <si>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Steve,
This is Ashworth By The Sea Hotel. Make sure to complete the pre-arrival check-in for your upcoming stay:
https://mobility.stayntouch.com/checkin/url/linabs/canary. 
You can reach out to the front desk by responding to this message any time. Reply QUIT to stop.</t>
  </si>
  <si>
    <t>+15083280801</t>
  </si>
  <si>
    <t>Hi Luis,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</si>
  <si>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Dear Luis,
This is Ashworth By The Sea Hotel. Make sure to complete the pre-arrival check-in for your upcoming stay:
https://mobility.stayntouch.com/checkin/url/linabs/canary. 
You can reach out to the front desk by responding to this message any time. Reply QUIT to stop.</t>
  </si>
  <si>
    <t>+15083354057</t>
  </si>
  <si>
    <t>+15083406558</t>
  </si>
  <si>
    <t>Hi Nkongchu,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</si>
  <si>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 xml:space="preserve">INVOICE: Ashworth by the Sea | 106294
Thank you for staying at Ashworth by the Sea. Your invoice is attached.
</t>
  </si>
  <si>
    <t xml:space="preserve">Complete pre-arrival check-in - Ashworth By The Sea Hotel
Contactless Check-In
Hello Nkongchu,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Canary Technologies logo Powered by Canary Technologies • Unsubscribe • Privacy
                                     Policy
</t>
  </si>
  <si>
    <t xml:space="preserve">Pre-check in for your stay at Ashworth by the Sea
                                  Hi Nkongchu,
  Use the link below to check in before your arrival to speed up the process!
                      Upgrades and more may be available!
                                  Pre Check-In
 When you arrive, please present your photo ID and credit card. See you soon -
                                 safe travels!
            This is an automated message from Ashworth by the Sea -
                         frontdesk@ashworthbythesea.com
                         ©2026  |  All Rights Reserved
              295 Ocean Blvd. , Hampton, NH, 03842, United States
                            Call us at  603-926-6762
                            Privacy Policy  |  FAQs
</t>
  </si>
  <si>
    <t>Dear Nkongchu,
This is Ashworth By The Sea Hotel. Make sure to complete the pre-arrival check-in for your upcoming stay:
https://mobility.stayntouch.com/checkin/url/linabs/canary. 
You can reach out to the front desk by responding to this message any time. Reply QUIT to stop.</t>
  </si>
  <si>
    <t xml:space="preserve">How was your stay at Ashworth By The Sea? 3 Minute Survey
Please share your feedback with Medallia
                    Thank you so much for your recent stay.
                      ‌ ‌ ‌ ‌ ‌ ‌ ‌ ‌ ‌ ‌ ‌ ‌ ‌ ‌ ‌ ‌ ‌ ‌ 
alt_text
Dear Nkongchu Maria,
We hope you enjoyed your recent stay at Ashworth By The Sea, where you checked
out on July 27, 2026.
We genuinely care about your experience with us, and we'd really appreciate your
feedback — it will only take a few minutes.
How likely are you to recommend Ashworth By The Sea to a friend or colleague?
Not at all Likely                                               Extremely Likely
┌──────┬──────┬──────┬──────┬──────┬──────┬──────┬──────┬──────┬──────┬────────┐
│  0   │  1   │  2   │  3   │  4   │  5   │  6   │  7   │  8   │  9   │   10   │
└──────┴──────┴──────┴──────┴──────┴──────┴──────┴──────┴──────┴──────┴────────┘
By completing this survey, you may be contacted by the hotel to help improve the
quality of service provided.
We appreciate your opinion and look forward to welcoming you again soon.
Kind Regards,
Andrew Fare
General Manager
Ashworth By The Sea
                              Powered by Medallia
Please do not “Reply” to this invitation.
To unsubscribe: We rely on feedback from guests to ensure that your stay will
meet and exceed your expectations. If, however, you would not like to receive a
survey invitation in the future, please click this link:
https://survey10.medallia.com/?ewvvn57ffd94wn22m9crht&amp;reject=begin, to
unsubscribe to our guest satisfaction surveys.
Should you need help accessing or completing this survey, please visit:
surveysupport.medallia.com
</t>
  </si>
  <si>
    <t>+15083416461</t>
  </si>
  <si>
    <t>Dear Bruce,
This is Ashworth By The Sea Hotel. Make sure to complete the pre-arrival check-in for your upcoming stay:
https://mobility.stayntouch.com/checkin/url/linabs/canary. 
You can reach out to the front desk by responding to this message any time. Reply QUIT to stop.</t>
  </si>
  <si>
    <t>Hi Bruce,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</si>
  <si>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+15083600049</t>
  </si>
  <si>
    <t>+15083972261</t>
  </si>
  <si>
    <t xml:space="preserve">INVOICE: Ashworth by the Sea | 105528
Thank you for staying at Ashworth by the Sea. Your invoice is attached.
</t>
  </si>
  <si>
    <t xml:space="preserve">Complete pre-arrival check-in - Ashworth By The Sea Hotel
Contactless Check-In
Hello Mark,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Canary Technologies logo Powered by Canary Technologies • Unsubscribe • Privacy
                                     Policy
</t>
  </si>
  <si>
    <t xml:space="preserve">Pre-check in for your stay at Ashworth by the Sea
                                    Hi Mark,
  Use the link below to check in before your arrival to speed up the process!
                      Upgrades and more may be available!
                                  Pre Check-In
 When you arrive, please present your photo ID and credit card. See you soon -
                                 safe travels!
            This is an automated message from Ashworth by the Sea -
                         frontdesk@ashworthbythesea.com
                         ©2026  |  All Rights Reserved
              295 Ocean Blvd. , Hampton, NH, 03842, United States
                            Call us at  603-926-6762
                            Privacy Policy  |  FAQs
</t>
  </si>
  <si>
    <t xml:space="preserve">How was your stay at Ashworth By The Sea? 3 Minute Survey
Please share your feedback with Medallia
                    Thank you so much for your recent stay.
                      ‌ ‌ ‌ ‌ ‌ ‌ ‌ ‌ ‌ ‌ ‌ ‌ ‌ ‌ ‌ ‌ ‌ ‌ 
alt_text
Dear Mark Manzella,
We hope you enjoyed your recent stay at Ashworth By The Sea, where you checked
out on July 28, 2026.
We genuinely care about your experience with us, and we'd really appreciate your
feedback — it will only take a few minutes.
How likely are you to recommend Ashworth By The Sea to a friend or colleague?
Not at all Likely                                               Extremely Likely
┌──────┬──────┬──────┬──────┬──────┬──────┬──────┬──────┬──────┬──────┬────────┐
│  0   │  1   │  2   │  3   │  4   │  5   │  6   │  7   │  8   │  9   │   10   │
└──────┴──────┴──────┴──────┴──────┴──────┴──────┴──────┴──────┴──────┴────────┘
By completing this survey, you may be contacted by the hotel to help improve the
quality of service provided.
We appreciate your opinion and look forward to welcoming you again soon.
Kind Regards,
Andrew Fare
General Manager
Ashworth By The Sea
                              Powered by Medallia
Please do not “Reply” to this invitation.
To unsubscribe: We rely on feedback from guests to ensure that your stay will
meet and exceed your expectations. If, however, you would not like to receive a
survey invitation in the future, please click this link:
https://survey10.medallia.com/?ezfmn97ffd94wn22m9crht&amp;reject=begin, to
unsubscribe to our guest satisfaction surveys.
Should you need help accessing or completing this survey, please visit:
surveysupport.medallia.com
</t>
  </si>
  <si>
    <t>+15083979731</t>
  </si>
  <si>
    <t>Hi Richard,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</si>
  <si>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 xml:space="preserve">Complete pre-arrival check-in - Ashworth By The Sea Hotel
Contactless Check-In
Hello Richard,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Canary Technologies logo Powered by Canary Technologies • Unsubscribe • Privacy
                                     Policy
</t>
  </si>
  <si>
    <t>I'd like to request check-in at 17:00 - 18:00. Is this ok?</t>
  </si>
  <si>
    <t>+15084143088</t>
  </si>
  <si>
    <t>+15084152884</t>
  </si>
  <si>
    <t>+15084319329</t>
  </si>
  <si>
    <t>Hi Roberto,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</si>
  <si>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Dear Roberto,
This is Ashworth By The Sea Hotel. Make sure to complete the pre-arrival check-in for your upcoming stay:
https://mobility.stayntouch.com/checkin/url/linabs/canary. 
You can reach out to the front desk by responding to this message any time. Reply QUIT to stop.</t>
  </si>
  <si>
    <t>+15084500386</t>
  </si>
  <si>
    <t xml:space="preserve">Complete pre-arrival check-in - Ashworth By The Sea Hotel
Contactless Check-In
Hello Michael,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+16039266762
Canary Technologies logo Powered by Canary Technologies • Unsubscribe • Privacy
                                     Policy
</t>
  </si>
  <si>
    <t xml:space="preserve">Pre-check in for your stay at Ashworth by the Sea
                                  Hi Michael,
  Use the link below to check in before your arrival to speed up the process!
                      Upgrades and more may be available!
                                  Pre Check-In
 When you arrive, please present your photo ID and credit card. See you soon -
                                 safe travels!
            This is an automated message from Ashworth by the Sea -
                         frontdesk@ashworthbythesea.com
                         ©2026  |  All Rights Reserved
              295 Ocean Blvd. , Hampton, NH, 03842, United States
                            Call us at  603-926-6762
                            Privacy Policy  |  FAQs
</t>
  </si>
  <si>
    <t>Hello Micheal, the south tower is the orginal building of the Ashworth, the North tower is our newer "modern" building. Each room in both of the towers have been recently renovated</t>
  </si>
  <si>
    <t>South Tower (Assuming that’s by the ocean and the more modern section?)</t>
  </si>
  <si>
    <t>+15084793902</t>
  </si>
  <si>
    <t>Dear Laurie,
This is Ashworth By The Sea Hotel. Make sure to complete the pre-arrival check-in for your upcoming stay:
https://mobility.stayntouch.com/checkin/url/linabs/canary. 
You can reach out to the front desk by responding to this message any time. Reply QUIT to stop.</t>
  </si>
  <si>
    <t>Hi Laurie,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</si>
  <si>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+15084794264</t>
  </si>
  <si>
    <t>Hi Peter,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</si>
  <si>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+15084815823</t>
  </si>
  <si>
    <t>Hi Janice,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</si>
  <si>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Janice,
This is Ashworth By The Sea Hotel. Make sure to complete the pre-arrival check-in for your upcoming stay:
https://mobility.stayntouch.com/checkin/url/linabs/canary. 
You can reach out to the front desk by responding to this message any time. Reply QUIT to stop.</t>
  </si>
  <si>
    <t>+15085251704</t>
  </si>
  <si>
    <t>Hi Antonios,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</si>
  <si>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 xml:space="preserve">How was your stay at Ashworth By The Sea? 3 Minute Survey
Please share your feedback with Medallia
                    Thank you so much for your recent stay.
                      ‌ ‌ ‌ ‌ ‌ ‌ ‌ ‌ ‌ ‌ ‌ ‌ ‌ ‌ ‌ ‌ ‌ ‌ 
alt_text
Dear Antonios Mouratidis,
We hope you enjoyed your recent stay at Ashworth By The Sea, where you checked
out on July 27, 2026.
We genuinely care about your experience with us, and we'd really appreciate your
feedback — it will only take a few minutes.
How likely are you to recommend Ashworth By The Sea to a friend or colleague?
Not at all Likely                                               Extremely Likely
┌──────┬──────┬──────┬──────┬──────┬──────┬──────┬──────┬──────┬──────┬────────┐
│  0   │  1   │  2   │  3   │  4   │  5   │  6   │  7   │  8   │  9   │   10   │
└──────┴──────┴──────┴──────┴──────┴──────┴──────┴──────┴──────┴──────┴────────┘
By completing this survey, you may be contacted by the hotel to help improve the
quality of service provided.
We appreciate your opinion and look forward to welcoming you again soon.
Kind Regards,
Andrew Fare
General Manager
Ashworth By The Sea
                              Powered by Medallia
Please do not “Reply” to this invitation.
To unsubscribe: We rely on feedback from guests to ensure that your stay will
meet and exceed your expectations. If, however, you would not like to receive a
survey invitation in the future, please click this link:
https://survey10.medallia.com/?ewb2m57ffd94wn22m9crht&amp;reject=begin, to
unsubscribe to our guest satisfaction surveys.
Should you need help accessing or completing this survey, please visit:
surveysupport.medallia.com
</t>
  </si>
  <si>
    <t xml:space="preserve">Pre-check in for your stay at Ashworth by the Sea
                                  Hi Antonios,
  Use the link below to check in before your arrival to speed up the process!
                      Upgrades and more may be available!
                                  Pre Check-In
 When you arrive, please present your photo ID and credit card. See you soon -
                                 safe travels!
            This is an automated message from Ashworth by the Sea -
                         frontdesk@ashworthbythesea.com
                         ©2026  |  All Rights Reserved
              295 Ocean Blvd. , Hampton, NH, 03842, United States
                            Call us at  603-926-6762
                            Privacy Policy  |  FAQs
</t>
  </si>
  <si>
    <t xml:space="preserve">Complete pre-arrival check-in - Ashworth By The Sea Hotel
Contactless Check-In
Hello Antonios,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Canary Technologies logo Powered by Canary Technologies • Unsubscribe • Privacy
                                     Policy
</t>
  </si>
  <si>
    <t>Dear Antonios,
This is Ashworth By The Sea Hotel. Make sure to complete the pre-arrival check-in for your upcoming stay:
https://mobility.stayntouch.com/checkin/url/linabs/canary. 
You can reach out to the front desk by responding to this message any time. Reply QUIT to stop.</t>
  </si>
  <si>
    <t xml:space="preserve">INVOICE: Ashworth by the Sea | 107580
Thank you for staying at Ashworth by the Sea. Your invoice is attached.
</t>
  </si>
  <si>
    <t>+15085748033</t>
  </si>
  <si>
    <t>Hi Victoria,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</si>
  <si>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Dear Victoria,
This is Ashworth By The Sea Hotel. Make sure to complete the pre-arrival check-in for your upcoming stay:
https://mobility.stayntouch.com/checkin/url/linabs/canary. 
You can reach out to the front desk by responding to this message any time. Reply QUIT to stop.</t>
  </si>
  <si>
    <t>+15085810104</t>
  </si>
  <si>
    <t>+15086316492</t>
  </si>
  <si>
    <t>Dear Andrew,
This is Ashworth By The Sea Hotel. Make sure to complete the pre-arrival check-in for your upcoming stay:
https://mobility.stayntouch.com/checkin/url/linabs/canary. 
You can reach out to the front desk by responding to this message any time. Reply QUIT to stop.</t>
  </si>
  <si>
    <t>Hi Andrew,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</si>
  <si>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+15086490924</t>
  </si>
  <si>
    <t>Hi Shannon,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</si>
  <si>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Dear Shannon,
This is Ashworth By The Sea Hotel. Make sure to complete the pre-arrival check-in for your upcoming stay:
https://mobility.stayntouch.com/checkin/url/linabs/canary. 
You can reach out to the front desk by responding to this message any time. Reply QUIT to stop.</t>
  </si>
  <si>
    <t>+15086850317</t>
  </si>
  <si>
    <t>Hi Carmen,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</si>
  <si>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Carmen,
This is Ashworth By The Sea Hotel. Make sure to complete the pre-arrival check-in for your upcoming stay:
https://mobility.stayntouch.com/checkin/url/linabs/canary. 
You can reach out to the front desk by responding to this message any time. Reply QUIT to stop.</t>
  </si>
  <si>
    <t>+15087365538</t>
  </si>
  <si>
    <t>Hi Scott,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</si>
  <si>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Scott,
This is Ashworth By The Sea Hotel. Make sure to complete the pre-arrival check-in for your upcoming stay:
https://mobility.stayntouch.com/checkin/url/linabs/canary. 
You can reach out to the front desk by responding to this message any time. Reply QUIT to stop.</t>
  </si>
  <si>
    <t>+15088135574</t>
  </si>
  <si>
    <t xml:space="preserve">Pre-check in for your stay at Ashworth by the Sea
                                  Hi Natalia,
  Use the link below to check in before your arrival to speed up the process!
                      Upgrades and more may be available!
                                  Pre Check-In
 When you arrive, please present your photo ID and credit card. See you soon -
                                 safe travels!
            This is an automated message from Ashworth by the Sea -
                         frontdesk@ashworthbythesea.com
                         ©2026  |  All Rights Reserved
              295 Ocean Blvd. , Hampton, NH, 03842, United States
                            Call us at  603-926-6762
                            Privacy Policy  |  FAQs
</t>
  </si>
  <si>
    <t>Hi Natalia,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</si>
  <si>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Natalia,
This is Ashworth By The Sea Hotel. Make sure to complete the pre-arrival check-in for your upcoming stay:
https://mobility.stayntouch.com/checkin/url/linabs/canary. 
You can reach out to the front desk by responding to this message any time. Reply QUIT to stop.</t>
  </si>
  <si>
    <t xml:space="preserve">Complete pre-arrival check-in - Ashworth By The Sea Hotel
Contactless Check-In
Hello Natalia,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Canary Technologies logo Powered by Canary Technologies • Unsubscribe • Privacy
                                     Policy
</t>
  </si>
  <si>
    <t>+15088163348</t>
  </si>
  <si>
    <t>+15088262103</t>
  </si>
  <si>
    <t xml:space="preserve">Pre-check in for your stay at Ashworth by the Sea
                                   Hi Colon,
  Use the link below to check in before your arrival to speed up the process!
                      Upgrades and more may be available!
                                  Pre Check-In
 When you arrive, please present your photo ID and credit card. See you soon -
                                 safe travels!
            This is an automated message from Ashworth by the Sea -
                         frontdesk@ashworthbythesea.com
                         ©2026  |  All Rights Reserved
              295 Ocean Blvd. , Hampton, NH, 03842, United States
                            Call us at  603-926-6762
                            Privacy Policy  |  FAQs
</t>
  </si>
  <si>
    <t>Dear Colon,
This is Ashworth By The Sea Hotel. Make sure to complete the pre-arrival check-in for your upcoming stay:
https://mobility.stayntouch.com/checkin/url/linabs/canary. 
You can reach out to the front desk by responding to this message any time. Reply QUIT to stop.</t>
  </si>
  <si>
    <t>Hello Colon, thank you for your request. We've noted your early check-in request on your reservation. While early check-in is not guaranteed and is subject to availability, we'll do our best to accommodate your request if your room is ready upon your arrival. We look forward to welcoming you!</t>
  </si>
  <si>
    <t>I'd like to request check-in at 01:00 - 02:00. Is this ok?</t>
  </si>
  <si>
    <t>+15088635542</t>
  </si>
  <si>
    <t>Dear Sherry,
This is Ashworth By The Sea Hotel. Make sure to complete the pre-arrival check-in for your upcoming stay:
https://mobility.stayntouch.com/checkin/url/linabs/canary. 
You can reach out to the front desk by responding to this message any time. Reply QUIT to stop.</t>
  </si>
  <si>
    <t>Hi Sherry,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</si>
  <si>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+15089346327</t>
  </si>
  <si>
    <t>+15089413394</t>
  </si>
  <si>
    <t>QUIT</t>
  </si>
  <si>
    <t>+15089543965</t>
  </si>
  <si>
    <t>Dear Carla,
This is Ashworth By The Sea Hotel. Make sure to complete the pre-arrival check-in for your upcoming stay:
https://mobility.stayntouch.com/checkin/url/linabs/canary. 
You can reach out to the front desk by responding to this message any time. Reply QUIT to stop.</t>
  </si>
  <si>
    <t>Hi Carla,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</si>
  <si>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+15089581657</t>
  </si>
  <si>
    <t>Hi Rhonda,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</si>
  <si>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+15089632837</t>
  </si>
  <si>
    <t>Hi Auburn,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</si>
  <si>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Auburn,
This is Ashworth By The Sea Hotel. Make sure to complete the pre-arrival check-in for your upcoming stay:
https://mobility.stayntouch.com/checkin/url/linabs/canary. 
You can reach out to the front desk by responding to this message any time. Reply QUIT to stop.</t>
  </si>
  <si>
    <t>+15089633487</t>
  </si>
  <si>
    <t>Hi Joanna,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</si>
  <si>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Joanna,
This is Ashworth By The Sea Hotel. Make sure to complete the pre-arrival check-in for your upcoming stay:
https://mobility.stayntouch.com/checkin/url/linabs/canary. 
You can reach out to the front desk by responding to this message any time. Reply QUIT to stop.</t>
  </si>
  <si>
    <t>+15089810940</t>
  </si>
  <si>
    <t>best ocean view possible our anniversary</t>
  </si>
  <si>
    <t xml:space="preserve">Parking
Good afternoon, I have a booking for next month, 
My understanding is that we may get charged 
An additional 25-50 dollars more a day for 
Parking, would love to speak to someone regarding parking, my cell phone number
is +15089810940, Jose Le Hardy can i speak with someone regarding this thank you
🙏 
Jose Le Hardy
</t>
  </si>
  <si>
    <t>+15089814656</t>
  </si>
  <si>
    <t>Dear Stephen,
This is Ashworth By The Sea Hotel. Make sure to complete the pre-arrival check-in for your upcoming stay:
https://mobility.stayntouch.com/checkin/url/linabs/canary. 
You can reach out to the front desk by responding to this message any time. Reply QUIT to stop.</t>
  </si>
  <si>
    <t>Hi Stephen,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</si>
  <si>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+15145780928</t>
  </si>
  <si>
    <t>Dear Lucy,
This is Ashworth By The Sea Hotel. Make sure to complete the pre-arrival check-in for your upcoming stay:
https://mobility.stayntouch.com/checkin/url/linabs/canary. 
You can reach out to the front desk by responding to this message any time. Reply QUIT to stop.</t>
  </si>
  <si>
    <t>Hi Lucy,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</si>
  <si>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+15146030604</t>
  </si>
  <si>
    <t>Dear Annie,
This is Ashworth By The Sea Hotel. Make sure to complete the pre-arrival check-in for your upcoming stay:
https://mobility.stayntouch.com/checkin/url/linabs/canary. 
You can reach out to the front desk by responding to this message any time. Reply QUIT to stop.</t>
  </si>
  <si>
    <t xml:space="preserve">Complete pre-arrival check-in - Ashworth By The Sea Hotel
Contactless Check-In
Hello Annie,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+16039266762
Canary Technologies logo Powered by Canary Technologies • Unsubscribe • Privacy
                                     Policy
</t>
  </si>
  <si>
    <t xml:space="preserve">Pre-check in for your stay at Ashworth by the Sea
                                   Hi Annie,
  Use the link below to check in before your arrival to speed up the process!
                      Upgrades and more may be available!
                                  Pre Check-In
 When you arrive, please present your photo ID and credit card. See you soon -
                                 safe travels!
            This is an automated message from Ashworth by the Sea -
                         frontdesk@ashworthbythesea.com
                         ©2026  |  All Rights Reserved
              295 Ocean Blvd. , Hampton, NH, 03842, United States
                            Call us at  603-926-6762
                            Privacy Policy  |  FAQs
</t>
  </si>
  <si>
    <t>+15146256696</t>
  </si>
  <si>
    <t>Dear Paulo,
This is Ashworth By The Sea Hotel. Make sure to complete the pre-arrival check-in for your upcoming stay:
https://mobility.stayntouch.com/checkin/url/linabs/canary. 
You can reach out to the front desk by responding to this message any time. Reply QUIT to stop.</t>
  </si>
  <si>
    <t>Hi Paulo,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</si>
  <si>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+15147303254</t>
  </si>
  <si>
    <t>Dear Samah,
This is Ashworth By The Sea Hotel. Make sure to complete the pre-arrival check-in for your upcoming stay:
https://mobility.stayntouch.com/checkin/url/linabs/canary. 
You can reach out to the front desk by responding to this message any time. Reply QUIT to stop.</t>
  </si>
  <si>
    <t>+15147463171</t>
  </si>
  <si>
    <t>Dear Majed,
This is Ashworth By The Sea Hotel. Make sure to complete the pre-arrival check-in for your upcoming stay:
https://mobility.stayntouch.com/checkin/url/linabs/canary. 
You can reach out to the front desk by responding to this message any time. Reply QUIT to stop.</t>
  </si>
  <si>
    <t xml:space="preserve">Pre-check in for your stay at Ashworth by the Sea
                                   Hi Majed,
  Use the link below to check in before your arrival to speed up the process!
                      Upgrades and more may be available!
                                  Pre Check-In
 When you arrive, please present your photo ID and credit card. See you soon -
                                 safe travels!
            This is an automated message from Ashworth by the Sea -
                         frontdesk@ashworthbythesea.com
                         ©2026  |  All Rights Reserved
              295 Ocean Blvd. , Hampton, NH, 03842, United States
                            Call us at  603-926-6762
                            Privacy Policy  |  FAQs
</t>
  </si>
  <si>
    <t>Hi Majed,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</si>
  <si>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+15147936343</t>
  </si>
  <si>
    <t>Dear Karine,
This is Ashworth By The Sea Hotel. Make sure to complete the pre-arrival check-in for your upcoming stay:
https://mobility.stayntouch.com/checkin/url/linabs/canary. 
You can reach out to the front desk by responding to this message any time. Reply QUIT to stop.</t>
  </si>
  <si>
    <t xml:space="preserve">Complete pre-arrival check-in - Ashworth By The Sea Hotel
Contactless Check-In
Hello Karine,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Canary Technologies logo Powered by Canary Technologies • Unsubscribe • Privacy
                                     Policy
</t>
  </si>
  <si>
    <t>Hi Karine,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</si>
  <si>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 xml:space="preserve">Pre-check in for your stay at Ashworth by the Sea
                                   Hi Karine,
  Use the link below to check in before your arrival to speed up the process!
                      Upgrades and more may be available!
                                  Pre Check-In
 When you arrive, please present your photo ID and credit card. See you soon -
                                 safe travels!
            This is an automated message from Ashworth by the Sea -
                         frontdesk@ashworthbythesea.com
                         ©2026  |  All Rights Reserved
              295 Ocean Blvd. , Hampton, NH, 03842, United States
                            Call us at  603-926-6762
                            Privacy Policy  |  FAQs
</t>
  </si>
  <si>
    <t xml:space="preserve">How was your stay at Ashworth By The Sea? 3 Minute Survey
Please share your feedback with Medallia
                    Thank you so much for your recent stay.
                      ‌ ‌ ‌ ‌ ‌ ‌ ‌ ‌ ‌ ‌ ‌ ‌ ‌ ‌ ‌ ‌ ‌ ‌ 
alt_text
Dear Karine Laurence,
We hope you enjoyed your recent stay at Ashworth By The Sea, where you checked
out on July 21, 2026.
We genuinely care about your experience with us, and we'd really appreciate your
feedback — it will only take a few minutes.
How likely are you to recommend Ashworth By The Sea to a friend or colleague?
Not at all Likely                                               Extremely Likely
┌──────┬──────┬──────┬──────┬──────┬──────┬──────┬──────┬──────┬──────┬────────┐
│  0   │  1   │  2   │  3   │  4   │  5   │  6   │  7   │  8   │  9   │   10   │
└──────┴──────┴──────┴──────┴──────┴──────┴──────┴──────┴──────┴──────┴────────┘
By completing this survey, you may be contacted by the hotel to help improve the
quality of service provided.
We appreciate your opinion and look forward to welcoming you again soon.
Kind Regards,
Andrew Fare
General Manager
Ashworth By The Sea
                              Powered by Medallia
Please do not “Reply” to this invitation.
To unsubscribe: We rely on feedback from guests to ensure that your stay will
meet and exceed your expectations. If, however, you would not like to receive a
survey invitation in the future, please click this link:
https://survey10.medallia.com/?eyndfsykfd94wn22m9crht&amp;reject=begin, to
unsubscribe to our guest satisfaction surveys.
Should you need help accessing or completing this survey, please visit:
surveysupport.medallia.com
</t>
  </si>
  <si>
    <t xml:space="preserve">INVOICE: Ashworth by the Sea | 106079
Thank you for staying at Ashworth by the Sea. Your invoice is attached.
</t>
  </si>
  <si>
    <t>+15148146908</t>
  </si>
  <si>
    <t>Dear Isabelle,
This is Ashworth By The Sea Hotel. Make sure to complete the pre-arrival check-in for your upcoming stay:
https://mobility.stayntouch.com/checkin/url/linabs/canary. 
You can reach out to the front desk by responding to this message any time. Reply QUIT to stop.</t>
  </si>
  <si>
    <t>Hi Isabelle,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</si>
  <si>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+15148841567</t>
  </si>
  <si>
    <t>Dear Priscilla,
This is Ashworth By The Sea Hotel. Make sure to complete the pre-arrival check-in for your upcoming stay:
https://mobility.stayntouch.com/checkin/url/linabs/canary. 
You can reach out to the front desk by responding to this message any time. Reply QUIT to stop.</t>
  </si>
  <si>
    <t>Hi Priscilla,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</si>
  <si>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+15149631471</t>
  </si>
  <si>
    <t xml:space="preserve">Complete pre-arrival check-in - Ashworth By The Sea Hotel
Contactless Check-In
Hello Myriam,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Canary Technologies logo Powered by Canary Technologies • Unsubscribe • Privacy
                                     Policy
</t>
  </si>
  <si>
    <t>jolenewood</t>
  </si>
  <si>
    <t>Yes all set!</t>
  </si>
  <si>
    <t>Hi Myriam,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</si>
  <si>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It would be an additional cost here.</t>
  </si>
  <si>
    <t>Yes I completed the guest check in. I'm not sure if you received it?</t>
  </si>
  <si>
    <t>Dear Myriam,
This is Ashworth By The Sea Hotel. Make sure to complete the pre-arrival check-in for your upcoming stay:
https://mobility.stayntouch.com/checkin/url/linabs/canary. 
You can reach out to the front desk by responding to this message any time. Reply QUIT to stop.</t>
  </si>
  <si>
    <t>Is it included with the room cost or extra?</t>
  </si>
  <si>
    <t>If I arrive before 16:00 can I park somewhere please?</t>
  </si>
  <si>
    <t>Thank you for contacting us, Myriam Gareau.
Private parking is possible on site (reservation is not needed) and costs US$25 per day.
We look forward to your stay.
Best regards,
Ashworth by the Sea</t>
  </si>
  <si>
    <t>Yay thank you. See you tomorrow.</t>
  </si>
  <si>
    <t>+15149772127</t>
  </si>
  <si>
    <t>Dear Dominique,
This is Ashworth By The Sea Hotel. Make sure to complete the pre-arrival check-in for your upcoming stay:
https://mobility.stayntouch.com/checkin/url/linabs/canary. 
You can reach out to the front desk by responding to this message any time. Reply QUIT to stop.</t>
  </si>
  <si>
    <t>Hi Dominique,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</si>
  <si>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+15182210291</t>
  </si>
  <si>
    <t>Dear James,
This is Ashworth By The Sea Hotel. Make sure to complete the pre-arrival check-in for your upcoming stay:
https://mobility.stayntouch.com/checkin/url/linabs/canary. 
You can reach out to the front desk by responding to this message any time. Reply QUIT to stop.</t>
  </si>
  <si>
    <t>Hi James,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</si>
  <si>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+15182220614</t>
  </si>
  <si>
    <t>+15182692423</t>
  </si>
  <si>
    <t>Dear Carmel,
This is Ashworth By The Sea Hotel. Make sure to complete the pre-arrival check-in for your upcoming stay:
https://mobility.stayntouch.com/checkin/url/linabs/canary. 
You can reach out to the front desk by responding to this message any time. Reply QUIT to stop.</t>
  </si>
  <si>
    <t>+15182699752</t>
  </si>
  <si>
    <t>+15182751049</t>
  </si>
  <si>
    <t>Hi Jennica,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</si>
  <si>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Dear Jennica,
This is Ashworth By The Sea Hotel. Make sure to complete the pre-arrival check-in for your upcoming stay:
https://mobility.stayntouch.com/checkin/url/linabs/canary. 
You can reach out to the front desk by responding to this message any time. Reply QUIT to stop.</t>
  </si>
  <si>
    <t>+15182811459</t>
  </si>
  <si>
    <t>Hi Williams,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</si>
  <si>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 xml:space="preserve">Pre-check in for your stay at Ashworth by the Sea
                                  Hi Williams,
  Use the link below to check in before your arrival to speed up the process!
                      Upgrades and more may be available!
                                  Pre Check-In
 When you arrive, please present your photo ID and credit card. See you soon -
                                 safe travels!
            This is an automated message from Ashworth by the Sea -
                         frontdesk@ashworthbythesea.com
                         ©2026  |  All Rights Reserved
              295 Ocean Blvd. , Hampton, NH, 03842, United States
                            Call us at  603-926-6762
                            Privacy Policy  |  FAQs
</t>
  </si>
  <si>
    <t>Dear Williams,
This is Ashworth By The Sea Hotel. Make sure to complete the pre-arrival check-in for your upcoming stay:
https://mobility.stayntouch.com/checkin/url/linabs/canary. 
You can reach out to the front desk by responding to this message any time. Reply QUIT to stop.</t>
  </si>
  <si>
    <t xml:space="preserve">Complete pre-arrival check-in - Ashworth By The Sea Hotel
Contactless Check-In
Hello Williams,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+16039266762
Canary Technologies logo Powered by Canary Technologies • Unsubscribe • Privacy
                                     Policy
</t>
  </si>
  <si>
    <t>Hi, your new room is ready!</t>
  </si>
  <si>
    <t>+15183196823</t>
  </si>
  <si>
    <t>Dear Alexis,
This is Ashworth By The Sea Hotel. Make sure to complete the pre-arrival check-in for your upcoming stay:
https://mobility.stayntouch.com/checkin/url/linabs/canary. 
You can reach out to the front desk by responding to this message any time. Reply QUIT to stop.</t>
  </si>
  <si>
    <t>+15183210768</t>
  </si>
  <si>
    <t>Hi Kellen,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</si>
  <si>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Kellen,
This is Ashworth By The Sea Hotel. Make sure to complete the pre-arrival check-in for your upcoming stay:
https://mobility.stayntouch.com/checkin/url/linabs/canary. 
You can reach out to the front desk by responding to this message any time. Reply QUIT to stop.</t>
  </si>
  <si>
    <t>+15183225146</t>
  </si>
  <si>
    <t>+15183665351</t>
  </si>
  <si>
    <t>Dear Erica,
This is Ashworth By The Sea Hotel. Make sure to complete the pre-arrival check-in for your upcoming stay:
https://mobility.stayntouch.com/checkin/url/linabs/canary. 
You can reach out to the front desk by responding to this message any time. Reply QUIT to stop.</t>
  </si>
  <si>
    <t>+15183698881</t>
  </si>
  <si>
    <t>Hi Brooke,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</si>
  <si>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Brooke,
This is Ashworth By The Sea Hotel. Make sure to complete the pre-arrival check-in for your upcoming stay:
https://mobility.stayntouch.com/checkin/url/linabs/canary. 
You can reach out to the front desk by responding to this message any time. Reply QUIT to stop.</t>
  </si>
  <si>
    <t>+15184144898</t>
  </si>
  <si>
    <t>+15184411912</t>
  </si>
  <si>
    <t>Dear Erin,
This is Ashworth By The Sea Hotel. Make sure to complete the pre-arrival check-in for your upcoming stay:
https://mobility.stayntouch.com/checkin/url/linabs/canary. 
You can reach out to the front desk by responding to this message any time. Reply QUIT to stop.</t>
  </si>
  <si>
    <t>Hi Erin,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</si>
  <si>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+15184419761</t>
  </si>
  <si>
    <t>Dear Kristin,
This is Ashworth By The Sea Hotel. Make sure to complete the pre-arrival check-in for your upcoming stay:
https://mobility.stayntouch.com/checkin/url/linabs/canary. 
You can reach out to the front desk by responding to this message any time. Reply QUIT to stop.</t>
  </si>
  <si>
    <t>Hi Kristin,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</si>
  <si>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+15184702905</t>
  </si>
  <si>
    <t>Hi Ralph,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</si>
  <si>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Ralph,
This is Ashworth By The Sea Hotel. Make sure to complete the pre-arrival check-in for your upcoming stay:
https://mobility.stayntouch.com/checkin/url/linabs/canary. 
You can reach out to the front desk by responding to this message any time. Reply QUIT to stop.</t>
  </si>
  <si>
    <t>+15184871496</t>
  </si>
  <si>
    <t>Hi Dominic,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</si>
  <si>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 xml:space="preserve">INVOICE: Ashworth by the Sea | 102901
Thank you for staying at Ashworth by the Sea. Your invoice is attached.
</t>
  </si>
  <si>
    <t>Dear Dominic,
This is Ashworth By The Sea Hotel. Make sure to complete the pre-arrival check-in for your upcoming stay:
https://mobility.stayntouch.com/checkin/url/linabs/canary. 
You can reach out to the front desk by responding to this message any time. Reply QUIT to stop.</t>
  </si>
  <si>
    <t xml:space="preserve">How was your stay at Ashworth By The Sea? 3 Minute Survey
Please share your feedback with Medallia
                    Thank you so much for your recent stay.
                      ‌ ‌ ‌ ‌ ‌ ‌ ‌ ‌ ‌ ‌ ‌ ‌ ‌ ‌ ‌ ‌ ‌ ‌ 
alt_text
Dear Dominic Notar,
We hope you enjoyed your recent stay at Ashworth By The Sea, where you checked
out on July 19, 2026.
We genuinely care about your experience with us, and we'd really appreciate your
feedback — it will only take a few minutes.
How likely are you to recommend Ashworth By The Sea to a friend or colleague?
Not at all Likely                                               Extremely Likely
┌──────┬──────┬──────┬──────┬──────┬──────┬──────┬──────┬──────┬──────┬────────┐
│  0   │  1   │  2   │  3   │  4   │  5   │  6   │  7   │  8   │  9   │   10   │
└──────┴──────┴──────┴──────┴──────┴──────┴──────┴──────┴──────┴──────┴────────┘
By completing this survey, you may be contacted by the hotel to help improve the
quality of service provided.
We appreciate your opinion and look forward to welcoming you again soon.
Kind Regards,
Andrew Fare
General Manager
Ashworth By The Sea
                              Powered by Medallia
Please do not “Reply” to this invitation.
To unsubscribe: We rely on feedback from guests to ensure that your stay will
meet and exceed your expectations. If, however, you would not like to receive a
survey invitation in the future, please click this link:
https://survey10.medallia.com/?esrv4fykfd94wn22m9crht&amp;reject=begin, to
unsubscribe to our guest satisfaction surveys.
Should you need help accessing or completing this survey, please visit:
surveysupport.medallia.com
</t>
  </si>
  <si>
    <t xml:space="preserve">Complete pre-arrival check-in - Ashworth By The Sea Hotel
Contactless Check-In
Hello Dominic,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Canary Technologies logo Powered by Canary Technologies • Unsubscribe • Privacy
Policy
</t>
  </si>
  <si>
    <t xml:space="preserve">Pre-check in for your stay at Ashworth by the Sea
Hi Dominic,
Use the link below to check in before your arrival to speed up the process!
Upgrades and more may be available!
Pre Check-In
When you arrive, please present your photo ID and credit card. See you soon -
safe travels!
This is an automated message from Ashworth by the Sea -
frontdesk@ashworthbythesea.com
©2026  |  All Rights Reserved
295 Ocean Blvd. , Hampton, NH, 03842, United States
Call us at  603-926-6762
Privacy Policy  |  FAQs
</t>
  </si>
  <si>
    <t xml:space="preserve">Pre-check in for your stay at Ashworth by the Sea
                                  Hi Dominic,
  Use the link below to check in before your arrival to speed up the process!
                      Upgrades and more may be available!
                                  Pre Check-In
 When you arrive, please present your photo ID and credit card. See you soon -
                                 safe travels!
            This is an automated message from Ashworth by the Sea -
                         frontdesk@ashworthbythesea.com
                         ©2026  |  All Rights Reserved
              295 Ocean Blvd. , Hampton, NH, 03842, United States
                            Call us at  603-926-6762
                            Privacy Policy  |  FAQs
</t>
  </si>
  <si>
    <t>+15184887934</t>
  </si>
  <si>
    <t>Hello, I’d like to request an invoice be sent to my email when I check out. Thank you!
This guest's company name is chip's automotive repair service llc.</t>
  </si>
  <si>
    <t>I'd like to request check-in at 09:00 - 10:00. Is this ok?</t>
  </si>
  <si>
    <t>Dear anthony,
This is Ashworth By The Sea Hotel. Make sure to complete the pre-arrival check-in for your upcoming stay:
https://mobility.stayntouch.com/checkin/url/linabs/canary. 
You can reach out to the front desk by responding to this message any time. Reply QUIT to stop.</t>
  </si>
  <si>
    <t>Hi anthony,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</si>
  <si>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 xml:space="preserve">Complete pre-arrival check-in - Ashworth By The Sea Hotel
Contactless Check-In
Hello anthony,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Canary Technologies logo Powered by Canary Technologies • Unsubscribe • Privacy
                                     Policy
</t>
  </si>
  <si>
    <t>+15184952300</t>
  </si>
  <si>
    <t xml:space="preserve">Pre-check in for your stay at Ashworth by the Sea
                                  Hi Jennifer,
  Use the link below to check in before your arrival to speed up the process!
                      Upgrades and more may be available!
                                  Pre Check-In
 When you arrive, please present your photo ID and credit card. See you soon -
                                 safe travels!
            This is an automated message from Ashworth by the Sea -
                         frontdesk@ashworthbythesea.com
                         ©2026  |  All Rights Reserved
              295 Ocean Blvd. , Hampton, NH, 03842, United States
                            Call us at  603-926-6762
                            Privacy Policy  |  FAQs
</t>
  </si>
  <si>
    <t>I'd like to request check-in at 11:00 - 12:00. Is this ok?</t>
  </si>
  <si>
    <t xml:space="preserve">Complete pre-arrival check-in - Ashworth By The Sea Hotel
Contactless Check-In
Hello Jennifer,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Canary Technologies logo Powered by Canary Technologies • Unsubscribe • Privacy
                                     Policy
</t>
  </si>
  <si>
    <t>+15185067492</t>
  </si>
  <si>
    <t>Hi deborah,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</si>
  <si>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deborah,
This is Ashworth By The Sea Hotel. Make sure to complete the pre-arrival check-in for your upcoming stay:
https://mobility.stayntouch.com/checkin/url/linabs/canary. 
You can reach out to the front desk by responding to this message any time. Reply QUIT to stop.</t>
  </si>
  <si>
    <t>+15185691264</t>
  </si>
  <si>
    <t>+15185721358</t>
  </si>
  <si>
    <t>Dear Pamuela,
This is Ashworth By The Sea Hotel. Make sure to complete the pre-arrival check-in for your upcoming stay:
https://mobility.stayntouch.com/checkin/url/linabs/canary. 
You can reach out to the front desk by responding to this message any time. Reply QUIT to stop.</t>
  </si>
  <si>
    <t>Hi Pamuela,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</si>
  <si>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+15185731091</t>
  </si>
  <si>
    <t>Hello Michele, thank you for your request. We've noted your early check-in and late check-out request on your reservation. While early check-in is not guaranteed and is subject to availability, we'll do our best to accommodate your request if your room is ready upon your arrival. We look forward to welcoming you!</t>
  </si>
  <si>
    <t>Early checkin and late checkout</t>
  </si>
  <si>
    <t>+15185773499</t>
  </si>
  <si>
    <t>Hi Dylan,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</si>
  <si>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 xml:space="preserve">Ashworth By The Sea Hotel - Set checkout time now
Contactless Checkout
Hello Dylan,
Your departure is coming up. Use the link below to set your checkout time.
https://mobility.stayntouch.com/checkout/ashworthbythesea
We hope you enjoyed your stay.
Sincerely,
Ashworth By The Sea Hotel
       Ashworth By The Sea Hotel | 295 Ocean Blvd, Hampton, NH 03842-3629
Canary Technologies logo Powered by Canary Technologies • Unsubscribe • Privacy
                                     Policy
</t>
  </si>
  <si>
    <t>I'd like to request check-in at 20:00 - 21:00. Is this ok?</t>
  </si>
  <si>
    <t xml:space="preserve">INVOICE: Ashworth by the Sea | 107181
Thank you for staying at Ashworth by the Sea. Your invoice is attached.
</t>
  </si>
  <si>
    <t>+15185937983</t>
  </si>
  <si>
    <t>Dear Kelly,
This is Ashworth By The Sea Hotel. Make sure to complete the pre-arrival check-in for your upcoming stay:
https://mobility.stayntouch.com/checkin/url/linabs/canary. 
You can reach out to the front desk by responding to this message any time. Reply QUIT to stop.</t>
  </si>
  <si>
    <t>Hi Kelly,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</si>
  <si>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+15187059252</t>
  </si>
  <si>
    <t>Dear Amy,
This is Ashworth By The Sea Hotel. Make sure to complete the pre-arrival check-in for your upcoming stay:
https://mobility.stayntouch.com/checkin/url/linabs/canary. 
You can reach out to the front desk by responding to this message any time. Reply QUIT to stop.</t>
  </si>
  <si>
    <t>Hi Amy,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</si>
  <si>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+15187299526</t>
  </si>
  <si>
    <t>+15188027230</t>
  </si>
  <si>
    <t>Dear Samantha,
This is Ashworth By The Sea Hotel. Make sure to complete the pre-arrival check-in for your upcoming stay:
https://mobility.stayntouch.com/checkin/url/linabs/canary. 
You can reach out to the front desk by responding to this message any time. Reply QUIT to stop.</t>
  </si>
  <si>
    <t xml:space="preserve">INVOICE: Ashworth by the Sea | 106543
Thank you for staying at Ashworth by the Sea. Your invoice is attached.
</t>
  </si>
  <si>
    <t xml:space="preserve">How was your stay at Ashworth By The Sea? 3 Minute Survey
Please share your feedback with Medallia
                    Thank you so much for your recent stay.
                      ‌ ‌ ‌ ‌ ‌ ‌ ‌ ‌ ‌ ‌ ‌ ‌ ‌ ‌ ‌ ‌ ‌ ‌ 
alt_text
Dear Samantha Guerin,
We hope you enjoyed your recent stay at Ashworth By The Sea, where you checked
out on July 27, 2026.
We genuinely care about your experience with us, and we'd really appreciate your
feedback — it will only take a few minutes.
How likely are you to recommend Ashworth By The Sea to a friend or colleague?
Not at all Likely                                               Extremely Likely
┌──────┬──────┬──────┬──────┬──────┬──────┬──────┬──────┬──────┬──────┬────────┐
│  0   │  1   │  2   │  3   │  4   │  5   │  6   │  7   │  8   │  9   │   10   │
└──────┴──────┴──────┴──────┴──────┴──────┴──────┴──────┴──────┴──────┴────────┘
By completing this survey, you may be contacted by the hotel to help improve the
quality of service provided.
We appreciate your opinion and look forward to welcoming you again soon.
Kind Regards,
Andrew Fare
General Manager
Ashworth By The Sea
                              Powered by Medallia
Please do not “Reply” to this invitation.
To unsubscribe: We rely on feedback from guests to ensure that your stay will
meet and exceed your expectations. If, however, you would not like to receive a
survey invitation in the future, please click this link:
https://survey10.medallia.com/?et4yn57ffd94wn22m9crht&amp;reject=begin, to
unsubscribe to our guest satisfaction surveys.
Should you need help accessing or completing this survey, please visit:
surveysupport.medallia.com
</t>
  </si>
  <si>
    <t xml:space="preserve">Complete pre-arrival check-in - Ashworth By The Sea Hotel
Contactless Check-In
Hello Samantha,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Canary Technologies logo Powered by Canary Technologies • Unsubscribe • Privacy
                                     Policy
</t>
  </si>
  <si>
    <t xml:space="preserve">Pre-check in for your stay at Ashworth by the Sea
                                  Hi Samantha,
  Use the link below to check in before your arrival to speed up the process!
                      Upgrades and more may be available!
                                  Pre Check-In
 When you arrive, please present your photo ID and credit card. See you soon -
                                 safe travels!
            This is an automated message from Ashworth by the Sea -
                         frontdesk@ashworthbythesea.com
                         ©2026  |  All Rights Reserved
              295 Ocean Blvd. , Hampton, NH, 03842, United States
                            Call us at  603-926-6762
                            Privacy Policy  |  FAQs
</t>
  </si>
  <si>
    <t>Hi Samantha,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</si>
  <si>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+15188104389</t>
  </si>
  <si>
    <t>Dear Robin,
This is Ashworth By The Sea Hotel. Make sure to complete the pre-arrival check-in for your upcoming stay:
https://mobility.stayntouch.com/checkin/url/linabs/canary. 
You can reach out to the front desk by responding to this message any time. Reply QUIT to stop.</t>
  </si>
  <si>
    <t>+15188126829</t>
  </si>
  <si>
    <t>Hi Graydine,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</si>
  <si>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Graydine,
This is Ashworth By The Sea Hotel. Make sure to complete the pre-arrival check-in for your upcoming stay:
https://mobility.stayntouch.com/checkin/url/linabs/canary. 
You can reach out to the front desk by responding to this message any time. Reply QUIT to stop.</t>
  </si>
  <si>
    <t>+15188135796</t>
  </si>
  <si>
    <t>Hi Brittni,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</si>
  <si>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+15188213734</t>
  </si>
  <si>
    <t xml:space="preserve">Pre-check in for your stay at Ashworth by the Sea
                                   Hi Kelly,
  Use the link below to check in before your arrival to speed up the process!
                      Upgrades and more may be available!
                                  Pre Check-In
 When you arrive, please present your photo ID and credit card. See you soon -
                                 safe travels!
            This is an automated message from Ashworth by the Sea -
                         frontdesk@ashworthbythesea.com
                         ©2026  |  All Rights Reserved
              295 Ocean Blvd. , Hampton, NH, 03842, United States
                            Call us at  603-926-6762
                            Privacy Policy  |  FAQs
</t>
  </si>
  <si>
    <t xml:space="preserve">How was your stay at Ashworth By The Sea? 3 Minute Survey
Please share your feedback with Medallia
                    Thank you so much for your recent stay.
                      ‌ ‌ ‌ ‌ ‌ ‌ ‌ ‌ ‌ ‌ ‌ ‌ ‌ ‌ ‌ ‌ ‌ ‌ 
alt_text
Dear Kelly Byrne,
We hope you enjoyed your recent stay at Ashworth By The Sea, where you checked
out on July 20, 2026.
We genuinely care about your experience with us, and we'd really appreciate your
feedback — it will only take a few minutes.
How likely are you to recommend Ashworth By The Sea to a friend or colleague?
Not at all Likely                                               Extremely Likely
┌──────┬──────┬──────┬──────┬──────┬──────┬──────┬──────┬──────┬──────┬────────┐
│  0   │  1   │  2   │  3   │  4   │  5   │  6   │  7   │  8   │  9   │   10   │
└──────┴──────┴──────┴──────┴──────┴──────┴──────┴──────┴──────┴──────┴────────┘
By completing this survey, you may be contacted by the hotel to help improve the
quality of service provided.
We appreciate your opinion and look forward to welcoming you again soon.
Kind Regards,
Andrew Fare
General Manager
Ashworth By The Sea
                              Powered by Medallia
Please do not “Reply” to this invitation.
To unsubscribe: We rely on feedback from guests to ensure that your stay will
meet and exceed your expectations. If, however, you would not like to receive a
survey invitation in the future, please click this link:
https://survey10.medallia.com/?ehpscmykfd94wn22m9crht&amp;reject=begin, to
unsubscribe to our guest satisfaction surveys.
Should you need help accessing or completing this survey, please visit:
surveysupport.medallia.com
</t>
  </si>
  <si>
    <t xml:space="preserve">INVOICE: Ashworth by the Sea | 106626
Thank you for staying at Ashworth by the Sea. Your invoice is attached.
</t>
  </si>
  <si>
    <t xml:space="preserve">Complete pre-arrival check-in - Ashworth By The Sea Hotel
Contactless Check-In
Hello Kelly,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Canary Technologies logo Powered by Canary Technologies • Unsubscribe • Privacy
                                     Policy
</t>
  </si>
  <si>
    <t>+15188704969</t>
  </si>
  <si>
    <t xml:space="preserve">Pre-check in for your stay at Ashworth by the Sea
                                  Hi Zacaria,
  Use the link below to check in before your arrival to speed up the process!
                      Upgrades and more may be available!
                                  Pre Check-In
 When you arrive, please present your photo ID and credit card. See you soon -
                                 safe travels!
            This is an automated message from Ashworth by the Sea -
                         frontdesk@ashworthbythesea.com
                         ©2026  |  All Rights Reserved
              295 Ocean Blvd. , Hampton, NH, 03842, United States
                            Call us at  603-926-6762
                            Privacy Policy  |  FAQs
</t>
  </si>
  <si>
    <t>Dear Zacaria,
This is Ashworth By The Sea Hotel. Make sure to complete the pre-arrival check-in for your upcoming stay:
https://mobility.stayntouch.com/checkin/url/linabs/canary. 
You can reach out to the front desk by responding to this message any time. Reply QUIT to stop.</t>
  </si>
  <si>
    <t xml:space="preserve">Complete pre-arrival check-in - Ashworth By The Sea Hotel
Contactless Check-In
Hello Zacaria,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Canary Technologies logo Powered by Canary Technologies • Unsubscribe • Privacy
                                     Policy
</t>
  </si>
  <si>
    <t>Hi Zacaria,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</si>
  <si>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+15188884809</t>
  </si>
  <si>
    <t>+15188928963</t>
  </si>
  <si>
    <t>+15189154890</t>
  </si>
  <si>
    <t>Dear Karl,
This is Ashworth By The Sea Hotel. Make sure to complete the pre-arrival check-in for your upcoming stay:
https://mobility.stayntouch.com/checkin/url/linabs/canary. 
You can reach out to the front desk by responding to this message any time. Reply QUIT to stop.</t>
  </si>
  <si>
    <t>+15189260280</t>
  </si>
  <si>
    <t>Hi Brent,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</si>
  <si>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+15189269356</t>
  </si>
  <si>
    <t xml:space="preserve">Complete pre-arrival check-in - Ashworth By The Sea Hotel
Contactless Check-In
Hello Leonard,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Canary Technologies logo Powered by Canary Technologies • Unsubscribe • Privacy
                                     Policy
</t>
  </si>
  <si>
    <t>I figured it out. Thank you</t>
  </si>
  <si>
    <t>Hi Leonard,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</si>
  <si>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Leonard,
This is Ashworth By The Sea Hotel. Make sure to complete the pre-arrival check-in for your upcoming stay:
https://mobility.stayntouch.com/checkin/url/linabs/canary. 
You can reach out to the front desk by responding to this message any time. Reply QUIT to stop.</t>
  </si>
  <si>
    <t xml:space="preserve">Pre-check in for your stay at Ashworth by the Sea
                                  Hi Leonard,
  Use the link below to check in before your arrival to speed up the process!
                      Upgrades and more may be available!
                                  Pre Check-In
 When you arrive, please present your photo ID and credit card. See you soon -
                                 safe travels!
            This is an automated message from Ashworth by the Sea -
                         frontdesk@ashworthbythesea.com
                         ©2026  |  All Rights Reserved
              295 Ocean Blvd. , Hampton, NH, 03842, United States
                            Call us at  603-926-6762
                            Privacy Policy  |  FAQs
</t>
  </si>
  <si>
    <t>I'm attempting to use the link provided to fill out my check in. Unfortunately receiving this error. Can you call me? 518-926-9356</t>
  </si>
  <si>
    <t>+15189372057</t>
  </si>
  <si>
    <t xml:space="preserve">Pre-check in for your stay at Ashworth by the Sea
Hi Andrew,
Use the link below to check in before your arrival to speed up the process!
Upgrades and more may be available!
Pre Check-In
When you arrive, please present your photo ID and credit card. See you soon -
safe travels!
This is an automated message from Ashworth by the Sea -
frontdesk@ashworthbythesea.com
©2026  |  All Rights Reserved
295 Ocean Blvd. , Hampton, NH, 03842, United States
Call us at  603-926-6762
Privacy Policy  |  FAQs
</t>
  </si>
  <si>
    <t xml:space="preserve">Ashworth By The Sea Hotel - Set checkout time now
Contactless Checkout
Hello Andrew,
Your departure is coming up. Use the link below to set your checkout time.
https://mobility.stayntouch.com/checkout/ashworthbythesea
We hope you enjoyed your stay.
Sincerely,
Ashworth By The Sea Hotel
Ashworth By The Sea Hotel | 295 Ocean Blvd, Hampton, NH 03842-3629
Canary Technologies logo Powered by Canary Technologies • Unsubscribe • Privacy
Policy
</t>
  </si>
  <si>
    <t xml:space="preserve">INVOICE: Ashworth by the Sea | 105884
Thank you for staying at Ashworth by the Sea. Your invoice is attached.
</t>
  </si>
  <si>
    <t xml:space="preserve">How was your stay at Ashworth By The Sea? 3 Minute Survey
Please share your feedback with Medallia
                    Thank you so much for your recent stay.
                      ‌ ‌ ‌ ‌ ‌ ‌ ‌ ‌ ‌ ‌ ‌ ‌ ‌ ‌ ‌ ‌ ‌ ‌ 
alt_text
Dear Andrew Biance,
We hope you enjoyed your recent stay at Ashworth By The Sea, where you checked
out on July 14, 2026.
We genuinely care about your experience with us, and we'd really appreciate your
feedback — it will only take a few minutes.
How likely are you to recommend Ashworth By The Sea to a friend or colleague?
Not at all Likely                                               Extremely Likely
┌──────┬──────┬──────┬──────┬──────┬──────┬──────┬──────┬──────┬──────┬────────┐
│  0   │  1   │  2   │  3   │  4   │  5   │  6   │  7   │  8   │  9   │   10   │
└──────┴──────┴──────┴──────┴──────┴──────┴──────┴──────┴──────┴──────┴────────┘
By completing this survey, you may be contacted by the hotel to help improve the
quality of service provided.
We appreciate your opinion and look forward to welcoming you again soon.
Kind Regards,
Andrew Fare
General Manager
Ashworth By The Sea
                              Powered by Medallia
Please do not “Reply” to this invitation.
To unsubscribe: We rely on feedback from guests to ensure that your stay will
meet and exceed your expectations. If, however, you would not like to receive a
survey invitation in the future, please click this link:
https://survey10.medallia.com/?emzrh3ykfd94wn22m9crht&amp;reject=begin, to
unsubscribe to our guest satisfaction surveys.
Should you need help accessing or completing this survey, please visit:
surveysupport.medallia.com
</t>
  </si>
  <si>
    <t xml:space="preserve">Complete pre-arrival check-in - Ashworth By The Sea Hotel
Contactless Check-In
Hello Andrew,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Canary Technologies logo Powered by Canary Technologies • Unsubscribe • Privacy
Policy
</t>
  </si>
  <si>
    <t>+15189445687</t>
  </si>
  <si>
    <t>Hi Jakob,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</si>
  <si>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Dear Jakob,
This is Ashworth By The Sea Hotel. Make sure to complete the pre-arrival check-in for your upcoming stay:
https://mobility.stayntouch.com/checkin/url/linabs/canary. 
You can reach out to the front desk by responding to this message any time. Reply QUIT to stop.</t>
  </si>
  <si>
    <t>+15189488361</t>
  </si>
  <si>
    <t>Dear jennifer,
This is Ashworth By The Sea Hotel. Make sure to complete the pre-arrival check-in for your upcoming stay:
https://mobility.stayntouch.com/checkin/url/linabs/canary. 
You can reach out to the front desk by responding to this message any time. Reply QUIT to stop.</t>
  </si>
  <si>
    <t>Hi jennifer,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</si>
  <si>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+15189561718</t>
  </si>
  <si>
    <t>+15189864961</t>
  </si>
  <si>
    <t>Dear Jacqueline,
This is Ashworth By The Sea Hotel. Make sure to complete the pre-arrival check-in for your upcoming stay:
https://mobility.stayntouch.com/checkin/url/linabs/canary. 
You can reach out to the front desk by responding to this message any time. Reply QUIT to stop.</t>
  </si>
  <si>
    <t>Hi Jacqueline,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</si>
  <si>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+15189865859</t>
  </si>
  <si>
    <t>+15198023321</t>
  </si>
  <si>
    <t>Hi Taylor,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</si>
  <si>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Taylor,
This is Ashworth By The Sea Hotel. Make sure to complete the pre-arrival check-in for your upcoming stay:
https://mobility.stayntouch.com/checkin/url/linabs/canary. 
You can reach out to the front desk by responding to this message any time. Reply QUIT to stop.</t>
  </si>
  <si>
    <t>+15202820662</t>
  </si>
  <si>
    <t>Dear Eileen,
This is Ashworth By The Sea Hotel. Make sure to complete the pre-arrival check-in for your upcoming stay:
https://mobility.stayntouch.com/checkin/url/linabs/canary. 
You can reach out to the front desk by responding to this message any time. Reply QUIT to stop.</t>
  </si>
  <si>
    <t>+15673036059</t>
  </si>
  <si>
    <t>Hi Henry,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</si>
  <si>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Henry,
This is Ashworth By The Sea Hotel. Make sure to complete the pre-arrival check-in for your upcoming stay:
https://mobility.stayntouch.com/checkin/url/linabs/canary. 
You can reach out to the front desk by responding to this message any time. Reply QUIT to stop.</t>
  </si>
  <si>
    <t>+15678682509</t>
  </si>
  <si>
    <t>Dear Ray,
This is Ashworth By The Sea Hotel. Make sure to complete the pre-arrival check-in for your upcoming stay:
https://mobility.stayntouch.com/checkin/url/linabs/canary. 
You can reach out to the front desk by responding to this message any time. Reply QUIT to stop.</t>
  </si>
  <si>
    <t>+15702991197</t>
  </si>
  <si>
    <t>Hi Debra,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</si>
  <si>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+15708777159</t>
  </si>
  <si>
    <t>Dear Abbey,
This is Ashworth By The Sea Hotel. Make sure to complete the pre-arrival check-in for your upcoming stay:
https://mobility.stayntouch.com/checkin/url/linabs/canary. 
You can reach out to the front desk by responding to this message any time. Reply QUIT to stop.</t>
  </si>
  <si>
    <t>+15852360425</t>
  </si>
  <si>
    <t>+15852596915</t>
  </si>
  <si>
    <t>Dear Wilbur,
This is Ashworth By The Sea Hotel. Make sure to complete the pre-arrival check-in for your upcoming stay:
https://mobility.stayntouch.com/checkin/url/linabs/canary. 
You can reach out to the front desk by responding to this message any time. Reply QUIT to stop.</t>
  </si>
  <si>
    <t>+15857325976</t>
  </si>
  <si>
    <t>Dear Maribeth,
This is Ashworth By The Sea Hotel. Make sure to complete the pre-arrival check-in for your upcoming stay:
https://mobility.stayntouch.com/checkin/url/linabs/canary. 
You can reach out to the front desk by responding to this message any time. Reply QUIT to stop.</t>
  </si>
  <si>
    <t>Hi Maribeth,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</si>
  <si>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+16032355640</t>
  </si>
  <si>
    <t xml:space="preserve">Reminder : How was your stay at Ashworth By The Sea? 3 Minute Survey
Please share your feedback with Medallia
                    Thank you so much for your recent stay.
                      ‌ ‌ ‌ ‌ ‌ ‌ ‌ ‌ ‌ ‌ ‌ ‌ ‌ ‌ ‌ ‌ ‌ ‌ 
alt_text
Dear Shawn Haggart,
A few days ago, we sent you an invitation for you to provide us with valuable
feedback regarding your recent stay with us at Ashworth By The Sea, where you
checked out on July 22, 2026.
We would still like to hear about your stay and understand if we met your
expectations. It's easy and will only take a few minutes.
How likely are you to recommend Ashworth By The Sea to a friend or colleague?
Not at all Likely                                               Extremely Likely
┌──────┬──────┬──────┬──────┬──────┬──────┬──────┬──────┬──────┬──────┬────────┐
│  0   │  1   │  2   │  3   │  4   │  5   │  6   │  7   │  8   │  9   │   10   │
└──────┴──────┴──────┴──────┴──────┴──────┴──────┴──────┴──────┴──────┴────────┘
This is the only reminder you will receive from us. If you have already
completed this online form, please disregard this email and thank you for
sharing your opinions with us.
Sincerely,
Andrew Fare
General Manager
Ashworth By The Sea
                              Powered by Medallia
Please do not “Reply” to this invitation.
To unsubscribe: We rely on feedback from guests to ensure that your stay will
meet and exceed your expectations. If, however, you would not like to receive a
survey invitation in the future, please click this link:
https://survey10.medallia.com/?ez988nykfd94wn22m9crht&amp;reject=begin, to
unsubscribe to our guest satisfaction surveys.
Should you need help accessing or completing this survey, please visit:
surveysupport.medallia.com
</t>
  </si>
  <si>
    <t xml:space="preserve">How was your stay at Ashworth By The Sea? 3 Minute Survey
Please share your feedback with Medallia
                    Thank you so much for your recent stay.
                      ‌ ‌ ‌ ‌ ‌ ‌ ‌ ‌ ‌ ‌ ‌ ‌ ‌ ‌ ‌ ‌ ‌ ‌ 
alt_text
Dear Shawn Haggart,
We hope you enjoyed your recent stay at Ashworth By The Sea, where you checked
out on July 22, 2026.
We genuinely care about your experience with us, and we'd really appreciate your
feedback — it will only take a few minutes.
How likely are you to recommend Ashworth By The Sea to a friend or colleague?
Not at all Likely                                               Extremely Likely
┌──────┬──────┬──────┬──────┬──────┬──────┬──────┬──────┬──────┬──────┬────────┐
│  0   │  1   │  2   │  3   │  4   │  5   │  6   │  7   │  8   │  9   │   10   │
└──────┴──────┴──────┴──────┴──────┴──────┴──────┴──────┴──────┴──────┴────────┘
By completing this survey, you may be contacted by the hotel to help improve the
quality of service provided.
We appreciate your opinion and look forward to welcoming you again soon.
Kind Regards,
Andrew Fare
General Manager
Ashworth By The Sea
                              Powered by Medallia
Please do not “Reply” to this invitation.
To unsubscribe: We rely on feedback from guests to ensure that your stay will
meet and exceed your expectations. If, however, you would not like to receive a
survey invitation in the future, please click this link:
https://survey10.medallia.com/?ez988nykfd94wn22m9crht&amp;reject=begin, to
unsubscribe to our guest satisfaction surveys.
Should you need help accessing or completing this survey, please visit:
surveysupport.medallia.com
</t>
  </si>
  <si>
    <t xml:space="preserve">Pre-check in for your stay at Ashworth by the Sea
                                   Hi Shawn,
  Use the link below to check in before your arrival to speed up the process!
                      Upgrades and more may be available!
                                  Pre Check-In
 When you arrive, please present your photo ID and credit card. See you soon -
                                 safe travels!
            This is an automated message from Ashworth by the Sea -
                         frontdesk@ashworthbythesea.com
                         ©2026  |  All Rights Reserved
              295 Ocean Blvd. , Hampton, NH, 03842, United States
                            Call us at  603-926-6762
                            Privacy Policy  |  FAQs
</t>
  </si>
  <si>
    <t xml:space="preserve">Complete pre-arrival check-in - Ashworth By The Sea Hotel
Contactless Check-In
Hello Shawn,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Canary Technologies logo Powered by Canary Technologies • Unsubscribe • Privacy
                                     Policy
</t>
  </si>
  <si>
    <t>Hi Shawn,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</si>
  <si>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Shawn,
This is Ashworth By The Sea Hotel. Make sure to complete the pre-arrival check-in for your upcoming stay:
https://mobility.stayntouch.com/checkin/url/linabs/canary. 
You can reach out to the front desk by responding to this message any time. Reply QUIT to stop.</t>
  </si>
  <si>
    <t xml:space="preserve">INVOICE: Ashworth by the Sea | 107171
Thank you for staying at Ashworth by the Sea. Your invoice is attached.
</t>
  </si>
  <si>
    <t>+16032470556</t>
  </si>
  <si>
    <t>Hi Cliff,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</si>
  <si>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Cliff,
This is Ashworth By The Sea Hotel. Make sure to complete the pre-arrival check-in for your upcoming stay:
https://mobility.stayntouch.com/checkin/url/linabs/canary. 
You can reach out to the front desk by responding to this message any time. Reply QUIT to stop.</t>
  </si>
  <si>
    <t>+16033055796</t>
  </si>
  <si>
    <t>+16033094777</t>
  </si>
  <si>
    <t>Hi Erica,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</si>
  <si>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 xml:space="preserve">INVOICE: Ashworth by the Sea | 107398
Thank you for staying at Ashworth by the Sea. Your invoice is attached.
</t>
  </si>
  <si>
    <t xml:space="preserve">How was your stay at Ashworth By The Sea? 3 Minute Survey
Please share your feedback with Medallia
                    Thank you so much for your recent stay.
                      ‌ ‌ ‌ ‌ ‌ ‌ ‌ ‌ ‌ ‌ ‌ ‌ ‌ ‌ ‌ ‌ ‌ ‌ 
alt_text
Dear Erica Lee,
We hope you enjoyed your recent stay at Ashworth By The Sea, where you checked
out on July 21, 2026.
We genuinely care about your experience with us, and we'd really appreciate your
feedback — it will only take a few minutes.
How likely are you to recommend Ashworth By The Sea to a friend or colleague?
Not at all Likely                                               Extremely Likely
┌──────┬──────┬──────┬──────┬──────┬──────┬──────┬──────┬──────┬──────┬────────┐
│  0   │  1   │  2   │  3   │  4   │  5   │  6   │  7   │  8   │  9   │   10   │
└──────┴──────┴──────┴──────┴──────┴──────┴──────┴──────┴──────┴──────┴────────┘
By completing this survey, you may be contacted by the hotel to help improve the
quality of service provided.
We appreciate your opinion and look forward to welcoming you again soon.
Kind Regards,
Andrew Fare
General Manager
Ashworth By The Sea
                              Powered by Medallia
Please do not “Reply” to this invitation.
To unsubscribe: We rely on feedback from guests to ensure that your stay will
meet and exceed your expectations. If, however, you would not like to receive a
survey invitation in the future, please click this link:
https://survey10.medallia.com/?ew9nnsykfd94wn22m9crht&amp;reject=begin, to
unsubscribe to our guest satisfaction surveys.
Should you need help accessing or completing this survey, please visit:
surveysupport.medallia.com
</t>
  </si>
  <si>
    <t>+16033127584</t>
  </si>
  <si>
    <t>+16033130543</t>
  </si>
  <si>
    <t>If I could request to have the room ready early due to an event that starts at 4 and I will need to get ready</t>
  </si>
  <si>
    <t xml:space="preserve">Pre-check in for your stay at Ashworth by the Sea
                                   Hi Nicole,
  Use the link below to check in before your arrival to speed up the process!
                      Upgrades and more may be available!
                                  Pre Check-In
 When you arrive, please present your photo ID and credit card. See you soon -
                                 safe travels!
            This is an automated message from Ashworth by the Sea -
                         frontdesk@ashworthbythesea.com
                         ©2026  |  All Rights Reserved
              295 Ocean Blvd. , Hampton, NH, 03842, United States
                            Call us at  603-926-6762
                            Privacy Policy  |  FAQs
</t>
  </si>
  <si>
    <t>+16033133137</t>
  </si>
  <si>
    <t>Hi Tamara,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</si>
  <si>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Tamara,
This is Ashworth By The Sea Hotel. Make sure to complete the pre-arrival check-in for your upcoming stay:
https://mobility.stayntouch.com/checkin/url/linabs/canary. 
You can reach out to the front desk by responding to this message any time. Reply QUIT to stop.</t>
  </si>
  <si>
    <t>+16033218079</t>
  </si>
  <si>
    <t>Hi Keith,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</si>
  <si>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Dear Keith,
This is Ashworth By The Sea Hotel. Make sure to complete the pre-arrival check-in for your upcoming stay:
https://mobility.stayntouch.com/checkin/url/linabs/canary. 
You can reach out to the front desk by responding to this message any time. Reply QUIT to stop.</t>
  </si>
  <si>
    <t>+16033255375</t>
  </si>
  <si>
    <t>Hi Shelly,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</si>
  <si>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Dear Shelly,
This is Ashworth By The Sea Hotel. Make sure to complete the pre-arrival check-in for your upcoming stay:
https://mobility.stayntouch.com/checkin/url/linabs/canary. 
You can reach out to the front desk by responding to this message any time. Reply QUIT to stop.</t>
  </si>
  <si>
    <t>+16033400000</t>
  </si>
  <si>
    <t>Hi Marianne,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</si>
  <si>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Marianne,
This is Ashworth By The Sea Hotel. Make sure to complete the pre-arrival check-in for your upcoming stay:
https://mobility.stayntouch.com/checkin/url/linabs/canary. 
You can reach out to the front desk by responding to this message any time. Reply QUIT to stop.</t>
  </si>
  <si>
    <t>+16033432499</t>
  </si>
  <si>
    <t>Dear Judie &amp; Jim,
This is Ashworth By The Sea Hotel. Make sure to complete the pre-arrival check-in for your upcoming stay:
https://mobility.stayntouch.com/checkin/url/linabs/canary. 
You can reach out to the front desk by responding to this message any time. Reply QUIT to stop.</t>
  </si>
  <si>
    <t>Hi Judie &amp; Jim,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</si>
  <si>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+16033590997</t>
  </si>
  <si>
    <t>Hi Christian,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</si>
  <si>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Christian,
This is Ashworth By The Sea Hotel. Make sure to complete the pre-arrival check-in for your upcoming stay:
https://mobility.stayntouch.com/checkin/url/linabs/canary. 
You can reach out to the front desk by responding to this message any time. Reply QUIT to stop.</t>
  </si>
  <si>
    <t>+16033803980</t>
  </si>
  <si>
    <t>Dear Jessica,
This is Ashworth By The Sea Hotel. Make sure to complete the pre-arrival check-in for your upcoming stay:
https://mobility.stayntouch.com/checkin/url/linabs/canary. 
You can reach out to the front desk by responding to this message any time. Reply QUIT to stop.</t>
  </si>
  <si>
    <t>Hi Jessica,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</si>
  <si>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+16033815189</t>
  </si>
  <si>
    <t>+16034005876</t>
  </si>
  <si>
    <t xml:space="preserve">How was your stay at Ashworth By The Sea? 3 Minute Survey
Please share your feedback with Medallia
                    Thank you so much for your recent stay.
                      ‌ ‌ ‌ ‌ ‌ ‌ ‌ ‌ ‌ ‌ ‌ ‌ ‌ ‌ ‌ ‌ ‌ ‌ 
alt_text
Dear John Velasco,
We hope you enjoyed your recent stay at Ashworth By The Sea, where you checked
out on July 26, 2026.
We genuinely care about your experience with us, and we'd really appreciate your
feedback — it will only take a few minutes.
How likely are you to recommend Ashworth By The Sea to a friend or colleague?
Not at all Likely                                               Extremely Likely
┌──────┬──────┬──────┬──────┬──────┬──────┬──────┬──────┬──────┬──────┬────────┐
│  0   │  1   │  2   │  3   │  4   │  5   │  6   │  7   │  8   │  9   │   10   │
└──────┴──────┴──────┴──────┴──────┴──────┴──────┴──────┴──────┴──────┴────────┘
By completing this survey, you may be contacted by the hotel to help improve the
quality of service provided.
We appreciate your opinion and look forward to welcoming you again soon.
Kind Regards,
Andrew Fare
General Manager
Ashworth By The Sea
                              Powered by Medallia
Please do not “Reply” to this invitation.
To unsubscribe: We rely on feedback from guests to ensure that your stay will
meet and exceed your expectations. If, however, you would not like to receive a
survey invitation in the future, please click this link:
https://survey10.medallia.com/?ewm7k37ffd94wn22m9crht&amp;reject=begin, to
unsubscribe to our guest satisfaction surveys.
Should you need help accessing or completing this survey, please visit:
surveysupport.medallia.com
</t>
  </si>
  <si>
    <t xml:space="preserve">INVOICE: Ashworth by the Sea | 106585
Thank you for staying at Ashworth by the Sea. Your invoice is attached.
</t>
  </si>
  <si>
    <t xml:space="preserve">Reminder : How was your stay at Ashworth By The Sea? 3 Minute Survey
Please share your feedback with Medallia
                    Thank you so much for your recent stay.
                      ‌ ‌ ‌ ‌ ‌ ‌ ‌ ‌ ‌ ‌ ‌ ‌ ‌ ‌ ‌ ‌ ‌ ‌ 
alt_text
Dear John Velasco,
A few days ago, we sent you an invitation for you to provide us with valuable
feedback regarding your recent stay with us at Ashworth By The Sea, where you
checked out on July 26, 2026.
We would still like to hear about your stay and understand if we met your
expectations. It's easy and will only take a few minutes.
How likely are you to recommend Ashworth By The Sea to a friend or colleague?
Not at all Likely                                               Extremely Likely
┌──────┬──────┬──────┬──────┬──────┬──────┬──────┬──────┬──────┬──────┬────────┐
│  0   │  1   │  2   │  3   │  4   │  5   │  6   │  7   │  8   │  9   │   10   │
└──────┴──────┴──────┴──────┴──────┴──────┴──────┴──────┴──────┴──────┴────────┘
This is the only reminder you will receive from us. If you have already
completed this online form, please disregard this email and thank you for
sharing your opinions with us.
Sincerely,
Andrew Fare
General Manager
Ashworth By The Sea
                              Powered by Medallia
Please do not “Reply” to this invitation.
To unsubscribe: We rely on feedback from guests to ensure that your stay will
meet and exceed your expectations. If, however, you would not like to receive a
survey invitation in the future, please click this link:
https://survey10.medallia.com/?ewm7k37ffd94wn22m9crht&amp;reject=begin, to
unsubscribe to our guest satisfaction surveys.
Should you need help accessing or completing this survey, please visit:
surveysupport.medallia.com
</t>
  </si>
  <si>
    <t>+16034264750</t>
  </si>
  <si>
    <t>Hi Diane,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</si>
  <si>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Diane,
This is Ashworth By The Sea Hotel. Make sure to complete the pre-arrival check-in for your upcoming stay:
https://mobility.stayntouch.com/checkin/url/linabs/canary. 
You can reach out to the front desk by responding to this message any time. Reply QUIT to stop.</t>
  </si>
  <si>
    <t>+16034380286</t>
  </si>
  <si>
    <t>Thank you, we will notate this in your reservation.</t>
  </si>
  <si>
    <t>Id love an early check-in,  will be there at 1</t>
  </si>
  <si>
    <t>Last name Szecskas.  I actually am staying 2 nights. 2 separate reservations. Jusr fyi</t>
  </si>
  <si>
    <t>Hi Szecskas,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</si>
  <si>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Szecskas,
This is Ashworth By The Sea Hotel. Make sure to complete the pre-arrival check-in for your upcoming stay:
https://mobility.stayntouch.com/checkin/url/linabs/canary. 
You can reach out to the front desk by responding to this message any time. Reply QUIT to stop.</t>
  </si>
  <si>
    <t>+16034556961</t>
  </si>
  <si>
    <t>Dear Denise,
This is Ashworth By The Sea Hotel. Make sure to complete the pre-arrival check-in for your upcoming stay:
https://mobility.stayntouch.com/checkin/url/linabs/canary. 
You can reach out to the front desk by responding to this message any time. Reply QUIT to stop.</t>
  </si>
  <si>
    <t>Hi Denise,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</si>
  <si>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+16034770559</t>
  </si>
  <si>
    <t>Dear Jeremy,
This is Ashworth By The Sea Hotel. Make sure to complete the pre-arrival check-in for your upcoming stay:
https://mobility.stayntouch.com/checkin/url/linabs/canary. 
You can reach out to the front desk by responding to this message any time. Reply QUIT to stop.</t>
  </si>
  <si>
    <t>Hello Jeremy, our check in time is at 4pm!</t>
  </si>
  <si>
    <t>Could you please let me know what time we could check in tomorrow?</t>
  </si>
  <si>
    <t>+16034773199</t>
  </si>
  <si>
    <t>Dear Newton,
This is Ashworth By The Sea Hotel. Make sure to complete the pre-arrival check-in for your upcoming stay:
https://mobility.stayntouch.com/checkin/url/linabs/canary. 
You can reach out to the front desk by responding to this message any time. Reply QUIT to stop.</t>
  </si>
  <si>
    <t>Hi Newton,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</si>
  <si>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+16034797506</t>
  </si>
  <si>
    <t>Dear Daniel,
This is Ashworth By The Sea Hotel. Make sure to complete the pre-arrival check-in for your upcoming stay:
https://mobility.stayntouch.com/checkin/url/linabs/canary. 
You can reach out to the front desk by responding to this message any time. Reply QUIT to stop.</t>
  </si>
  <si>
    <t>Hi Daniel,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</si>
  <si>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+16034903726</t>
  </si>
  <si>
    <t>+16034930522</t>
  </si>
  <si>
    <t>Dear Robert,
This is Ashworth By The Sea Hotel. Make sure to complete the pre-arrival check-in for your upcoming stay:
https://mobility.stayntouch.com/checkin/url/linabs/canary. 
You can reach out to the front desk by responding to this message any time. Reply QUIT to stop.</t>
  </si>
  <si>
    <t>Hi Robert,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</si>
  <si>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+16034962683</t>
  </si>
  <si>
    <t>Dear Carmelle,
This is Ashworth By The Sea Hotel. Make sure to complete the pre-arrival check-in for your upcoming stay:
https://mobility.stayntouch.com/checkin/url/linabs/canary. 
You can reach out to the front desk by responding to this message any time. Reply QUIT to stop.</t>
  </si>
  <si>
    <t>Hi Carmelle,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</si>
  <si>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+16035028339</t>
  </si>
  <si>
    <t>Good morning Cali and Patrick, I hope this message finds you well! Your room will be ready for check-in at 11:00 AM Best ~ Rita</t>
  </si>
  <si>
    <t>Dear Cali Traynor,
This is Ashworth By The Sea Hotel. Make sure to complete the pre-arrival check-in for your upcoming stay:
https://mobility.stayntouch.com/checkin/url/linabs/canary. 
You can reach out to the front desk by responding to this message any time. Reply QUIT to stop.</t>
  </si>
  <si>
    <t>Hi Cali Traynor,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</si>
  <si>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+16035075913</t>
  </si>
  <si>
    <t>Dear Alison,
This is Ashworth By The Sea Hotel. Make sure to complete the pre-arrival check-in for your upcoming stay:
https://mobility.stayntouch.com/checkin/url/linabs/canary. 
You can reach out to the front desk by responding to this message any time. Reply QUIT to stop.</t>
  </si>
  <si>
    <t>+16035081082</t>
  </si>
  <si>
    <t>+16035311057</t>
  </si>
  <si>
    <t>Dear Barbara,
This is Ashworth By The Sea Hotel. Make sure to complete the pre-arrival check-in for your upcoming stay:
https://mobility.stayntouch.com/checkin/url/linabs/canary. 
You can reach out to the front desk by responding to this message any time. Reply QUIT to stop.</t>
  </si>
  <si>
    <t>Hi Barbara,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</si>
  <si>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+16035484936</t>
  </si>
  <si>
    <t>+16035574440</t>
  </si>
  <si>
    <t>+16035584576</t>
  </si>
  <si>
    <t>Subject to availability</t>
  </si>
  <si>
    <t xml:space="preserve">Dog
 Just make sure we all set to come and your dog friendly deb richards aug 22 for
nights septwoo@aol.com 
</t>
  </si>
  <si>
    <t>We will be bringing dog</t>
  </si>
  <si>
    <t>patriciahurgoiu</t>
  </si>
  <si>
    <t>Good morning Debra! We are a dog friendly hotel and we will be happy to add that to your reservation. It is going to be 50$ per night, per pet.</t>
  </si>
  <si>
    <t>+16035589372</t>
  </si>
  <si>
    <t>+16035665351</t>
  </si>
  <si>
    <t>If we can't check in early, if we can have the car parked around 10am or so that would be very much appreciated.</t>
  </si>
  <si>
    <t xml:space="preserve">INVOICE: Ashworth by the Sea | 106458
Thank you for staying at Ashworth by the Sea. Your invoice is attached.
</t>
  </si>
  <si>
    <t xml:space="preserve">Pre-check in for your stay at Ashworth by the Sea
Hi Victoria,
Use the link below to check in before your arrival to speed up the process!
Upgrades and more may be available!
Pre Check-In
When you arrive, please present your photo ID and credit card. See you soon -
safe travels!
This is an automated message from Ashworth by the Sea -
frontdesk@ashworthbythesea.com
©2026  |  All Rights Reserved
295 Ocean Blvd. , Hampton, NH, 03842, United States
Call us at  603-926-6762
Privacy Policy  |  FAQs
</t>
  </si>
  <si>
    <t>I'd like to request check-in at 10:00 - 11:00. Is this ok?</t>
  </si>
  <si>
    <t>Thank you for contacting us, Victoria Marchand Trust.
Private parking is possible on site (reservation is not needed) and costs US$25 per day.
We look forward to your stay.
Best regards,
Ashworth by the Sea</t>
  </si>
  <si>
    <t xml:space="preserve">Reminder : How was your stay at Ashworth By The Sea? 3 Minute Survey
Please share your feedback with Medallia
                    Thank you so much for your recent stay.
                      ‌ ‌ ‌ ‌ ‌ ‌ ‌ ‌ ‌ ‌ ‌ ‌ ‌ ‌ ‌ ‌ ‌ ‌ 
alt_text
Dear Victoria Marchand Trust,
A few days ago, we sent you an invitation for you to provide us with valuable
feedback regarding your recent stay with us at Ashworth By The Sea, where you
checked out on July 13, 2026.
We would still like to hear about your stay and understand if we met your
expectations. It's easy and will only take a few minutes.
How likely are you to recommend Ashworth By The Sea to a friend or colleague?
Not at all Likely                                               Extremely Likely
┌──────┬──────┬──────┬──────┬──────┬──────┬──────┬──────┬──────┬──────┬────────┐
│  0   │  1   │  2   │  3   │  4   │  5   │  6   │  7   │  8   │  9   │   10   │
└──────┴──────┴──────┴──────┴──────┴──────┴──────┴──────┴──────┴──────┴────────┘
This is the only reminder you will receive from us. If you have already
completed this online form, please disregard this email and thank you for
sharing your opinions with us.
Sincerely,
Andrew Fare
General Manager
Ashworth By The Sea
                              Powered by Medallia
Please do not “Reply” to this invitation.
To unsubscribe: We rely on feedback from guests to ensure that your stay will
meet and exceed your expectations. If, however, you would not like to receive a
survey invitation in the future, please click this link:
https://survey10.medallia.com/?ezdrfyykfd94wn22m9crht&amp;reject=begin, to
unsubscribe to our guest satisfaction surveys.
Should you need help accessing or completing this survey, please visit:
surveysupport.medallia.com
</t>
  </si>
  <si>
    <t>The form is telling me no match was found and when I called the hotel no one is available to pick up to assist.</t>
  </si>
  <si>
    <t xml:space="preserve">Complete pre-arrival check-in - Ashworth By The Sea Hotel
Contactless Check-In
Hello Victoria,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Canary Technologies logo Powered by Canary Technologies • Unsubscribe • Privacy
Policy
</t>
  </si>
  <si>
    <t xml:space="preserve">Ashworth By The Sea Hotel - Set checkout time now
Contactless Checkout
Hello Victoria,
Your departure is coming up. Use the link below to set your checkout time.
https://mobility.stayntouch.com/checkout/ashworthbythesea
We hope you enjoyed your stay.
Sincerely,
Ashworth By The Sea Hotel
Ashworth By The Sea Hotel | 295 Ocean Blvd, Hampton, NH 03842-3629
Canary Technologies logo Powered by Canary Technologies • Unsubscribe • Privacy
Policy
</t>
  </si>
  <si>
    <t>Hi Victoria,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</si>
  <si>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 xml:space="preserve">How was your stay at Ashworth By The Sea? 3 Minute Survey
Please share your feedback with Medallia
Thank you so much for your recent stay.
‌ ‌ ‌ ‌ ‌ ‌ ‌ ‌ ‌ ‌ ‌ ‌ ‌ ‌ ‌ ‌ ‌ ‌ 
alt_text
Dear Victoria Marchand Trust,
We hope you enjoyed your recent stay at Ashworth By The Sea, where you checked
out on July 13, 2026.
We genuinely care about your experience with us, and we'd really appreciate your
feedback — it will only take a few minutes.
How likely are you to recommend Ashworth By The Sea to a friend or colleague?
Not at all Likely                        Extremely Likely
0       1       2      3      4      5      6      7      8      9      10
By completing this survey, you may be contacted by the hotel to help improve the
quality of service provided.
We appreciate your opinion and look forward to welcoming you again soon.
Kind Regards,
Andrew Fare
General Manager
Ashworth By The Sea
Powered by Medallia
Please do not “Reply” to this invitation.
To unsubscribe: We rely on feedback from guests to ensure that your stay will
meet and exceed your expectations. If, however, you would not like to receive a
survey invitation in the future, please click this link:
https://survey10.medallia.com/?ezdrfyykfd94wn22m9crht&amp;reject=begin, to
unsubscribe to our guest satisfaction surveys.
Should you need help accessing or completing this survey, please visit:
surveysupport.medallia.com
</t>
  </si>
  <si>
    <t>+16036167033</t>
  </si>
  <si>
    <t>Hi Nathan,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</si>
  <si>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+16036578091</t>
  </si>
  <si>
    <t>+16036745029</t>
  </si>
  <si>
    <t>Dear Emily,
This is Ashworth By The Sea Hotel. Make sure to complete the pre-arrival check-in for your upcoming stay:
https://mobility.stayntouch.com/checkin/url/linabs/canary. 
You can reach out to the front desk by responding to this message any time. Reply QUIT to stop.</t>
  </si>
  <si>
    <t xml:space="preserve">Pre-check in for your stay at Ashworth by the Sea
                                   Hi Emily,
  Use the link below to check in before your arrival to speed up the process!
                      Upgrades and more may be available!
                                  Pre Check-In
 When you arrive, please present your photo ID and credit card. See you soon -
                                 safe travels!
            This is an automated message from Ashworth by the Sea -
                         frontdesk@ashworthbythesea.com
                         ©2026  |  All Rights Reserved
              295 Ocean Blvd. , Hampton, NH, 03842, United States
                            Call us at  603-926-6762
                            Privacy Policy  |  FAQs
</t>
  </si>
  <si>
    <t>Hi Emily,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</si>
  <si>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 xml:space="preserve">Complete pre-arrival check-in - Ashworth By The Sea Hotel
Contactless Check-In
Hello Emily,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Canary Technologies logo Powered by Canary Technologies • Unsubscribe • Privacy
                                     Policy
</t>
  </si>
  <si>
    <t>+16036989383</t>
  </si>
  <si>
    <t>Dear Racheal,
This is Ashworth By The Sea Hotel. Make sure to complete the pre-arrival check-in for your upcoming stay:
https://mobility.stayntouch.com/checkin/url/linabs/canary. 
You can reach out to the front desk by responding to this message any time. Reply QUIT to stop.</t>
  </si>
  <si>
    <t>Hi Racheal,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</si>
  <si>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 xml:space="preserve">Complete pre-arrival check-in - Ashworth By The Sea Hotel
Contactless Check-In
Hello Racheal,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Canary Technologies logo Powered by Canary Technologies • Unsubscribe • Privacy
                                     Policy
</t>
  </si>
  <si>
    <t>+16037041736</t>
  </si>
  <si>
    <t>Dear Meghan,
This is Ashworth By The Sea Hotel. Make sure to complete the pre-arrival check-in for your upcoming stay:
https://mobility.stayntouch.com/checkin/url/linabs/canary. 
You can reach out to the front desk by responding to this message any time. Reply QUIT to stop.</t>
  </si>
  <si>
    <t>+16037142952</t>
  </si>
  <si>
    <t>Dear Katherine,
This is Ashworth By The Sea Hotel. Make sure to complete the pre-arrival check-in for your upcoming stay:
https://mobility.stayntouch.com/checkin/url/linabs/canary. 
You can reach out to the front desk by responding to this message any time. Reply QUIT to stop.</t>
  </si>
  <si>
    <t>Hi Katherine,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</si>
  <si>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+16037198987</t>
  </si>
  <si>
    <t>+16037276874</t>
  </si>
  <si>
    <t>Hi Minyoung,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</si>
  <si>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Minyoung,
This is Ashworth By The Sea Hotel. Make sure to complete the pre-arrival check-in for your upcoming stay:
https://mobility.stayntouch.com/checkin/url/linabs/canary. 
You can reach out to the front desk by responding to this message any time. Reply QUIT to stop.</t>
  </si>
  <si>
    <t>+16037289051</t>
  </si>
  <si>
    <t xml:space="preserve">INVOICE: Ashworth by the Sea | 107633
Thank you for staying at Ashworth by the Sea. Your invoice is attached.
</t>
  </si>
  <si>
    <t xml:space="preserve">How was your stay at Ashworth By The Sea? 3 Minute Survey
Please share your feedback with Medallia
                    Thank you so much for your recent stay.
                      ‌ ‌ ‌ ‌ ‌ ‌ ‌ ‌ ‌ ‌ ‌ ‌ ‌ ‌ ‌ ‌ ‌ ‌ 
alt_text
Dear Timothy Corey,
We hope you enjoyed your recent stay at Ashworth By The Sea, where you checked
out on July 27, 2026.
We genuinely care about your experience with us, and we'd really appreciate your
feedback — it will only take a few minutes.
How likely are you to recommend Ashworth By The Sea to a friend or colleague?
Not at all Likely                                               Extremely Likely
┌──────┬──────┬──────┬──────┬──────┬──────┬──────┬──────┬──────┬──────┬────────┐
│  0   │  1   │  2   │  3   │  4   │  5   │  6   │  7   │  8   │  9   │   10   │
└──────┴──────┴──────┴──────┴──────┴──────┴──────┴──────┴──────┴──────┴────────┘
By completing this survey, you may be contacted by the hotel to help improve the
quality of service provided.
We appreciate your opinion and look forward to welcoming you again soon.
Kind Regards,
Andrew Fare
General Manager
Ashworth By The Sea
                              Powered by Medallia
Please do not “Reply” to this invitation.
To unsubscribe: We rely on feedback from guests to ensure that your stay will
meet and exceed your expectations. If, however, you would not like to receive a
survey invitation in the future, please click this link:
https://survey10.medallia.com/?e9t4m57ffd94wn22m9crht&amp;reject=begin, to
unsubscribe to our guest satisfaction surveys.
Should you need help accessing or completing this survey, please visit:
surveysupport.medallia.com
</t>
  </si>
  <si>
    <t xml:space="preserve">Pre-check in for your stay at Ashworth by the Sea
                                  Hi Timothy,
  Use the link below to check in before your arrival to speed up the process!
                      Upgrades and more may be available!
                                  Pre Check-In
 When you arrive, please present your photo ID and credit card. See you soon -
                                 safe travels!
            This is an automated message from Ashworth by the Sea -
                         frontdesk@ashworthbythesea.com
                         ©2026  |  All Rights Reserved
              295 Ocean Blvd. , Hampton, NH, 03842, United States
                            Call us at  603-926-6762
                            Privacy Policy  |  FAQs
</t>
  </si>
  <si>
    <t>Hi Timothy,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</si>
  <si>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+16037484942</t>
  </si>
  <si>
    <t xml:space="preserve">Complete pre-arrival check-in - Ashworth By The Sea Hotel
Contactless Check-In
Hello Melissa,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Canary Technologies logo Powered by Canary Technologies • Unsubscribe • Privacy
                                     Policy
</t>
  </si>
  <si>
    <t xml:space="preserve">Pre-check in for your stay at Ashworth by the Sea
                                  Hi MELISSA,
  Use the link below to check in before your arrival to speed up the process!
                      Upgrades and more may be available!
                                  Pre Check-In
 When you arrive, please present your photo ID and credit card. See you soon -
                                 safe travels!
            This is an automated message from Ashworth by the Sea -
                         frontdesk@ashworthbythesea.com
                         ©2026  |  All Rights Reserved
              295 Ocean Blvd. , Hampton, NH, 03842, United States
                            Call us at  603-926-6762
                            Privacy Policy  |  FAQs
</t>
  </si>
  <si>
    <t>+16037627316</t>
  </si>
  <si>
    <t>Dear Shyla,
This is Ashworth By The Sea Hotel. Make sure to complete the pre-arrival check-in for your upcoming stay:
https://mobility.stayntouch.com/checkin/url/linabs/canary. 
You can reach out to the front desk by responding to this message any time. Reply QUIT to stop.</t>
  </si>
  <si>
    <t>Hi Shyla,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</si>
  <si>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+16037703104</t>
  </si>
  <si>
    <t>Hi Alana,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</si>
  <si>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I have added this to your reservation. Please be aware the 13:00 (1pm check-in) has an associated fee of $75.00.</t>
  </si>
  <si>
    <t>Dear Alana,
This is Ashworth By The Sea Hotel. Make sure to complete the pre-arrival check-in for your upcoming stay:
https://mobility.stayntouch.com/checkin/url/linabs/canary. 
You can reach out to the front desk by responding to this message any time. Reply QUIT to stop.</t>
  </si>
  <si>
    <t>+16038316580</t>
  </si>
  <si>
    <t>Dear Gary,
This is Ashworth By The Sea Hotel. Make sure to complete the pre-arrival check-in for your upcoming stay:
https://mobility.stayntouch.com/checkin/url/linabs/canary. 
You can reach out to the front desk by responding to this message any time. Reply QUIT to stop.</t>
  </si>
  <si>
    <t>Hi Gary,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</si>
  <si>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+16038484094</t>
  </si>
  <si>
    <t>This reservation was canceled</t>
  </si>
  <si>
    <t>+16038606769</t>
  </si>
  <si>
    <t>Dear Judith,
This is Ashworth By The Sea Hotel. Make sure to complete the pre-arrival check-in for your upcoming stay:
https://mobility.stayntouch.com/checkin/url/linabs/canary. 
You can reach out to the front desk by responding to this message any time. Reply QUIT to stop.</t>
  </si>
  <si>
    <t>Hi Judith,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</si>
  <si>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+16038671679</t>
  </si>
  <si>
    <t xml:space="preserve">Complete pre-arrival check-in - Ashworth By The Sea Hotel
Contactless Check-In
Hello Caela,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Canary Technologies logo Powered by Canary Technologies • Unsubscribe • Privacy
                                     Policy
</t>
  </si>
  <si>
    <t>Hi Caela,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</si>
  <si>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Caela,
This is Ashworth By The Sea Hotel. Make sure to complete the pre-arrival check-in for your upcoming stay:
https://mobility.stayntouch.com/checkin/url/linabs/canary. 
You can reach out to the front desk by responding to this message any time. Reply QUIT to stop.</t>
  </si>
  <si>
    <t xml:space="preserve">Ashworth By The Sea Hotel - Set checkout time now
Contactless Checkout
Hello Caela,
Your departure is coming up. Use the link below to set your checkout time.
https://mobility.stayntouch.com/checkout/ashworthbythesea
We hope you enjoyed your stay.
Sincerely,
Ashworth By The Sea Hotel
       Ashworth By The Sea Hotel | 295 Ocean Blvd, Hampton, NH 03842-3629
Canary Technologies logo Powered by Canary Technologies • Unsubscribe • Privacy
                                     Policy
</t>
  </si>
  <si>
    <t xml:space="preserve">Pre-check in for your stay at Ashworth by the Sea
                                   Hi Caela,
  Use the link below to check in before your arrival to speed up the process!
                      Upgrades and more may be available!
                                  Pre Check-In
 When you arrive, please present your photo ID and credit card. See you soon -
                                 safe travels!
            This is an automated message from Ashworth by the Sea -
                         frontdesk@ashworthbythesea.com
                         ©2026  |  All Rights Reserved
              295 Ocean Blvd. , Hampton, NH, 03842, United States
                            Call us at  603-926-6762
                            Privacy Policy  |  FAQs
</t>
  </si>
  <si>
    <t>+16038834488</t>
  </si>
  <si>
    <t>+16039210610</t>
  </si>
  <si>
    <t>Dear Nicholas,
This is Ashworth By The Sea Hotel. Make sure to complete the pre-arrival check-in for your upcoming stay:
https://mobility.stayntouch.com/checkin/url/linabs/canary. 
You can reach out to the front desk by responding to this message any time. Reply QUIT to stop.</t>
  </si>
  <si>
    <t>Hi Nicholas,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</si>
  <si>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+16039301577</t>
  </si>
  <si>
    <t>+16039316238</t>
  </si>
  <si>
    <t>+16039377081</t>
  </si>
  <si>
    <t xml:space="preserve">Pre-check in for your stay at Ashworth by the Sea
                                   Hi Erica,
  Use the link below to check in before your arrival to speed up the process!
                      Upgrades and more may be available!
                                  Pre Check-In
 When you arrive, please present your photo ID and credit card. See you soon -
                                 safe travels!
            This is an automated message from Ashworth by the Sea -
                         frontdesk@ashworthbythesea.com
                         ©2026  |  All Rights Reserved
              295 Ocean Blvd. , Hampton, NH, 03842, United States
                            Call us at  603-926-6762
                            Privacy Policy  |  FAQs
</t>
  </si>
  <si>
    <t xml:space="preserve">Complete pre-arrival check-in - Ashworth By The Sea Hotel
Contactless Check-In
Hello Erica,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Canary Technologies logo Powered by Canary Technologies • Unsubscribe • Privacy
                                     Policy
</t>
  </si>
  <si>
    <t>+16039432882</t>
  </si>
  <si>
    <t>Hi Elkin,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</si>
  <si>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Elkin,
This is Ashworth By The Sea Hotel. Make sure to complete the pre-arrival check-in for your upcoming stay:
https://mobility.stayntouch.com/checkin/url/linabs/canary. 
You can reach out to the front desk by responding to this message any time. Reply QUIT to stop.</t>
  </si>
  <si>
    <t>+16039439202</t>
  </si>
  <si>
    <t>Hi Jahaira,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</si>
  <si>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Jahaira,
This is Ashworth By The Sea Hotel. Make sure to complete the pre-arrival check-in for your upcoming stay:
https://mobility.stayntouch.com/checkin/url/linabs/canary. 
You can reach out to the front desk by responding to this message any time. Reply QUIT to stop.</t>
  </si>
  <si>
    <t>+16039572855</t>
  </si>
  <si>
    <t>Hi James,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</si>
  <si>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+16039695208</t>
  </si>
  <si>
    <t>+16039787814</t>
  </si>
  <si>
    <t>Hi Stacy,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</si>
  <si>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+16039915682</t>
  </si>
  <si>
    <t>Hi Travis,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</si>
  <si>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Dear Travis,
This is Ashworth By The Sea Hotel. Make sure to complete the pre-arrival check-in for your upcoming stay:
https://mobility.stayntouch.com/checkin/url/linabs/canary. 
You can reach out to the front desk by responding to this message any time. Reply QUIT to stop.</t>
  </si>
  <si>
    <t>+16039981532</t>
  </si>
  <si>
    <t>Hi Barbara,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</si>
  <si>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+16082957280</t>
  </si>
  <si>
    <t>Hi Rebecca,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</si>
  <si>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Rebecca,
This is Ashworth By The Sea Hotel. Make sure to complete the pre-arrival check-in for your upcoming stay:
https://mobility.stayntouch.com/checkin/url/linabs/canary. 
You can reach out to the front desk by responding to this message any time. Reply QUIT to stop.</t>
  </si>
  <si>
    <t>+16094806270</t>
  </si>
  <si>
    <t>Dear Kenneth,
This is Ashworth By The Sea Hotel. Make sure to complete the pre-arrival check-in for your upcoming stay:
https://mobility.stayntouch.com/checkin/url/linabs/canary. 
You can reach out to the front desk by responding to this message any time. Reply QUIT to stop.</t>
  </si>
  <si>
    <t>Hi Kenneth,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</si>
  <si>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+16106131113</t>
  </si>
  <si>
    <t>Dear Margaux,
This is Ashworth By The Sea Hotel. Make sure to complete the pre-arrival check-in for your upcoming stay:
https://mobility.stayntouch.com/checkin/url/linabs/canary. 
You can reach out to the front desk by responding to this message any time. Reply QUIT to stop.</t>
  </si>
  <si>
    <t xml:space="preserve">Hello! I am checking in tomorrow and have two questions: 1) I understand that check in time is 4 pm or later. We would like to park our car around 11 am and head to the beach before check in. Is that possible? 2) Is there a refrigerator in the room?
</t>
  </si>
  <si>
    <t xml:space="preserve">Complete pre-arrival check-in - Ashworth By The Sea Hotel
Contactless Check-In
Hello Margaux,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+16039266762
Canary Technologies logo Powered by Canary Technologies • Unsubscribe • Privacy
                                     Policy
</t>
  </si>
  <si>
    <t xml:space="preserve">Pre-check in for your stay at Ashworth by the Sea
                                  Hi Margaux,
  Use the link below to check in before your arrival to speed up the process!
                      Upgrades and more may be available!
                                  Pre Check-In
 When you arrive, please present your photo ID and credit card. See you soon -
                                 safe travels!
            This is an automated message from Ashworth by the Sea -
                         frontdesk@ashworthbythesea.com
                         ©2026  |  All Rights Reserved
              295 Ocean Blvd. , Hampton, NH, 03842, United States
                            Call us at  603-926-6762
                            Privacy Policy  |  FAQs
</t>
  </si>
  <si>
    <t>+16107338992</t>
  </si>
  <si>
    <t>+16108649764</t>
  </si>
  <si>
    <t>Hi Anthony,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</si>
  <si>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Anthony,
This is Ashworth By The Sea Hotel. Make sure to complete the pre-arrival check-in for your upcoming stay:
https://mobility.stayntouch.com/checkin/url/linabs/canary. 
You can reach out to the front desk by responding to this message any time. Reply QUIT to stop.</t>
  </si>
  <si>
    <t>+16172813157</t>
  </si>
  <si>
    <t>Yes, sir, that is possible. We have early check-in at 1 pm starting at $75 and at 2 pm for $50. Just let us know what time you'd like to check in, and we can add that to your reservation.</t>
  </si>
  <si>
    <t>+16172836441</t>
  </si>
  <si>
    <t>Hi Anna,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</si>
  <si>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Anna,
This is Ashworth By The Sea Hotel. Make sure to complete the pre-arrival check-in for your upcoming stay:
https://mobility.stayntouch.com/checkin/url/linabs/canary. 
You can reach out to the front desk by responding to this message any time. Reply QUIT to stop.</t>
  </si>
  <si>
    <t>+16173086761</t>
  </si>
  <si>
    <t>Dear Nolan,
This is Ashworth By The Sea Hotel. Make sure to complete the pre-arrival check-in for your upcoming stay:
https://mobility.stayntouch.com/checkin/url/linabs/canary. 
You can reach out to the front desk by responding to this message any time. Reply QUIT to stop.</t>
  </si>
  <si>
    <t>+16173885398</t>
  </si>
  <si>
    <t>I am unable to complete my pre arrival check in. It responds more than one</t>
  </si>
  <si>
    <t>+16174131466</t>
  </si>
  <si>
    <t>+16174380969</t>
  </si>
  <si>
    <t>Hi Seth,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</si>
  <si>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Dear Seth,
This is Ashworth By The Sea Hotel. Make sure to complete the pre-arrival check-in for your upcoming stay:
https://mobility.stayntouch.com/checkin/url/linabs/canary. 
You can reach out to the front desk by responding to this message any time. Reply QUIT to stop.</t>
  </si>
  <si>
    <t>+16174895919</t>
  </si>
  <si>
    <t>+16175482451</t>
  </si>
  <si>
    <t>+16176457673</t>
  </si>
  <si>
    <t>Dear Mike,
This is Ashworth By The Sea Hotel. Make sure to complete the pre-arrival check-in for your upcoming stay:
https://mobility.stayntouch.com/checkin/url/linabs/canary. 
You can reach out to the front desk by responding to this message any time. Reply QUIT to stop.</t>
  </si>
  <si>
    <t>Hi Mike,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</si>
  <si>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+16176886280</t>
  </si>
  <si>
    <t>+16176993655</t>
  </si>
  <si>
    <t>Dear Ranessa,
This is Ashworth By The Sea Hotel. Make sure to complete the pre-arrival check-in for your upcoming stay:
https://mobility.stayntouch.com/checkin/url/linabs/canary. 
You can reach out to the front desk by responding to this message any time. Reply QUIT to stop.</t>
  </si>
  <si>
    <t>Hi Ranessa,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</si>
  <si>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+16177333771</t>
  </si>
  <si>
    <t>Dear Harold,
This is Ashworth By The Sea Hotel. Make sure to complete the pre-arrival check-in for your upcoming stay:
https://mobility.stayntouch.com/checkin/url/linabs/canary. 
You can reach out to the front desk by responding to this message any time. Reply QUIT to stop.</t>
  </si>
  <si>
    <t>+16177757469</t>
  </si>
  <si>
    <t>Hi Jonathan,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</si>
  <si>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+16177977849</t>
  </si>
  <si>
    <t>Dear Laurel,
This is Ashworth By The Sea Hotel. Make sure to complete the pre-arrival check-in for your upcoming stay:
https://mobility.stayntouch.com/checkin/url/linabs/canary. 
You can reach out to the front desk by responding to this message any time. Reply QUIT to stop.</t>
  </si>
  <si>
    <t>Hi Laurel,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</si>
  <si>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+16178270086</t>
  </si>
  <si>
    <t>Dear Russell,
This is Ashworth By The Sea Hotel. Make sure to complete the pre-arrival check-in for your upcoming stay:
https://mobility.stayntouch.com/checkin/url/linabs/canary. 
You can reach out to the front desk by responding to this message any time. Reply QUIT to stop.</t>
  </si>
  <si>
    <t>+16178337439</t>
  </si>
  <si>
    <t>Dear Elisabet,
This is Ashworth By The Sea Hotel. Make sure to complete the pre-arrival check-in for your upcoming stay:
https://mobility.stayntouch.com/checkin/url/linabs/canary. 
You can reach out to the front desk by responding to this message any time. Reply QUIT to stop.</t>
  </si>
  <si>
    <t>Hi Elisabet,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</si>
  <si>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 xml:space="preserve">Pre-check in for your stay at Ashworth by the Sea
                                  Hi Elisabet,
  Use the link below to check in before your arrival to speed up the process!
                      Upgrades and more may be available!
                                  Pre Check-In
 When you arrive, please present your photo ID and credit card. See you soon -
                                 safe travels!
            This is an automated message from Ashworth by the Sea -
                         frontdesk@ashworthbythesea.com
                         ©2026  |  All Rights Reserved
              295 Ocean Blvd. , Hampton, NH, 03842, United States
                            Call us at  603-926-6762
                            Privacy Policy  |  FAQs
</t>
  </si>
  <si>
    <t xml:space="preserve">Complete pre-arrival check-in - Ashworth By The Sea Hotel
Contactless Check-In
Hello Elisabet,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+16039266762
Canary Technologies logo Powered by Canary Technologies • Unsubscribe • Privacy
                                     Policy
</t>
  </si>
  <si>
    <t>+16178661850</t>
  </si>
  <si>
    <t>Hi Beth,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</si>
  <si>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Beth,
This is Ashworth By The Sea Hotel. Make sure to complete the pre-arrival check-in for your upcoming stay:
https://mobility.stayntouch.com/checkin/url/linabs/canary. 
You can reach out to the front desk by responding to this message any time. Reply QUIT to stop.</t>
  </si>
  <si>
    <t>+16178921854</t>
  </si>
  <si>
    <t>+16179592396</t>
  </si>
  <si>
    <t xml:space="preserve">Ashworth By The Sea Hotel - Set checkout time now
Contactless Checkout
Hello Catherine,
Your departure is coming up. Use the link below to set your checkout time.
https://mobility.stayntouch.com/checkout/ashworthbythesea
We hope you enjoyed your stay.
Sincerely,
Ashworth By The Sea Hotel
Ashworth By The Sea Hotel | 295 Ocean Blvd, Hampton, NH 03842-3629
Canary Technologies logo Powered by Canary Technologies • Unsubscribe • Privacy
Policy
</t>
  </si>
  <si>
    <t>Hi Catherine,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</si>
  <si>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 xml:space="preserve">Reminder : How was your stay at Ashworth By The Sea? 3 Minute Survey
Please share your feedback with Medallia
                    Thank you so much for your recent stay.
                      ‌ ‌ ‌ ‌ ‌ ‌ ‌ ‌ ‌ ‌ ‌ ‌ ‌ ‌ ‌ ‌ ‌ ‌ 
alt_text
Dear Catherine Alejunas,
A few days ago, we sent you an invitation for you to provide us with valuable
feedback regarding your recent stay with us at Ashworth By The Sea, where you
checked out on July 13, 2026.
We would still like to hear about your stay and understand if we met your
expectations. It's easy and will only take a few minutes.
How likely are you to recommend Ashworth By The Sea to a friend or colleague?
Not at all Likely                                               Extremely Likely
┌──────┬──────┬──────┬──────┬──────┬──────┬──────┬──────┬──────┬──────┬────────┐
│  0   │  1   │  2   │  3   │  4   │  5   │  6   │  7   │  8   │  9   │   10   │
└──────┴──────┴──────┴──────┴──────┴──────┴──────┴──────┴──────┴──────┴────────┘
This is the only reminder you will receive from us. If you have already
completed this online form, please disregard this email and thank you for
sharing your opinions with us.
Sincerely,
Andrew Fare
General Manager
Ashworth By The Sea
                              Powered by Medallia
Please do not “Reply” to this invitation.
To unsubscribe: We rely on feedback from guests to ensure that your stay will
meet and exceed your expectations. If, however, you would not like to receive a
survey invitation in the future, please click this link:
https://survey10.medallia.com/?e35kfyykfd94wn22m9crht&amp;reject=begin, to
unsubscribe to our guest satisfaction surveys.
Should you need help accessing or completing this survey, please visit:
surveysupport.medallia.com
</t>
  </si>
  <si>
    <t xml:space="preserve">INVOICE: Ashworth by the Sea | 106090
Thank you for staying at Ashworth by the Sea. Your invoice is attached.
</t>
  </si>
  <si>
    <t xml:space="preserve">Complete pre-arrival check-in - Ashworth By The Sea Hotel
Contactless Check-In
Hello Catherine,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Canary Technologies logo Powered by Canary Technologies • Unsubscribe • Privacy
Policy
</t>
  </si>
  <si>
    <t xml:space="preserve">Pre-check in for your stay at Ashworth by the Sea
Hi CATHERINE,
Use the link below to check in before your arrival to speed up the process!
Upgrades and more may be available!
Pre Check-In
When you arrive, please present your photo ID and credit card. See you soon -
safe travels!
This is an automated message from Ashworth by the Sea -
frontdesk@ashworthbythesea.com
©2026  |  All Rights Reserved
295 Ocean Blvd. , Hampton, NH, 03842, United States
Call us at  603-926-6762
Privacy Policy  |  FAQs
</t>
  </si>
  <si>
    <t xml:space="preserve">How was your stay at Ashworth By The Sea? 3 Minute Survey
Please share your feedback with Medallia
Thank you so much for your recent stay.
‌ ‌ ‌ ‌ ‌ ‌ ‌ ‌ ‌ ‌ ‌ ‌ ‌ ‌ ‌ ‌ ‌ ‌ 
alt_text
Dear Catherine Alejunas,
We hope you enjoyed your recent stay at Ashworth By The Sea, where you checked
out on July 13, 2026.
We genuinely care about your experience with us, and we'd really appreciate your
feedback — it will only take a few minutes.
How likely are you to recommend Ashworth By The Sea to a friend or colleague?
Not at all Likely                        Extremely Likely
0       1       2      3      4      5      6      7      8      9      10
By completing this survey, you may be contacted by the hotel to help improve the
quality of service provided.
We appreciate your opinion and look forward to welcoming you again soon.
Kind Regards,
Andrew Fare
General Manager
Ashworth By The Sea
Powered by Medallia
Please do not “Reply” to this invitation.
To unsubscribe: We rely on feedback from guests to ensure that your stay will
meet and exceed your expectations. If, however, you would not like to receive a
survey invitation in the future, please click this link:
https://survey10.medallia.com/?e35kfyykfd94wn22m9crht&amp;reject=begin, to
unsubscribe to our guest satisfaction surveys.
Should you need help accessing or completing this survey, please visit:
surveysupport.medallia.com
</t>
  </si>
  <si>
    <t>Hello, please note that we are a 100% non smoking facility including the balcony. Our housekeepers saw cigarettes on your balcony. If this continues please be aware there is a $300 smoking fine associated with this.</t>
  </si>
  <si>
    <t>+16179976605</t>
  </si>
  <si>
    <t>+16626172522</t>
  </si>
  <si>
    <t>Hi christopher,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</si>
  <si>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Dear christopher,
This is Ashworth By The Sea Hotel. Make sure to complete the pre-arrival check-in for your upcoming stay:
https://mobility.stayntouch.com/checkin/url/linabs/canary. 
You can reach out to the front desk by responding to this message any time. Reply QUIT to stop.</t>
  </si>
  <si>
    <t>+17033464067</t>
  </si>
  <si>
    <t xml:space="preserve">Pre-check in for your stay at Ashworth by the Sea
                                    Hi ERIC,
  Use the link below to check in before your arrival to speed up the process!
                      Upgrades and more may be available!
                                  Pre Check-In
 When you arrive, please present your photo ID and credit card. See you soon -
                                 safe travels!
            This is an automated message from Ashworth by the Sea -
                         frontdesk@ashworthbythesea.com
                         ©2026  |  All Rights Reserved
              295 Ocean Blvd. , Hampton, NH, 03842, United States
                            Call us at  603-926-6762
                            Privacy Policy  |  FAQs
</t>
  </si>
  <si>
    <t xml:space="preserve">How was your stay at Ashworth By The Sea? 3 Minute Survey
Please share your feedback with Medallia
                    Thank you so much for your recent stay.
                      ‌ ‌ ‌ ‌ ‌ ‌ ‌ ‌ ‌ ‌ ‌ ‌ ‌ ‌ ‌ ‌ ‌ ‌ 
alt_text
Dear Eric Fish,
We hope you enjoyed your recent stay at Ashworth By The Sea, where you checked
out on July 28, 2026.
We genuinely care about your experience with us, and we'd really appreciate your
feedback — it will only take a few minutes.
How likely are you to recommend Ashworth By The Sea to a friend or colleague?
Not at all Likely                                               Extremely Likely
┌──────┬──────┬──────┬──────┬──────┬──────┬──────┬──────┬──────┬──────┬────────┐
│  0   │  1   │  2   │  3   │  4   │  5   │  6   │  7   │  8   │  9   │   10   │
└──────┴──────┴──────┴──────┴──────┴──────┴──────┴──────┴──────┴──────┴────────┘
By completing this survey, you may be contacted by the hotel to help improve the
quality of service provided.
We appreciate your opinion and look forward to welcoming you again soon.
Kind Regards,
Andrew Fare
General Manager
Ashworth By The Sea
                              Powered by Medallia
Please do not “Reply” to this invitation.
To unsubscribe: We rely on feedback from guests to ensure that your stay will
meet and exceed your expectations. If, however, you would not like to receive a
survey invitation in the future, please click this link:
https://survey10.medallia.com/?e2rdv97ffd94wn22m9crht&amp;reject=begin, to
unsubscribe to our guest satisfaction surveys.
Should you need help accessing or completing this survey, please visit:
surveysupport.medallia.com
</t>
  </si>
  <si>
    <t xml:space="preserve">Complete pre-arrival check-in - Ashworth By The Sea Hotel
Contactless Check-In
Hello Eric,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Canary Technologies logo Powered by Canary Technologies • Unsubscribe • Privacy
                                     Policy
</t>
  </si>
  <si>
    <t xml:space="preserve">INVOICE: Ashworth by the Sea | 106710
Thank you for staying at Ashworth by the Sea. Your invoice is attached.
</t>
  </si>
  <si>
    <t>+17087597576</t>
  </si>
  <si>
    <t>+17144023075</t>
  </si>
  <si>
    <t>Hi Joan,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</si>
  <si>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+17144783167</t>
  </si>
  <si>
    <t>+17148138277</t>
  </si>
  <si>
    <t>+17193063213</t>
  </si>
  <si>
    <t>Dear Alexandra,
This is Ashworth By The Sea Hotel. Make sure to complete the pre-arrival check-in for your upcoming stay:
https://mobility.stayntouch.com/checkin/url/linabs/canary. 
You can reach out to the front desk by responding to this message any time. Reply QUIT to stop.</t>
  </si>
  <si>
    <t>Hi Alexandra,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</si>
  <si>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+17205141000</t>
  </si>
  <si>
    <t>Dear Clifton,
This is Ashworth By The Sea Hotel. Make sure to complete the pre-arrival check-in for your upcoming stay:
https://mobility.stayntouch.com/checkin/url/linabs/canary. 
You can reach out to the front desk by responding to this message any time. Reply QUIT to stop.</t>
  </si>
  <si>
    <t>Hi Clifton,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</si>
  <si>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+17248093567</t>
  </si>
  <si>
    <t>ok Thank you</t>
  </si>
  <si>
    <t>Thank you for contacting us, Bettylou Palmer.
Private parking is possible on site (reservation is not needed) and costs US$25 per day.
We look forward to your stay.
Best regards,
Ashworth by the Sea</t>
  </si>
  <si>
    <t>Good Morning! was wondering where we park when we arrive. I know its right along the main thru way so wasn't sure how this works. Please advise...Thank you</t>
  </si>
  <si>
    <t>+17272888551</t>
  </si>
  <si>
    <t>Hi Dianna,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</si>
  <si>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+17742398557</t>
  </si>
  <si>
    <t>Dear Jonathan,
This is Ashworth By The Sea Hotel. Make sure to complete the pre-arrival check-in for your upcoming stay:
https://mobility.stayntouch.com/checkin/url/linabs/canary. 
You can reach out to the front desk by responding to this message any time. Reply QUIT to stop.</t>
  </si>
  <si>
    <t>I've been trying to call and I emailed earlier, but haven't gotten any responses. I made this reservation by mistake, and it says it can't be canceled but can I reschedule it for a different date?</t>
  </si>
  <si>
    <t>+17742492027</t>
  </si>
  <si>
    <t>Hi Melissa,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</si>
  <si>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+17742492493</t>
  </si>
  <si>
    <t>Dear Tyler,
This is Ashworth By The Sea Hotel. Make sure to complete the pre-arrival check-in for your upcoming stay:
https://mobility.stayntouch.com/checkin/url/linabs/canary. 
You can reach out to the front desk by responding to this message any time. Reply QUIT to stop.</t>
  </si>
  <si>
    <t>Hi Tyler,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</si>
  <si>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+17742620994</t>
  </si>
  <si>
    <t>Dear Jusseaume,
This is Ashworth By The Sea Hotel. Make sure to complete the pre-arrival check-in for your upcoming stay:
https://mobility.stayntouch.com/checkin/url/linabs/canary. 
You can reach out to the front desk by responding to this message any time. Reply QUIT to stop.</t>
  </si>
  <si>
    <t>Hi Jusseaume,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</si>
  <si>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+17742627075</t>
  </si>
  <si>
    <t>+17742803597</t>
  </si>
  <si>
    <t xml:space="preserve">Ashworth By The Sea Hotel - Set checkout time now
Contactless Checkout
Hello Jenna,
Your departure is coming up. Use the link below to set your checkout time.
https://mobility.stayntouch.com/checkout/ashworthbythesea
We hope you enjoyed your stay.
Sincerely,
Ashworth By The Sea Hotel
Ashworth By The Sea Hotel | 295 Ocean Blvd, Hampton, NH 03842-3629
Canary Technologies logo Powered by Canary Technologies • Unsubscribe • Privacy
Policy
</t>
  </si>
  <si>
    <t>Hi Jenna,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</si>
  <si>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 xml:space="preserve">INVOICE: Ashworth by the Sea | 107108
Thank you for staying at Ashworth by the Sea. Your invoice is attached.
</t>
  </si>
  <si>
    <t>+17742859668</t>
  </si>
  <si>
    <t>Dear Christina,
This is Ashworth By The Sea Hotel. Make sure to complete the pre-arrival check-in for your upcoming stay:
https://mobility.stayntouch.com/checkin/url/linabs/canary. 
You can reach out to the front desk by responding to this message any time. Reply QUIT to stop.</t>
  </si>
  <si>
    <t>Hi Christina,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</si>
  <si>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+17743032083</t>
  </si>
  <si>
    <t>Dear kevin,
This is Ashworth By The Sea Hotel. Make sure to complete the pre-arrival check-in for your upcoming stay:
https://mobility.stayntouch.com/checkin/url/linabs/canary. 
You can reach out to the front desk by responding to this message any time. Reply QUIT to stop.</t>
  </si>
  <si>
    <t>Hi kevin,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</si>
  <si>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+17743285395</t>
  </si>
  <si>
    <t>Hi Derik,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</si>
  <si>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 xml:space="preserve">Ashworth By The Sea Hotel - Set checkout time now
Contactless Checkout
Hello Derik,
Your departure is coming up. Use the link below to set your checkout time.
https://mobility.stayntouch.com/checkout/ashworthbythesea
We hope you enjoyed your stay.
Sincerely,
Ashworth By The Sea Hotel
       Ashworth By The Sea Hotel | 295 Ocean Blvd, Hampton, NH 03842-3629
                                  +16039266762
Canary Technologies logo Powered by Canary Technologies • Unsubscribe • Privacy
                                     Policy
</t>
  </si>
  <si>
    <t>+17743600766</t>
  </si>
  <si>
    <t xml:space="preserve">INVOICE: Ashworth by the Sea | 106278
Thank you for staying at Ashworth by the Sea. Your invoice is attached.
</t>
  </si>
  <si>
    <t xml:space="preserve">Pre-check in for your stay at Ashworth by the Sea
Hi Jennifer,
Use the link below to check in before your arrival to speed up the process!
Upgrades and more may be available!
Pre Check-In
When you arrive, please present your photo ID and credit card. See you soon -
safe travels!
This is an automated message from Ashworth by the Sea -
frontdesk@ashworthbythesea.com
©2026  |  All Rights Reserved
295 Ocean Blvd. , Hampton, NH, 03842, United States
Call us at  603-926-6762
Privacy Policy  |  FAQs
</t>
  </si>
  <si>
    <t xml:space="preserve">Complete pre-arrival check-in - Ashworth By The Sea Hotel
Contactless Check-In
Hello Jennifer,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Canary Technologies logo Powered by Canary Technologies • Unsubscribe • Privacy
Policy
</t>
  </si>
  <si>
    <t xml:space="preserve">How was your stay at Ashworth By The Sea? 3 Minute Survey
Please share your feedback with Medallia
Thank you so much for your recent stay.
‌ ‌ ‌ ‌ ‌ ‌ ‌ ‌ ‌ ‌ ‌ ‌ ‌ ‌ ‌ ‌ ‌ ‌ 
alt_text
Dear Jennifer Ferreira,
We hope you enjoyed your recent stay at Ashworth By The Sea, where you checked
out on July 12, 2026.
We genuinely care about your experience with us, and we'd really appreciate your
feedback — it will only take a few minutes.
How likely are you to recommend Ashworth By The Sea to a friend or colleague?
Not at all Likely                        Extremely Likely
0       1       2      3      4      5      6      7      8      9      10
By completing this survey, you may be contacted by the hotel to help improve the
quality of service provided.
We appreciate your opinion and look forward to welcoming you again soon.
Kind Regards,
Andrew Fare
General Manager
Ashworth By The Sea
Powered by Medallia
Please do not “Reply” to this invitation.
To unsubscribe: We rely on feedback from guests to ensure that your stay will
meet and exceed your expectations. If, however, you would not like to receive a
survey invitation in the future, please click this link:
https://survey10.medallia.com/?esh9ch2kfd94wn22m9crht&amp;reject=begin, to
unsubscribe to our guest satisfaction surveys.
Should you need help accessing or completing this survey, please visit:
surveysupport.medallia.com
</t>
  </si>
  <si>
    <t xml:space="preserve">Reminder : How was your stay at Ashworth By The Sea? 3 Minute Survey
Please share your feedback with Medallia
                    Thank you so much for your recent stay.
                      ‌ ‌ ‌ ‌ ‌ ‌ ‌ ‌ ‌ ‌ ‌ ‌ ‌ ‌ ‌ ‌ ‌ ‌ 
alt_text
Dear Jennifer Ferreira,
A few days ago, we sent you an invitation for you to provide us with valuable
feedback regarding your recent stay with us at Ashworth By The Sea, where you
checked out on July 12, 2026.
We would still like to hear about your stay and understand if we met your
expectations. It's easy and will only take a few minutes.
How likely are you to recommend Ashworth By The Sea to a friend or colleague?
Not at all Likely                                               Extremely Likely
┌──────┬──────┬──────┬──────┬──────┬──────┬──────┬──────┬──────┬──────┬────────┐
│  0   │  1   │  2   │  3   │  4   │  5   │  6   │  7   │  8   │  9   │   10   │
└──────┴──────┴──────┴──────┴──────┴──────┴──────┴──────┴──────┴──────┴────────┘
This is the only reminder you will receive from us. If you have already
completed this online form, please disregard this email and thank you for
sharing your opinions with us.
Sincerely,
Andrew Fare
General Manager
Ashworth By The Sea
                              Powered by Medallia
Please do not “Reply” to this invitation.
To unsubscribe: We rely on feedback from guests to ensure that your stay will
meet and exceed your expectations. If, however, you would not like to receive a
survey invitation in the future, please click this link:
https://survey10.medallia.com/?esh9ch2kfd94wn22m9crht&amp;reject=begin, to
unsubscribe to our guest satisfaction surveys.
Should you need help accessing or completing this survey, please visit:
surveysupport.medallia.com
</t>
  </si>
  <si>
    <t xml:space="preserve">Ashworth By The Sea Hotel - Set checkout time now
Contactless Checkout
Hello Jennifer,
Your departure is coming up. Use the link below to set your checkout time.
https://mobility.stayntouch.com/checkout/ashworthbythesea
We hope you enjoyed your stay.
Sincerely,
Ashworth By The Sea Hotel
Ashworth By The Sea Hotel | 295 Ocean Blvd, Hampton, NH 03842-3629
Canary Technologies logo Powered by Canary Technologies • Unsubscribe • Privacy
Policy
</t>
  </si>
  <si>
    <t>+17744067860</t>
  </si>
  <si>
    <t>+17744526093</t>
  </si>
  <si>
    <t>+17744760896</t>
  </si>
  <si>
    <t>Hi Kelli,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</si>
  <si>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Kelli,
This is Ashworth By The Sea Hotel. Make sure to complete the pre-arrival check-in for your upcoming stay:
https://mobility.stayntouch.com/checkin/url/linabs/canary. 
You can reach out to the front desk by responding to this message any time. Reply QUIT to stop.</t>
  </si>
  <si>
    <t>+17744871310</t>
  </si>
  <si>
    <t>Dear Christine,
This is Ashworth By The Sea Hotel. Make sure to complete the pre-arrival check-in for your upcoming stay:
https://mobility.stayntouch.com/checkin/url/linabs/canary. 
You can reach out to the front desk by responding to this message any time. Reply QUIT to stop.</t>
  </si>
  <si>
    <t xml:space="preserve">Complete pre-arrival check-in - Ashworth By The Sea Hotel
Contactless Check-In
Hello Christine,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Canary Technologies logo Powered by Canary Technologies • Unsubscribe • Privacy
                                     Policy
</t>
  </si>
  <si>
    <t>+17745250670</t>
  </si>
  <si>
    <t>Hi Jennifer,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</si>
  <si>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+17745456083</t>
  </si>
  <si>
    <t>Dear Caitlin,
This is Ashworth By The Sea Hotel. Make sure to complete the pre-arrival check-in for your upcoming stay:
https://mobility.stayntouch.com/checkin/url/linabs/canary. 
You can reach out to the front desk by responding to this message any time. Reply QUIT to stop.</t>
  </si>
  <si>
    <t>Hi Caitlin,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</si>
  <si>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+17745787051</t>
  </si>
  <si>
    <t>Hi Paula,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</si>
  <si>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Paula,
This is Ashworth By The Sea Hotel. Make sure to complete the pre-arrival check-in for your upcoming stay:
https://mobility.stayntouch.com/checkin/url/linabs/canary. 
You can reach out to the front desk by responding to this message any time. Reply QUIT to stop.</t>
  </si>
  <si>
    <t>+17747076723</t>
  </si>
  <si>
    <t>Hi Jesus,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</si>
  <si>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Dear Jesus,
This is Ashworth By The Sea Hotel. Make sure to complete the pre-arrival check-in for your upcoming stay:
https://mobility.stayntouch.com/checkin/url/linabs/canary. 
You can reach out to the front desk by responding to this message any time. Reply QUIT to stop.</t>
  </si>
  <si>
    <t>+17749222200</t>
  </si>
  <si>
    <t>Dear Tanya,
This is Ashworth By The Sea Hotel. Make sure to complete the pre-arrival check-in for your upcoming stay:
https://mobility.stayntouch.com/checkin/url/linabs/canary. 
You can reach out to the front desk by responding to this message any time. Reply QUIT to stop.</t>
  </si>
  <si>
    <t>Hi Tanya,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</si>
  <si>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+17757421937</t>
  </si>
  <si>
    <t>Dear JerryAA,
This is Ashworth By The Sea Hotel. Make sure to complete the pre-arrival check-in for your upcoming stay:
https://mobility.stayntouch.com/checkin/url/linabs/canary. 
You can reach out to the front desk by responding to this message any time. Reply QUIT to stop.</t>
  </si>
  <si>
    <t>Dear Jerry,
This is Ashworth By The Sea Hotel. Make sure to complete the pre-arrival check-in for your upcoming stay:
https://mobility.stayntouch.com/checkin/url/linabs/canary. 
You can reach out to the front desk by responding to this message any time. Reply QUIT to stop.</t>
  </si>
  <si>
    <t>+17812484616</t>
  </si>
  <si>
    <t>Dear Dan,
This is Ashworth By The Sea Hotel. Make sure to complete the pre-arrival check-in for your upcoming stay:
https://mobility.stayntouch.com/checkin/url/linabs/canary. 
You can reach out to the front desk by responding to this message any time. Reply QUIT to stop.</t>
  </si>
  <si>
    <t>Hi Dan,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</si>
  <si>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+17813084395</t>
  </si>
  <si>
    <t>Dear Hilary,
This is Ashworth By The Sea Hotel. Make sure to complete the pre-arrival check-in for your upcoming stay:
https://mobility.stayntouch.com/checkin/url/linabs/canary. 
You can reach out to the front desk by responding to this message any time. Reply QUIT to stop.</t>
  </si>
  <si>
    <t>Hi Hilary,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</si>
  <si>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+17813303778</t>
  </si>
  <si>
    <t>+17813991989</t>
  </si>
  <si>
    <t>Dear richard,
This is Ashworth By The Sea Hotel. Make sure to complete the pre-arrival check-in for your upcoming stay:
https://mobility.stayntouch.com/checkin/url/linabs/canary. 
You can reach out to the front desk by responding to this message any time. Reply QUIT to stop.</t>
  </si>
  <si>
    <t>Hi richard,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</si>
  <si>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+17814398235</t>
  </si>
  <si>
    <t>+17814549290</t>
  </si>
  <si>
    <t>Hi Julianne,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</si>
  <si>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Julianne,
This is Ashworth By The Sea Hotel. Make sure to complete the pre-arrival check-in for your upcoming stay:
https://mobility.stayntouch.com/checkin/url/linabs/canary. 
You can reach out to the front desk by responding to this message any time. Reply QUIT to stop.</t>
  </si>
  <si>
    <t>+17814679114</t>
  </si>
  <si>
    <t>+17814921831</t>
  </si>
  <si>
    <t>Dear Joe,
This is Ashworth By The Sea Hotel. Make sure to complete the pre-arrival check-in for your upcoming stay:
https://mobility.stayntouch.com/checkin/url/linabs/canary. 
You can reach out to the front desk by responding to this message any time. Reply QUIT to stop.</t>
  </si>
  <si>
    <t>Hi Joe,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</si>
  <si>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+17815210436</t>
  </si>
  <si>
    <t>+17815838878</t>
  </si>
  <si>
    <t>Hi Jesse,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</si>
  <si>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Jesse,
This is Ashworth By The Sea Hotel. Make sure to complete the pre-arrival check-in for your upcoming stay:
https://mobility.stayntouch.com/checkin/url/linabs/canary. 
You can reach out to the front desk by responding to this message any time. Reply QUIT to stop.</t>
  </si>
  <si>
    <t>+17816082441</t>
  </si>
  <si>
    <t>Dear joel,
This is Ashworth By The Sea Hotel. Make sure to complete the pre-arrival check-in for your upcoming stay:
https://mobility.stayntouch.com/checkin/url/linabs/canary. 
You can reach out to the front desk by responding to this message any time. Reply QUIT to stop.</t>
  </si>
  <si>
    <t>+17817246229</t>
  </si>
  <si>
    <t>+17817897876</t>
  </si>
  <si>
    <t>+17817997266</t>
  </si>
  <si>
    <t>Hi I tried to call you earlier, I was hoping to get my rooms next to each other if possible 🙏🏼</t>
  </si>
  <si>
    <t>Hi Patricia,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</si>
  <si>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+17818071153</t>
  </si>
  <si>
    <t>Hi Margaret,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</si>
  <si>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Ethel,
This is Ashworth By The Sea Hotel. Make sure to complete the pre-arrival check-in for your upcoming stay:
https://mobility.stayntouch.com/checkin/url/linabs/canary. 
You can reach out to the front desk by responding to this message any time. Reply QUIT to stop.</t>
  </si>
  <si>
    <t>Dear Margaret,
This is Ashworth By The Sea Hotel. Make sure to complete the pre-arrival check-in for your upcoming stay:
https://mobility.stayntouch.com/checkin/url/linabs/canary. 
You can reach out to the front desk by responding to this message any time. Reply QUIT to stop.</t>
  </si>
  <si>
    <t>+17818311629</t>
  </si>
  <si>
    <t>+17818505544</t>
  </si>
  <si>
    <t>Dear Lori,
This is Ashworth By The Sea Hotel. Make sure to complete the pre-arrival check-in for your upcoming stay:
https://mobility.stayntouch.com/checkin/url/linabs/canary. 
You can reach out to the front desk by responding to this message any time. Reply QUIT to stop.</t>
  </si>
  <si>
    <t>Hi Lori,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</si>
  <si>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+17819605243</t>
  </si>
  <si>
    <t>Dear Rachel,
This is Ashworth By The Sea Hotel. Make sure to complete the pre-arrival check-in for your upcoming stay:
https://mobility.stayntouch.com/checkin/url/linabs/canary. 
You can reach out to the front desk by responding to this message any time. Reply QUIT to stop.</t>
  </si>
  <si>
    <t>Hi Rachel,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</si>
  <si>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+17819742549</t>
  </si>
  <si>
    <t>Dear Angela,
This is Ashworth By The Sea Hotel. Make sure to complete the pre-arrival check-in for your upcoming stay:
https://mobility.stayntouch.com/checkin/url/linabs/canary. 
You can reach out to the front desk by responding to this message any time. Reply QUIT to stop.</t>
  </si>
  <si>
    <t>Hi Angela,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</si>
  <si>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+18022740569</t>
  </si>
  <si>
    <t xml:space="preserve">Complete pre-arrival check-in - Ashworth By The Sea Hotel
Contactless Check-In
Hello Kenneth,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Canary Technologies logo Powered by Canary Technologies • Unsubscribe • Privacy
                                     Policy
</t>
  </si>
  <si>
    <t>+18023101958</t>
  </si>
  <si>
    <t>Hi Vera,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</si>
  <si>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Dear Vera,
This is Ashworth By The Sea Hotel. Make sure to complete the pre-arrival check-in for your upcoming stay:
https://mobility.stayntouch.com/checkin/url/linabs/canary. 
You can reach out to the front desk by responding to this message any time. Reply QUIT to stop.</t>
  </si>
  <si>
    <t>+18023166591</t>
  </si>
  <si>
    <t>+18023453729</t>
  </si>
  <si>
    <t>Hi Nancy,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</si>
  <si>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Nancy,
This is Ashworth By The Sea Hotel. Make sure to complete the pre-arrival check-in for your upcoming stay:
https://mobility.stayntouch.com/checkin/url/linabs/canary. 
You can reach out to the front desk by responding to this message any time. Reply QUIT to stop.</t>
  </si>
  <si>
    <t>+18023453965</t>
  </si>
  <si>
    <t>Glow Mini Golf + Inflatables + Pool: Winter Fun Zone is Here!
Introducing the Ashworth Winter Fun Zone
Welcome to the Ashworth Winter Fun Zone (Feb 15–27)!
For February School Vacation, we’re turning parts of the hotel into a kid-approved play paradise: LED Mini Golf, inflatable axe throwing, inflatable skee ball, inflatable basketball, inflatable quarterback challenge, plus carnival games — and don’t forget the indoor pool (because every kid LOVES a hotel pool).
PLUS: It's all included with your stay!  Book now to make this school vacation the best one yet.
Book Now
Facebook Instagram
Ashworth by the Sea
295 Ocean Blvd
Hampton, NH 03842
If you'd like to unsubscribe and stop receiving these emails  click here</t>
  </si>
  <si>
    <t>Good Morning Martha, We submitted your cancellation request through Booking.com and they should be sending it to you for your approval.</t>
  </si>
  <si>
    <t>From Booking.com: This guest wants to modify their booking. Because of the way this request was sent, please respond via the extranet. Note: Replies sent through any other channel will not be recorded.
"Family or personal emergency"</t>
  </si>
  <si>
    <t>Thank you…greatly appreciated!
Hope to see you again….</t>
  </si>
  <si>
    <t>Please confirm our free cancellation request, submitted on June 8, for circumstances beyond our control. Greatly appreciated. 
The Pofit family</t>
  </si>
  <si>
    <t>+18023531991</t>
  </si>
  <si>
    <t>Hi Sheri,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</si>
  <si>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Sheri,
This is Ashworth By The Sea Hotel. Make sure to complete the pre-arrival check-in for your upcoming stay:
https://mobility.stayntouch.com/checkin/url/linabs/canary. 
You can reach out to the front desk by responding to this message any time. Reply QUIT to stop.</t>
  </si>
  <si>
    <t>+18023560378</t>
  </si>
  <si>
    <t>+18023765131</t>
  </si>
  <si>
    <t>+18023772942</t>
  </si>
  <si>
    <t>Hi Gillian,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</si>
  <si>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Gillian,
This is Ashworth By The Sea Hotel. Make sure to complete the pre-arrival check-in for your upcoming stay:
https://mobility.stayntouch.com/checkin/url/linabs/canary. 
You can reach out to the front desk by responding to this message any time. Reply QUIT to stop.</t>
  </si>
  <si>
    <t>+18023840099</t>
  </si>
  <si>
    <t>Dear Kailey,
This is Ashworth By The Sea Hotel. Make sure to complete the pre-arrival check-in for your upcoming stay:
https://mobility.stayntouch.com/checkin/url/linabs/canary. 
You can reach out to the front desk by responding to this message any time. Reply QUIT to stop.</t>
  </si>
  <si>
    <t>+18023930265</t>
  </si>
  <si>
    <t>Dear Cara,
This is Ashworth By The Sea Hotel. Make sure to complete the pre-arrival check-in for your upcoming stay:
https://mobility.stayntouch.com/checkin/url/linabs/canary. 
You can reach out to the front desk by responding to this message any time. Reply QUIT to stop.</t>
  </si>
  <si>
    <t>Hi Cara,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</si>
  <si>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+18023931440</t>
  </si>
  <si>
    <t>Hi Anniah,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</si>
  <si>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+18024176131</t>
  </si>
  <si>
    <t>Dear Korey,
This is Ashworth By The Sea Hotel. Make sure to complete the pre-arrival check-in for your upcoming stay:
https://mobility.stayntouch.com/checkin/url/linabs/canary. 
You can reach out to the front desk by responding to this message any time. Reply QUIT to stop.</t>
  </si>
  <si>
    <t>This is room 215. Can we get some extra towels and washcloths? Enough for three people.</t>
  </si>
  <si>
    <t>Hi Korey,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</si>
  <si>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+18025225740</t>
  </si>
  <si>
    <t>+18025400433</t>
  </si>
  <si>
    <t>Dear Cori,
This is Ashworth By The Sea Hotel. Make sure to complete the pre-arrival check-in for your upcoming stay:
https://mobility.stayntouch.com/checkin/url/linabs/canary. 
You can reach out to the front desk by responding to this message any time. Reply QUIT to stop.</t>
  </si>
  <si>
    <t>Hi Cori,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</si>
  <si>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+18025821350</t>
  </si>
  <si>
    <t>Dear Jenna,
This is Ashworth By The Sea Hotel. Make sure to complete the pre-arrival check-in for your upcoming stay:
https://mobility.stayntouch.com/checkin/url/linabs/canary. 
You can reach out to the front desk by responding to this message any time. Reply QUIT to stop.</t>
  </si>
  <si>
    <t>+18025828211</t>
  </si>
  <si>
    <t>Hi Robert,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</si>
  <si>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+18027302298</t>
  </si>
  <si>
    <t xml:space="preserve">Reminder : How was your stay at Ashworth By The Sea? 3 Minute Survey
Please share your feedback with Medallia
                    Thank you so much for your recent stay.
                      ‌ ‌ ‌ ‌ ‌ ‌ ‌ ‌ ‌ ‌ ‌ ‌ ‌ ‌ ‌ ‌ ‌ ‌ 
alt_text
Dear Maddison Domina,
A few days ago, we sent you an invitation for you to provide us with valuable
feedback regarding your recent stay with us at Ashworth By The Sea, where you
checked out on July 26, 2026.
We would still like to hear about your stay and understand if we met your
expectations. It's easy and will only take a few minutes.
How likely are you to recommend Ashworth By The Sea to a friend or colleague?
Not at all Likely                                               Extremely Likely
┌──────┬──────┬──────┬──────┬──────┬──────┬──────┬──────┬──────┬──────┬────────┐
│  0   │  1   │  2   │  3   │  4   │  5   │  6   │  7   │  8   │  9   │   10   │
└──────┴──────┴──────┴──────┴──────┴──────┴──────┴──────┴──────┴──────┴────────┘
This is the only reminder you will receive from us. If you have already
completed this online form, please disregard this email and thank you for
sharing your opinions with us.
Sincerely,
Andrew Fare
General Manager
Ashworth By The Sea
                              Powered by Medallia
Please do not “Reply” to this invitation.
To unsubscribe: We rely on feedback from guests to ensure that your stay will
meet and exceed your expectations. If, however, you would not like to receive a
survey invitation in the future, please click this link:
https://survey10.medallia.com/?e4svk37ffd94wn22m9crht&amp;reject=begin, to
unsubscribe to our guest satisfaction surveys.
Should you need help accessing or completing this survey, please visit:
surveysupport.medallia.com
</t>
  </si>
  <si>
    <t xml:space="preserve">Pre-check in for your stay at Ashworth by the Sea
                                  Hi Maddison,
  Use the link below to check in before your arrival to speed up the process!
                      Upgrades and more may be available!
                                  Pre Check-In
 When you arrive, please present your photo ID and credit card. See you soon -
                                 safe travels!
            This is an automated message from Ashworth by the Sea -
                         frontdesk@ashworthbythesea.com
                         ©2026  |  All Rights Reserved
              295 Ocean Blvd. , Hampton, NH, 03842, United States
                            Call us at  603-926-6762
                            Privacy Policy  |  FAQs
</t>
  </si>
  <si>
    <t xml:space="preserve">INVOICE: Ashworth by the Sea | 106779
Thank you for staying at Ashworth by the Sea. Your invoice is attached.
</t>
  </si>
  <si>
    <t>Hi Maddison,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</si>
  <si>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Maddison,
This is Ashworth By The Sea Hotel. Make sure to complete the pre-arrival check-in for your upcoming stay:
https://mobility.stayntouch.com/checkin/url/linabs/canary. 
You can reach out to the front desk by responding to this message any time. Reply QUIT to stop.</t>
  </si>
  <si>
    <t xml:space="preserve">Complete pre-arrival check-in - Ashworth By The Sea Hotel
Contactless Check-In
Hello Maddison,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Canary Technologies logo Powered by Canary Technologies • Unsubscribe • Privacy
                                     Policy
</t>
  </si>
  <si>
    <t xml:space="preserve">How was your stay at Ashworth By The Sea? 3 Minute Survey
Please share your feedback with Medallia
                    Thank you so much for your recent stay.
                      ‌ ‌ ‌ ‌ ‌ ‌ ‌ ‌ ‌ ‌ ‌ ‌ ‌ ‌ ‌ ‌ ‌ ‌ 
alt_text
Dear Maddison Domina,
We hope you enjoyed your recent stay at Ashworth By The Sea, where you checked
out on July 26, 2026.
We genuinely care about your experience with us, and we'd really appreciate your
feedback — it will only take a few minutes.
How likely are you to recommend Ashworth By The Sea to a friend or colleague?
Not at all Likely                                               Extremely Likely
┌──────┬──────┬──────┬──────┬──────┬──────┬──────┬──────┬──────┬──────┬────────┐
│  0   │  1   │  2   │  3   │  4   │  5   │  6   │  7   │  8   │  9   │   10   │
└──────┴──────┴──────┴──────┴──────┴──────┴──────┴──────┴──────┴──────┴────────┘
By completing this survey, you may be contacted by the hotel to help improve the
quality of service provided.
We appreciate your opinion and look forward to welcoming you again soon.
Kind Regards,
Andrew Fare
General Manager
Ashworth By The Sea
                              Powered by Medallia
Please do not “Reply” to this invitation.
To unsubscribe: We rely on feedback from guests to ensure that your stay will
meet and exceed your expectations. If, however, you would not like to receive a
survey invitation in the future, please click this link:
https://survey10.medallia.com/?e4svk37ffd94wn22m9crht&amp;reject=begin, to
unsubscribe to our guest satisfaction surveys.
Should you need help accessing or completing this survey, please visit:
surveysupport.medallia.com
</t>
  </si>
  <si>
    <t>+18027457189</t>
  </si>
  <si>
    <t>Dear Kathy,
This is Ashworth By The Sea Hotel. Make sure to complete the pre-arrival check-in for your upcoming stay:
https://mobility.stayntouch.com/checkin/url/linabs/canary. 
You can reach out to the front desk by responding to this message any time. Reply QUIT to stop.</t>
  </si>
  <si>
    <t xml:space="preserve">Pre-check in for your stay at Ashworth by the Sea
                                   Hi Kathy,
  Use the link below to check in before your arrival to speed up the process!
                      Upgrades and more may be available!
                                  Pre Check-In
 When you arrive, please present your photo ID and credit card. See you soon -
                                 safe travels!
            This is an automated message from Ashworth by the Sea -
                         frontdesk@ashworthbythesea.com
                         ©2026  |  All Rights Reserved
              295 Ocean Blvd. , Hampton, NH, 03842, United States
                            Call us at  603-926-6762
                            Privacy Policy  |  FAQs
</t>
  </si>
  <si>
    <t>Hi Kathy,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</si>
  <si>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 xml:space="preserve">How was your stay at Ashworth By The Sea? 3 Minute Survey
Please share your feedback with Medallia
                    Thank you so much for your recent stay.
                      ‌ ‌ ‌ ‌ ‌ ‌ ‌ ‌ ‌ ‌ ‌ ‌ ‌ ‌ ‌ ‌ ‌ ‌ 
alt_text
Dear Kathy Griffin,
We hope you enjoyed your recent stay at Ashworth By The Sea, where you checked
out on July 19, 2026.
We genuinely care about your experience with us, and we'd really appreciate your
feedback — it will only take a few minutes.
How likely are you to recommend Ashworth By The Sea to a friend or colleague?
Not at all Likely                                               Extremely Likely
┌──────┬──────┬──────┬──────┬──────┬──────┬──────┬──────┬──────┬──────┬────────┐
│  0   │  1   │  2   │  3   │  4   │  5   │  6   │  7   │  8   │  9   │   10   │
└──────┴──────┴──────┴──────┴──────┴──────┴──────┴──────┴──────┴──────┴────────┘
By completing this survey, you may be contacted by the hotel to help improve the
quality of service provided.
We appreciate your opinion and look forward to welcoming you again soon.
Kind Regards,
Andrew Fare
General Manager
Ashworth By The Sea
                              Powered by Medallia
Please do not “Reply” to this invitation.
To unsubscribe: We rely on feedback from guests to ensure that your stay will
meet and exceed your expectations. If, however, you would not like to receive a
survey invitation in the future, please click this link:
https://survey10.medallia.com/?e4d34fykfd94wn22m9crht&amp;reject=begin, to
unsubscribe to our guest satisfaction surveys.
Should you need help accessing or completing this survey, please visit:
surveysupport.medallia.com
</t>
  </si>
  <si>
    <t xml:space="preserve">Complete pre-arrival check-in - Ashworth By The Sea Hotel
Contactless Check-In
Hello Kathy,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Canary Technologies logo Powered by Canary Technologies • Unsubscribe • Privacy
                                     Policy
</t>
  </si>
  <si>
    <t>+18027458048</t>
  </si>
  <si>
    <t>Hi Randall,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</si>
  <si>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I haven't received a receipt, What is the price?</t>
  </si>
  <si>
    <t>Can I extend stay for tonight and tomorrow</t>
  </si>
  <si>
    <t>Dear Randall,
This is Ashworth By The Sea Hotel. Make sure to complete the pre-arrival check-in for your upcoming stay:
https://mobility.stayntouch.com/checkin/url/linabs/canary. 
You can reach out to the front desk by responding to this message any time. Reply QUIT to stop.</t>
  </si>
  <si>
    <t>Hello Mr. Massey we spoke on the phone earlier I believe. You're reservation is from 7/22-7/24 just confirming that</t>
  </si>
  <si>
    <t>that's correct?</t>
  </si>
  <si>
    <t>Confirmed. Thank you!</t>
  </si>
  <si>
    <t>+18027525351</t>
  </si>
  <si>
    <t xml:space="preserve">Complete pre-arrival check-in - Ashworth By The Sea Hotel
Contactless Check-In
Hello Katrina,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Canary Technologies logo Powered by Canary Technologies • Unsubscribe • Privacy
                                     Policy
</t>
  </si>
  <si>
    <t>Is there any option for early check in</t>
  </si>
  <si>
    <t>Dear Katrina,
This is Ashworth By The Sea Hotel. Make sure to complete the pre-arrival check-in for your upcoming stay:
https://mobility.stayntouch.com/checkin/url/linabs/canary. 
You can reach out to the front desk by responding to this message any time. Reply QUIT to stop.</t>
  </si>
  <si>
    <t>Hi Katrina,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</si>
  <si>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What time were you thinking?</t>
  </si>
  <si>
    <t>Hello I was just confirming my reservation for the 18th of July to the 19th of a July  under the name Katrina Patnode I know third party’s can be a pain so I just wanted to make sure everything is all set</t>
  </si>
  <si>
    <t>+18027607041</t>
  </si>
  <si>
    <t>Dear Samuel,
This is Ashworth By The Sea Hotel. Make sure to complete the pre-arrival check-in for your upcoming stay:
https://mobility.stayntouch.com/checkin/url/linabs/canary. 
You can reach out to the front desk by responding to this message any time. Reply QUIT to stop.</t>
  </si>
  <si>
    <t>Hi Samuel,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</si>
  <si>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+18027820743</t>
  </si>
  <si>
    <t>Hi Sharon,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</si>
  <si>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Sharon,
This is Ashworth By The Sea Hotel. Make sure to complete the pre-arrival check-in for your upcoming stay:
https://mobility.stayntouch.com/checkin/url/linabs/canary. 
You can reach out to the front desk by responding to this message any time. Reply QUIT to stop.</t>
  </si>
  <si>
    <t>+18027829332</t>
  </si>
  <si>
    <t>+18027935195</t>
  </si>
  <si>
    <t xml:space="preserve">Pre-check in for your stay at Ashworth by the Sea
                                   Hi Regina,
  Use the link below to check in before your arrival to speed up the process!
                      Upgrades and more may be available!
                                  Pre Check-In
 When you arrive, please present your photo ID and credit card. See you soon -
                                 safe travels!
            This is an automated message from Ashworth by the Sea -
                         frontdesk@ashworthbythesea.com
                         ©2026  |  All Rights Reserved
              295 Ocean Blvd. , Hampton, NH, 03842, United States
                            Call us at  603-926-6762
                            Privacy Policy  |  FAQs
</t>
  </si>
  <si>
    <t xml:space="preserve">Complete pre-arrival check-in - Ashworth By The Sea Hotel
Contactless Check-In
Hello Regina,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Canary Technologies logo Powered by Canary Technologies • Unsubscribe • Privacy
                                     Policy
</t>
  </si>
  <si>
    <t xml:space="preserve">My stay
Hello,
I just booked a king room 7/17-7/19. Regina Naramore.  Just confirming you
received it
Thank you,
Reggie
</t>
  </si>
  <si>
    <t>Dear Regina,
This is Ashworth By The Sea Hotel. Make sure to complete the pre-arrival check-in for your upcoming stay:
https://mobility.stayntouch.com/checkin/url/linabs/canary. 
You can reach out to the front desk by responding to this message any time. Reply QUIT to stop.</t>
  </si>
  <si>
    <t>Hi Regina,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</si>
  <si>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+18028815770</t>
  </si>
  <si>
    <t>Hi Jodi,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</si>
  <si>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Jodi,
This is Ashworth By The Sea Hotel. Make sure to complete the pre-arrival check-in for your upcoming stay:
https://mobility.stayntouch.com/checkin/url/linabs/canary. 
You can reach out to the front desk by responding to this message any time. Reply QUIT to stop.</t>
  </si>
  <si>
    <t>+18029528262</t>
  </si>
  <si>
    <t>Hi chrissy,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</si>
  <si>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+18043871110</t>
  </si>
  <si>
    <t>Dear Wanda,
This is Ashworth By The Sea Hotel. Make sure to complete the pre-arrival check-in for your upcoming stay:
https://mobility.stayntouch.com/checkin/url/linabs/canary. 
You can reach out to the front desk by responding to this message any time. Reply QUIT to stop.</t>
  </si>
  <si>
    <t>Hi Wanda,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</si>
  <si>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+18064810692</t>
  </si>
  <si>
    <t>Hi Grant,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</si>
  <si>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Dear Grant,
This is Ashworth By The Sea Hotel. Make sure to complete the pre-arrival check-in for your upcoming stay:
https://mobility.stayntouch.com/checkin/url/linabs/canary. 
You can reach out to the front desk by responding to this message any time. Reply QUIT to stop.</t>
  </si>
  <si>
    <t>+18192793385</t>
  </si>
  <si>
    <t xml:space="preserve">Pre-check in for your stay at Ashworth by the Sea
                                    Hi Iris,
  Use the link below to check in before your arrival to speed up the process!
                      Upgrades and more may be available!
                                  Pre Check-In
 When you arrive, please present your photo ID and credit card. See you soon -
                                 safe travels!
            This is an automated message from Ashworth by the Sea -
                         frontdesk@ashworthbythesea.com
                         ©2026  |  All Rights Reserved
              295 Ocean Blvd. , Hampton, NH, 03842, United States
                            Call us at  603-926-6762
                            Privacy Policy  |  FAQs
</t>
  </si>
  <si>
    <t>Hi Iris,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</si>
  <si>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Iris,
This is Ashworth By The Sea Hotel. Make sure to complete the pre-arrival check-in for your upcoming stay:
https://mobility.stayntouch.com/checkin/url/linabs/canary. 
You can reach out to the front desk by responding to this message any time. Reply QUIT to stop.</t>
  </si>
  <si>
    <t xml:space="preserve">Complete pre-arrival check-in - Ashworth By The Sea Hotel
Contactless Check-In
Hello Iris,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Canary Technologies logo Powered by Canary Technologies • Unsubscribe • Privacy
                                     Policy
</t>
  </si>
  <si>
    <t>+18195884105</t>
  </si>
  <si>
    <t>Dear Corey,
This is Ashworth By The Sea Hotel. Make sure to complete the pre-arrival check-in for your upcoming stay:
https://mobility.stayntouch.com/checkin/url/linabs/canary. 
You can reach out to the front desk by responding to this message any time. Reply QUIT to stop.</t>
  </si>
  <si>
    <t>Hi Corey,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</si>
  <si>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+18323701792</t>
  </si>
  <si>
    <t>Dear Karim,
This is Ashworth By The Sea Hotel. Make sure to complete the pre-arrival check-in for your upcoming stay:
https://mobility.stayntouch.com/checkin/url/linabs/canary. 
You can reach out to the front desk by responding to this message any time. Reply QUIT to stop.</t>
  </si>
  <si>
    <t xml:space="preserve">Complete pre-arrival check-in - Ashworth By The Sea Hotel
Contactless Check-In
Hello Karim,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Canary Technologies logo Powered by Canary Technologies • Unsubscribe • Privacy
                                     Policy
</t>
  </si>
  <si>
    <t xml:space="preserve">Pre-check in for your stay at Ashworth by the Sea
                                   Hi Karim,
  Use the link below to check in before your arrival to speed up the process!
                      Upgrades and more may be available!
                                  Pre Check-In
 When you arrive, please present your photo ID and credit card. See you soon -
                                 safe travels!
            This is an automated message from Ashworth by the Sea -
                         frontdesk@ashworthbythesea.com
                         ©2026  |  All Rights Reserved
              295 Ocean Blvd. , Hampton, NH, 03842, United States
                            Call us at  603-926-6762
                            Privacy Policy  |  FAQs
</t>
  </si>
  <si>
    <t>Hi Karim,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</si>
  <si>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+18384335782</t>
  </si>
  <si>
    <t>+18455466913</t>
  </si>
  <si>
    <t>Hi Katherine,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</si>
  <si>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+18456630350</t>
  </si>
  <si>
    <t>Hi robin,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</si>
  <si>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robin,
This is Ashworth By The Sea Hotel. Make sure to complete the pre-arrival check-in for your upcoming stay:
https://mobility.stayntouch.com/checkin/url/linabs/canary. 
You can reach out to the front desk by responding to this message any time. Reply QUIT to stop.</t>
  </si>
  <si>
    <t>+18572051148</t>
  </si>
  <si>
    <t>Hi Jeanne,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</si>
  <si>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Dear Jeanne,
This is Ashworth By The Sea Hotel. Make sure to complete the pre-arrival check-in for your upcoming stay:
https://mobility.stayntouch.com/checkin/url/linabs/canary. 
You can reach out to the front desk by responding to this message any time. Reply QUIT to stop.</t>
  </si>
  <si>
    <t>+18572250854</t>
  </si>
  <si>
    <t xml:space="preserve">Complete pre-arrival check-in - Ashworth By The Sea Hotel
Contactless Check-In
Hello David,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Canary Technologies logo Powered by Canary Technologies • Unsubscribe • Privacy
                                     Policy
</t>
  </si>
  <si>
    <t>+18572336111</t>
  </si>
  <si>
    <t>Dear Albano,
This is Ashworth By The Sea Hotel. Make sure to complete the pre-arrival check-in for your upcoming stay:
https://mobility.stayntouch.com/checkin/url/linabs/canary. 
You can reach out to the front desk by responding to this message any time. Reply QUIT to stop.</t>
  </si>
  <si>
    <t>Hi Albano,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</si>
  <si>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+18573739234</t>
  </si>
  <si>
    <t>Dear Constance,
This is Ashworth By The Sea Hotel. Make sure to complete the pre-arrival check-in for your upcoming stay:
https://mobility.stayntouch.com/checkin/url/linabs/canary. 
You can reach out to the front desk by responding to this message any time. Reply QUIT to stop.</t>
  </si>
  <si>
    <t>Hi Constance,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</si>
  <si>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+18578910115</t>
  </si>
  <si>
    <t>high floor if possible, ocean view anniversary weekend</t>
  </si>
  <si>
    <t>+18602804480</t>
  </si>
  <si>
    <t>+18603057435</t>
  </si>
  <si>
    <t xml:space="preserve">Complete pre-arrival check-in - Ashworth By The Sea Hotel
Contactless Check-In
Hello Thomas,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Canary Technologies logo Powered by Canary Technologies • Unsubscribe • Privacy
                                     Policy
</t>
  </si>
  <si>
    <t xml:space="preserve">Pre-check in for your stay at Ashworth by the Sea
                                   Hi THOMAS,
  Use the link below to check in before your arrival to speed up the process!
                      Upgrades and more may be available!
                                  Pre Check-In
 When you arrive, please present your photo ID and credit card. See you soon -
                                 safe travels!
            This is an automated message from Ashworth by the Sea -
                         frontdesk@ashworthbythesea.com
                         ©2026  |  All Rights Reserved
              295 Ocean Blvd. , Hampton, NH, 03842, United States
                            Call us at  603-926-6762
                            Privacy Policy  |  FAQs
</t>
  </si>
  <si>
    <t>Hi Thomas,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</si>
  <si>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+18603064043</t>
  </si>
  <si>
    <t xml:space="preserve">Pre-check in for your stay at Ashworth by the Sea
                                   Hi Katie,
  Use the link below to check in before your arrival to speed up the process!
                      Upgrades and more may be available!
                                  Pre Check-In
 When you arrive, please present your photo ID and credit card. See you soon -
                                 safe travels!
            This is an automated message from Ashworth by the Sea -
                         frontdesk@ashworthbythesea.com
                         ©2026  |  All Rights Reserved
              295 Ocean Blvd. , Hampton, NH, 03842, United States
                            Call us at  603-926-6762
                            Privacy Policy  |  FAQs
</t>
  </si>
  <si>
    <t xml:space="preserve">How was your stay at Ashworth By The Sea? 3 Minute Survey
Please share your feedback with Medallia
                    Thank you so much for your recent stay.
                      ‌ ‌ ‌ ‌ ‌ ‌ ‌ ‌ ‌ ‌ ‌ ‌ ‌ ‌ ‌ ‌ ‌ ‌ 
alt_text
Dear Katie Buttero,
We hope you enjoyed your recent stay at Ashworth By The Sea, where you checked
out on July 19, 2026.
We genuinely care about your experience with us, and we'd really appreciate your
feedback — it will only take a few minutes.
How likely are you to recommend Ashworth By The Sea to a friend or colleague?
Not at all Likely                                               Extremely Likely
┌──────┬──────┬──────┬──────┬──────┬──────┬──────┬──────┬──────┬──────┬────────┐
│  0   │  1   │  2   │  3   │  4   │  5   │  6   │  7   │  8   │  9   │   10   │
└──────┴──────┴──────┴──────┴──────┴──────┴──────┴──────┴──────┴──────┴────────┘
By completing this survey, you may be contacted by the hotel to help improve the
quality of service provided.
We appreciate your opinion and look forward to welcoming you again soon.
Kind Regards,
Andrew Fare
General Manager
Ashworth By The Sea
                              Powered by Medallia
Please do not “Reply” to this invitation.
To unsubscribe: We rely on feedback from guests to ensure that your stay will
meet and exceed your expectations. If, however, you would not like to receive a
survey invitation in the future, please click this link:
https://survey10.medallia.com/?echt3fykfd94wn22m9crht&amp;reject=begin, to
unsubscribe to our guest satisfaction surveys.
Should you need help accessing or completing this survey, please visit:
surveysupport.medallia.com
</t>
  </si>
  <si>
    <t>Hi Katie,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</si>
  <si>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Katie,
This is Ashworth By The Sea Hotel. Make sure to complete the pre-arrival check-in for your upcoming stay:
https://mobility.stayntouch.com/checkin/url/linabs/canary. 
You can reach out to the front desk by responding to this message any time. Reply QUIT to stop.</t>
  </si>
  <si>
    <t xml:space="preserve">Complete pre-arrival check-in - Ashworth By The Sea Hotel
Contactless Check-In
Hello Katie,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Canary Technologies logo Powered by Canary Technologies • Unsubscribe • Privacy
                                     Policy
</t>
  </si>
  <si>
    <t xml:space="preserve">INVOICE: Ashworth by the Sea | 106633
Thank you for staying at Ashworth by the Sea. Your invoice is attached.
</t>
  </si>
  <si>
    <t>+18603070455</t>
  </si>
  <si>
    <t>Hi Nathan,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</si>
  <si>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Nathan,
This is Ashworth By The Sea Hotel. Make sure to complete the pre-arrival check-in for your upcoming stay:
https://mobility.stayntouch.com/checkin/url/linabs/canary. 
You can reach out to the front desk by responding to this message any time. Reply QUIT to stop.</t>
  </si>
  <si>
    <t>+18603340814</t>
  </si>
  <si>
    <t>Dear Kelsey,
This is Ashworth By The Sea Hotel. Make sure to complete the pre-arrival check-in for your upcoming stay:
https://mobility.stayntouch.com/checkin/url/linabs/canary. 
You can reach out to the front desk by responding to this message any time. Reply QUIT to stop.</t>
  </si>
  <si>
    <t xml:space="preserve">Complete pre-arrival check-in - Ashworth By The Sea Hotel
Contactless Check-In
Hello Kelsey,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Canary Technologies logo Powered by Canary Technologies • Unsubscribe • Privacy
                                     Policy
</t>
  </si>
  <si>
    <t>Hi Kelsey,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</si>
  <si>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+18603366307</t>
  </si>
  <si>
    <t xml:space="preserve">Complete pre-arrival check-in - Ashworth By The Sea Hotel
Contactless Check-In
Hello Mariano,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Canary Technologies logo Powered by Canary Technologies • Unsubscribe • Privacy
                                     Policy
</t>
  </si>
  <si>
    <t>Dear Mariano,
This is Ashworth By The Sea Hotel. Make sure to complete the pre-arrival check-in for your upcoming stay:
https://mobility.stayntouch.com/checkin/url/linabs/canary. 
You can reach out to the front desk by responding to this message any time. Reply QUIT to stop.</t>
  </si>
  <si>
    <t xml:space="preserve">INVOICE: Ashworth by the Sea | 107189
Thank you for staying at Ashworth by the Sea. Your invoice is attached.
</t>
  </si>
  <si>
    <t xml:space="preserve">Pre-check in for your stay at Ashworth by the Sea
                                  Hi Mariano,
  Use the link below to check in before your arrival to speed up the process!
                      Upgrades and more may be available!
                                  Pre Check-In
 When you arrive, please present your photo ID and credit card. See you soon -
                                 safe travels!
            This is an automated message from Ashworth by the Sea -
                         frontdesk@ashworthbythesea.com
                         ©2026  |  All Rights Reserved
              295 Ocean Blvd. , Hampton, NH, 03842, United States
                            Call us at  603-926-6762
                            Privacy Policy  |  FAQs
</t>
  </si>
  <si>
    <t xml:space="preserve">How was your stay at Ashworth By The Sea? 3 Minute Survey
Please share your feedback with Medallia
                    Thank you so much for your recent stay.
                      ‌ ‌ ‌ ‌ ‌ ‌ ‌ ‌ ‌ ‌ ‌ ‌ ‌ ‌ ‌ ‌ ‌ ‌ 
alt_text
Dear Mariano Nate,
We hope you enjoyed your recent stay at Ashworth By The Sea, where you checked
out on July 20, 2026.
We genuinely care about your experience with us, and we'd really appreciate your
feedback — it will only take a few minutes.
How likely are you to recommend Ashworth By The Sea to a friend or colleague?
Not at all Likely                                               Extremely Likely
┌──────┬──────┬──────┬──────┬──────┬──────┬──────┬──────┬──────┬──────┬────────┐
│  0   │  1   │  2   │  3   │  4   │  5   │  6   │  7   │  8   │  9   │   10   │
└──────┴──────┴──────┴──────┴──────┴──────┴──────┴──────┴──────┴──────┴────────┘
By completing this survey, you may be contacted by the hotel to help improve the
quality of service provided.
We appreciate your opinion and look forward to welcoming you again soon.
Kind Regards,
Andrew Fare
General Manager
Ashworth By The Sea
                              Powered by Medallia
Please do not “Reply” to this invitation.
To unsubscribe: We rely on feedback from guests to ensure that your stay will
meet and exceed your expectations. If, however, you would not like to receive a
survey invitation in the future, please click this link:
https://survey10.medallia.com/?e29hdmykfd94wn22m9crht&amp;reject=begin, to
unsubscribe to our guest satisfaction surveys.
Should you need help accessing or completing this survey, please visit:
surveysupport.medallia.com
</t>
  </si>
  <si>
    <t>Hi Mariano,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</si>
  <si>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+18603672459</t>
  </si>
  <si>
    <t>We will be there tomorrow afternoon for our 4pm check in</t>
  </si>
  <si>
    <t>+18603848123</t>
  </si>
  <si>
    <t>Dear Ritzie,
This is Ashworth By The Sea Hotel. Make sure to complete the pre-arrival check-in for your upcoming stay:
https://mobility.stayntouch.com/checkin/url/linabs/canary. 
You can reach out to the front desk by responding to this message any time. Reply QUIT to stop.</t>
  </si>
  <si>
    <t>+18603959762</t>
  </si>
  <si>
    <t>+18604616380</t>
  </si>
  <si>
    <t>+18604881673</t>
  </si>
  <si>
    <t>Dear Francis,
This is Ashworth By The Sea Hotel. Make sure to complete the pre-arrival check-in for your upcoming stay:
https://mobility.stayntouch.com/checkin/url/linabs/canary. 
You can reach out to the front desk by responding to this message any time. Reply QUIT to stop.</t>
  </si>
  <si>
    <t>Hi Francis,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</si>
  <si>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+18604901251</t>
  </si>
  <si>
    <t>+18605492251</t>
  </si>
  <si>
    <t>Hi Jillian,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</si>
  <si>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Jillian,
This is Ashworth By The Sea Hotel. Make sure to complete the pre-arrival check-in for your upcoming stay:
https://mobility.stayntouch.com/checkin/url/linabs/canary. 
You can reach out to the front desk by responding to this message any time. Reply QUIT to stop.</t>
  </si>
  <si>
    <t>+18606178473</t>
  </si>
  <si>
    <t>+18606551263</t>
  </si>
  <si>
    <t>Hi Scott,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</si>
  <si>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+18607512399</t>
  </si>
  <si>
    <t>+18607524563</t>
  </si>
  <si>
    <t>+18607718601</t>
  </si>
  <si>
    <t>Hi Louis,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</si>
  <si>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Dear Louis,
This is Ashworth By The Sea Hotel. Make sure to complete the pre-arrival check-in for your upcoming stay:
https://mobility.stayntouch.com/checkin/url/linabs/canary. 
You can reach out to the front desk by responding to this message any time. Reply QUIT to stop.</t>
  </si>
  <si>
    <t>+18607900375</t>
  </si>
  <si>
    <t>Hi Kristina,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</si>
  <si>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Kristina,
This is Ashworth By The Sea Hotel. Make sure to complete the pre-arrival check-in for your upcoming stay:
https://mobility.stayntouch.com/checkin/url/linabs/canary. 
You can reach out to the front desk by responding to this message any time. Reply QUIT to stop.</t>
  </si>
  <si>
    <t>+18608575834</t>
  </si>
  <si>
    <t>+18608659574</t>
  </si>
  <si>
    <t>Hi Ana,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</si>
  <si>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ana,
This is Ashworth By The Sea Hotel. Make sure to complete the pre-arrival check-in for your upcoming stay:
https://mobility.stayntouch.com/checkin/url/linabs/canary. 
You can reach out to the front desk by responding to this message any time. Reply QUIT to stop.</t>
  </si>
  <si>
    <t>+18608957164</t>
  </si>
  <si>
    <t>Hi for the booking could we get the rooms on the 3rd floor or higher if possible? Also for the room with partial ocean floor can the view be by the boardwalk ?</t>
  </si>
  <si>
    <t>Hi Johnny,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</si>
  <si>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Dear Johnny,
This is Ashworth By The Sea Hotel. Make sure to complete the pre-arrival check-in for your upcoming stay:
https://mobility.stayntouch.com/checkin/url/linabs/canary. 
You can reach out to the front desk by responding to this message any time. Reply QUIT to stop.</t>
  </si>
  <si>
    <t>+18609195288</t>
  </si>
  <si>
    <t>Hi Kim,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</si>
  <si>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Kim,
This is Ashworth By The Sea Hotel. Make sure to complete the pre-arrival check-in for your upcoming stay:
https://mobility.stayntouch.com/checkin/url/linabs/canary. 
You can reach out to the front desk by responding to this message any time. Reply QUIT to stop.</t>
  </si>
  <si>
    <t>+18609757566</t>
  </si>
  <si>
    <t>+18609776236</t>
  </si>
  <si>
    <t>+18609778423</t>
  </si>
  <si>
    <t>Hi Marilyn,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</si>
  <si>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 xml:space="preserve">How was your stay at Ashworth By The Sea? 3 Minute Survey
Please share your feedback with Medallia
                    Thank you so much for your recent stay.
                      ‌ ‌ ‌ ‌ ‌ ‌ ‌ ‌ ‌ ‌ ‌ ‌ ‌ ‌ ‌ ‌ ‌ ‌ 
alt_text
Dear Marilyn Cancel,
We hope you enjoyed your recent stay at Ashworth By The Sea, where you checked
out on July 26, 2026.
We genuinely care about your experience with us, and we'd really appreciate your
feedback — it will only take a few minutes.
How likely are you to recommend Ashworth By The Sea to a friend or colleague?
Not at all Likely                                               Extremely Likely
┌──────┬──────┬──────┬──────┬──────┬──────┬──────┬──────┬──────┬──────┬────────┐
│  0   │  1   │  2   │  3   │  4   │  5   │  6   │  7   │  8   │  9   │   10   │
└──────┴──────┴──────┴──────┴──────┴──────┴──────┴──────┴──────┴──────┴────────┘
By completing this survey, you may be contacted by the hotel to help improve the
quality of service provided.
We appreciate your opinion and look forward to welcoming you again soon.
Kind Regards,
Andrew Fare
General Manager
Ashworth By The Sea
                              Powered by Medallia
Please do not “Reply” to this invitation.
To unsubscribe: We rely on feedback from guests to ensure that your stay will
meet and exceed your expectations. If, however, you would not like to receive a
survey invitation in the future, please click this link:
https://survey10.medallia.com/?e2htm37ffd94wn22m9crht&amp;reject=begin, to
unsubscribe to our guest satisfaction surveys.
Should you need help accessing or completing this survey, please visit:
surveysupport.medallia.com
</t>
  </si>
  <si>
    <t>Dear Marilyn,
This is Ashworth By The Sea Hotel. Make sure to complete the pre-arrival check-in for your upcoming stay:
https://mobility.stayntouch.com/checkin/url/linabs/canary. 
You can reach out to the front desk by responding to this message any time. Reply QUIT to stop.</t>
  </si>
  <si>
    <t xml:space="preserve">Complete pre-arrival check-in - Ashworth By The Sea Hotel
Contactless Check-In
Hello Marilyn,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Canary Technologies logo Powered by Canary Technologies • Unsubscribe • Privacy
                                     Policy
</t>
  </si>
  <si>
    <t xml:space="preserve">Reminder : How was your stay at Ashworth By The Sea? 3 Minute Survey
Please share your feedback with Medallia
                    Thank you so much for your recent stay.
                      ‌ ‌ ‌ ‌ ‌ ‌ ‌ ‌ ‌ ‌ ‌ ‌ ‌ ‌ ‌ ‌ ‌ ‌ 
alt_text
Dear Marilyn Cancel,
A few days ago, we sent you an invitation for you to provide us with valuable
feedback regarding your recent stay with us at Ashworth By The Sea, where you
checked out on July 26, 2026.
We would still like to hear about your stay and understand if we met your
expectations. It's easy and will only take a few minutes.
How likely are you to recommend Ashworth By The Sea to a friend or colleague?
Not at all Likely                                               Extremely Likely
┌──────┬──────┬──────┬──────┬──────┬──────┬──────┬──────┬──────┬──────┬────────┐
│  0   │  1   │  2   │  3   │  4   │  5   │  6   │  7   │  8   │  9   │   10   │
└──────┴──────┴──────┴──────┴──────┴──────┴──────┴──────┴──────┴──────┴────────┘
This is the only reminder you will receive from us. If you have already
completed this online form, please disregard this email and thank you for
sharing your opinions with us.
Sincerely,
Andrew Fare
General Manager
Ashworth By The Sea
                              Powered by Medallia
Please do not “Reply” to this invitation.
To unsubscribe: We rely on feedback from guests to ensure that your stay will
meet and exceed your expectations. If, however, you would not like to receive a
survey invitation in the future, please click this link:
https://survey10.medallia.com/?e2htm37ffd94wn22m9crht&amp;reject=begin, to
unsubscribe to our guest satisfaction surveys.
Should you need help accessing or completing this survey, please visit:
surveysupport.medallia.com
</t>
  </si>
  <si>
    <t xml:space="preserve">Pre-check in for your stay at Ashworth by the Sea
                                  Hi Marilyn,
  Use the link below to check in before your arrival to speed up the process!
                      Upgrades and more may be available!
                                  Pre Check-In
 When you arrive, please present your photo ID and credit card. See you soon -
                                 safe travels!
            This is an automated message from Ashworth by the Sea -
                         frontdesk@ashworthbythesea.com
                         ©2026  |  All Rights Reserved
              295 Ocean Blvd. , Hampton, NH, 03842, United States
                            Call us at  603-926-6762
                            Privacy Policy  |  FAQs
</t>
  </si>
  <si>
    <t xml:space="preserve">INVOICE: Ashworth by the Sea | 107283
Thank you for staying at Ashworth by the Sea. Your invoice is attached.
</t>
  </si>
  <si>
    <t>+18609891152</t>
  </si>
  <si>
    <t>Hi Samuel,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</si>
  <si>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+18609898016</t>
  </si>
  <si>
    <t>Hi Ricardo,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</si>
  <si>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Ricardo,
This is Ashworth By The Sea Hotel. Make sure to complete the pre-arrival check-in for your upcoming stay:
https://mobility.stayntouch.com/checkin/url/linabs/canary. 
You can reach out to the front desk by responding to this message any time. Reply QUIT to stop.</t>
  </si>
  <si>
    <t>+18609948827</t>
  </si>
  <si>
    <t>+19022334747</t>
  </si>
  <si>
    <t xml:space="preserve">Hi I already did it via email , did you receive it ? </t>
  </si>
  <si>
    <t>+19028026362</t>
  </si>
  <si>
    <t>+19034130290</t>
  </si>
  <si>
    <t>Hi David,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</si>
  <si>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+19098098410</t>
  </si>
  <si>
    <t>Dear Alexander,
This is Ashworth By The Sea Hotel. Make sure to complete the pre-arrival check-in for your upcoming stay:
https://mobility.stayntouch.com/checkin/url/linabs/canary. 
You can reach out to the front desk by responding to this message any time. Reply QUIT to stop.</t>
  </si>
  <si>
    <t>Hi Alexander,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</si>
  <si>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+19102902382</t>
  </si>
  <si>
    <t>+19144033271</t>
  </si>
  <si>
    <t>Hi Jaclyn,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</si>
  <si>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Jaclyn,
This is Ashworth By The Sea Hotel. Make sure to complete the pre-arrival check-in for your upcoming stay:
https://mobility.stayntouch.com/checkin/url/linabs/canary. 
You can reach out to the front desk by responding to this message any time. Reply QUIT to stop.</t>
  </si>
  <si>
    <t>+19149803991</t>
  </si>
  <si>
    <t>Hi Donna Marie,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</si>
  <si>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Donna Marie,
This is Ashworth By The Sea Hotel. Make sure to complete the pre-arrival check-in for your upcoming stay:
https://mobility.stayntouch.com/checkin/url/linabs/canary. 
You can reach out to the front desk by responding to this message any time. Reply QUIT to stop.</t>
  </si>
  <si>
    <t>+19164672092</t>
  </si>
  <si>
    <t>Hi Diana,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</si>
  <si>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I need a room that is wheelchair accessible with a walk/roll in shower and an ADA raised toilet with grab bars. I hope I can get this at your hotel. Thank you! Diana</t>
  </si>
  <si>
    <t>Dear Diana,
This is Ashworth By The Sea Hotel. Make sure to complete the pre-arrival check-in for your upcoming stay:
https://mobility.stayntouch.com/checkin/url/linabs/canary. 
You can reach out to the front desk by responding to this message any time. Reply QUIT to stop.</t>
  </si>
  <si>
    <t xml:space="preserve">INVOICE: Ashworth by the Sea | 107038
Thank you for staying at Ashworth by the Sea. Your invoice is attached.
</t>
  </si>
  <si>
    <t xml:space="preserve">Pre-check in for your stay at Ashworth by the Sea
                                   Hi Diana,
  Use the link below to check in before your arrival to speed up the process!
                      Upgrades and more may be available!
                                  Pre Check-In
 When you arrive, please present your photo ID and credit card. See you soon -
                                 safe travels!
            This is an automated message from Ashworth by the Sea -
                         frontdesk@ashworthbythesea.com
                         ©2026  |  All Rights Reserved
              295 Ocean Blvd. , Hampton, NH, 03842, United States
                            Call us at  603-926-6762
                            Privacy Policy  |  FAQs
</t>
  </si>
  <si>
    <t>Can you please confirm that this is a room with a king bed and a walk in/ roll in shower and hopefully grab bars by the toilet. Thank you!</t>
  </si>
  <si>
    <t>Hello, we do not have an accessible room available for you during your stay but your room is a stand up/ walk in shower.</t>
  </si>
  <si>
    <t>I cannot have a room with a bathtub.</t>
  </si>
  <si>
    <t>+19172322004</t>
  </si>
  <si>
    <t xml:space="preserve">Complete pre-arrival check-in - Ashworth By The Sea Hotel
Contactless Check-In
Hello Uribe,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Canary Technologies logo Powered by Canary Technologies • Unsubscribe • Privacy
                                     Policy
</t>
  </si>
  <si>
    <t xml:space="preserve">Pre-check in for your stay at Ashworth by the Sea
                                   Hi Uribe,
  Use the link below to check in before your arrival to speed up the process!
                      Upgrades and more may be available!
                                  Pre Check-In
 When you arrive, please present your photo ID and credit card. See you soon -
                                 safe travels!
            This is an automated message from Ashworth by the Sea -
                         frontdesk@ashworthbythesea.com
                         ©2026  |  All Rights Reserved
              295 Ocean Blvd. , Hampton, NH, 03842, United States
                            Call us at  603-926-6762
                            Privacy Policy  |  FAQs
</t>
  </si>
  <si>
    <t>Dear Uribe,
This is Ashworth By The Sea Hotel. Make sure to complete the pre-arrival check-in for your upcoming stay:
https://mobility.stayntouch.com/checkin/url/linabs/canary. 
You can reach out to the front desk by responding to this message any time. Reply QUIT to stop.</t>
  </si>
  <si>
    <t xml:space="preserve">INVOICE: Ashworth by the Sea | 104439
Thank you for staying at Ashworth by the Sea. Your invoice is attached.
</t>
  </si>
  <si>
    <t>Hi Uribe,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</si>
  <si>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 xml:space="preserve">How was your stay at Ashworth By The Sea? 3 Minute Survey
Please share your feedback with Medallia
                    Thank you so much for your recent stay.
                      ‌ ‌ ‌ ‌ ‌ ‌ ‌ ‌ ‌ ‌ ‌ ‌ ‌ ‌ ‌ ‌ ‌ ‌ 
alt_text
Dear Uribe Lina,
We hope you enjoyed your recent stay at Ashworth By The Sea, where you checked
out on July 21, 2026.
We genuinely care about your experience with us, and we'd really appreciate your
feedback — it will only take a few minutes.
How likely are you to recommend Ashworth By The Sea to a friend or colleague?
Not at all Likely                                               Extremely Likely
┌──────┬──────┬──────┬──────┬──────┬──────┬──────┬──────┬──────┬──────┬────────┐
│  0   │  1   │  2   │  3   │  4   │  5   │  6   │  7   │  8   │  9   │   10   │
└──────┴──────┴──────┴──────┴──────┴──────┴──────┴──────┴──────┴──────┴────────┘
By completing this survey, you may be contacted by the hotel to help improve the
quality of service provided.
We appreciate your opinion and look forward to welcoming you again soon.
Kind Regards,
Andrew Fare
General Manager
Ashworth By The Sea
                              Powered by Medallia
Please do not “Reply” to this invitation.
To unsubscribe: We rely on feedback from guests to ensure that your stay will
meet and exceed your expectations. If, however, you would not like to receive a
survey invitation in the future, please click this link:
https://survey10.medallia.com/?e3r7dsykfd94wn22m9crht&amp;reject=begin, to
unsubscribe to our guest satisfaction surveys.
Should you need help accessing or completing this survey, please visit:
surveysupport.medallia.com
</t>
  </si>
  <si>
    <t>+19175179244</t>
  </si>
  <si>
    <t>+19186076333</t>
  </si>
  <si>
    <t>Hi Esther,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</si>
  <si>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Dear Esther,
This is Ashworth By The Sea Hotel. Make sure to complete the pre-arrival check-in for your upcoming stay:
https://mobility.stayntouch.com/checkin/url/linabs/canary. 
You can reach out to the front desk by responding to this message any time. Reply QUIT to stop.</t>
  </si>
  <si>
    <t>+19198128406</t>
  </si>
  <si>
    <t>Dear Yingzi,
This is Ashworth By The Sea Hotel. Make sure to complete the pre-arrival check-in for your upcoming stay:
https://mobility.stayntouch.com/checkin/url/linabs/canary. 
You can reach out to the front desk by responding to this message any time. Reply QUIT to stop.</t>
  </si>
  <si>
    <t>Hi Yingzi,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</si>
  <si>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+19286008145</t>
  </si>
  <si>
    <t xml:space="preserve">Complete pre-arrival check-in - Ashworth By The Sea Hotel
Contactless Check-In
Hello Christian,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Canary Technologies logo Powered by Canary Technologies • Unsubscribe • Privacy
                                     Policy
</t>
  </si>
  <si>
    <t>+19293239273</t>
  </si>
  <si>
    <t>Dear Mantagran,
This is Ashworth By The Sea Hotel. Make sure to complete the pre-arrival check-in for your upcoming stay:
https://mobility.stayntouch.com/checkin/url/linabs/canary. 
You can reach out to the front desk by responding to this message any time. Reply QUIT to stop.</t>
  </si>
  <si>
    <t>Hi Mantagran,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</si>
  <si>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+19738681835</t>
  </si>
  <si>
    <t>Hi Frances,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</si>
  <si>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Frances,
This is Ashworth By The Sea Hotel. Make sure to complete the pre-arrival check-in for your upcoming stay:
https://mobility.stayntouch.com/checkin/url/linabs/canary. 
You can reach out to the front desk by responding to this message any time. Reply QUIT to stop.</t>
  </si>
  <si>
    <t>+19782043659</t>
  </si>
  <si>
    <t>Hi Pamela,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</si>
  <si>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Dear Pamela,
This is Ashworth By The Sea Hotel. Make sure to complete the pre-arrival check-in for your upcoming stay:
https://mobility.stayntouch.com/checkin/url/linabs/canary. 
You can reach out to the front desk by responding to this message any time. Reply QUIT to stop.</t>
  </si>
  <si>
    <t>+19782047120</t>
  </si>
  <si>
    <t>Hi Sue,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</si>
  <si>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Sue,
This is Ashworth By The Sea Hotel. Make sure to complete the pre-arrival check-in for your upcoming stay:
https://mobility.stayntouch.com/checkin/url/linabs/canary. 
You can reach out to the front desk by responding to this message any time. Reply QUIT to stop.</t>
  </si>
  <si>
    <t>Good afternoon, Sue. Your room is ready for check-in.</t>
  </si>
  <si>
    <t>+19782238878</t>
  </si>
  <si>
    <t>Dear Cristiane,
This is Ashworth By The Sea Hotel. Make sure to complete the pre-arrival check-in for your upcoming stay:
https://mobility.stayntouch.com/checkin/url/linabs/canary. 
You can reach out to the front desk by responding to this message any time. Reply QUIT to stop.</t>
  </si>
  <si>
    <t>Hi Cristiane,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</si>
  <si>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+19782274672</t>
  </si>
  <si>
    <t>Hi Krystihanna,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</si>
  <si>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Krystihanna,
This is Ashworth By The Sea Hotel. Make sure to complete the pre-arrival check-in for your upcoming stay:
https://mobility.stayntouch.com/checkin/url/linabs/canary. 
You can reach out to the front desk by responding to this message any time. Reply QUIT to stop.</t>
  </si>
  <si>
    <t xml:space="preserve">Pre-check in for your stay at Ashworth by the Sea
                                Hi Krystihanna,
  Use the link below to check in before your arrival to speed up the process!
                      Upgrades and more may be available!
                                  Pre Check-In
 When you arrive, please present your photo ID and credit card. See you soon -
                                 safe travels!
            This is an automated message from Ashworth by the Sea -
                         frontdesk@ashworthbythesea.com
                         ©2026  |  All Rights Reserved
              295 Ocean Blvd. , Hampton, NH, 03842, United States
                            Call us at  603-926-6762
                            Privacy Policy  |  FAQs
</t>
  </si>
  <si>
    <t xml:space="preserve">Complete pre-arrival check-in - Ashworth By The Sea Hotel
Contactless Check-In
Hello Krystihanna,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Canary Technologies logo Powered by Canary Technologies • Unsubscribe • Privacy
                                     Policy
</t>
  </si>
  <si>
    <t>+19782593431</t>
  </si>
  <si>
    <t>+19783020738</t>
  </si>
  <si>
    <t>Hi Philip,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</si>
  <si>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Philip,
This is Ashworth By The Sea Hotel. Make sure to complete the pre-arrival check-in for your upcoming stay:
https://mobility.stayntouch.com/checkin/url/linabs/canary. 
You can reach out to the front desk by responding to this message any time. Reply QUIT to stop.</t>
  </si>
  <si>
    <t>+19783143338</t>
  </si>
  <si>
    <t>Be right there!</t>
  </si>
  <si>
    <t>Dear Charlrs,
This is Ashworth By The Sea Hotel. Make sure to complete the pre-arrival check-in for your upcoming stay:
https://mobility.stayntouch.com/checkin/url/linabs/canary. 
You can reach out to the front desk by responding to this message any time. Reply QUIT to stop.</t>
  </si>
  <si>
    <t>I'm so sorry to hear that! I can head up now?</t>
  </si>
  <si>
    <t>We need regular coffee no decaf and towels our room has never been cleaned since we arrived!</t>
  </si>
  <si>
    <t>Of course! How many towels?</t>
  </si>
  <si>
    <t>I just stayed there and checked out on Friday from room 271 and I left my black silk pillow there. If you still have it, could you let me know and I'll pick it up tomorrow?</t>
  </si>
  <si>
    <t>2 coffees</t>
  </si>
  <si>
    <t>Hi Charles,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</si>
  <si>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Please</t>
  </si>
  <si>
    <t>+19783144606</t>
  </si>
  <si>
    <t>+19783375117</t>
  </si>
  <si>
    <t>Hi! Quick question. 
I just tried to call the hotel but received a full mailbox message. We will be arriving tomorrow morning and I know we probably can’t check in early, but we were wondering if we would be able to valet park our car then. Please let me know when you have a moment.</t>
  </si>
  <si>
    <t>+19783377045</t>
  </si>
  <si>
    <t>Hi Joann,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</si>
  <si>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Dear Joann,
This is Ashworth By The Sea Hotel. Make sure to complete the pre-arrival check-in for your upcoming stay:
https://mobility.stayntouch.com/checkin/url/linabs/canary. 
You can reach out to the front desk by responding to this message any time. Reply QUIT to stop.</t>
  </si>
  <si>
    <t>+19783764172</t>
  </si>
  <si>
    <t>+19783823402</t>
  </si>
  <si>
    <t>Hi Shannon,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</si>
  <si>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+19783827006</t>
  </si>
  <si>
    <t>Hi Dave,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</si>
  <si>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Dear Dave,
This is Ashworth By The Sea Hotel. Make sure to complete the pre-arrival check-in for your upcoming stay:
https://mobility.stayntouch.com/checkin/url/linabs/canary. 
You can reach out to the front desk by responding to this message any time. Reply QUIT to stop.</t>
  </si>
  <si>
    <t>+19783941189</t>
  </si>
  <si>
    <t>Dear Jen,
This is Ashworth By The Sea Hotel. Make sure to complete the pre-arrival check-in for your upcoming stay:
https://mobility.stayntouch.com/checkin/url/linabs/canary. 
You can reach out to the front desk by responding to this message any time. Reply QUIT to stop.</t>
  </si>
  <si>
    <t>Hi Jen,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</si>
  <si>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+19784070325</t>
  </si>
  <si>
    <t>Dear Stephanie,
This is Ashworth By The Sea Hotel. Make sure to complete the pre-arrival check-in for your upcoming stay:
https://mobility.stayntouch.com/checkin/url/linabs/canary. 
You can reach out to the front desk by responding to this message any time. Reply QUIT to stop.</t>
  </si>
  <si>
    <t>Hi Stephanie,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</si>
  <si>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+19784570873</t>
  </si>
  <si>
    <t>+19785494888</t>
  </si>
  <si>
    <t>+19785498900</t>
  </si>
  <si>
    <t>+19785514500</t>
  </si>
  <si>
    <t>Dear Nichole,
This is Ashworth By The Sea Hotel. Make sure to complete the pre-arrival check-in for your upcoming stay:
https://mobility.stayntouch.com/checkin/url/linabs/canary. 
You can reach out to the front desk by responding to this message any time. Reply QUIT to stop.</t>
  </si>
  <si>
    <t>Hi Nichole,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</si>
  <si>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+19785694576</t>
  </si>
  <si>
    <t>Dear Deborah,
This is Ashworth By The Sea Hotel. Make sure to complete the pre-arrival check-in for your upcoming stay:
https://mobility.stayntouch.com/checkin/url/linabs/canary. 
You can reach out to the front desk by responding to this message any time. Reply QUIT to stop.</t>
  </si>
  <si>
    <t>Hi Deborah,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</si>
  <si>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+19786046712</t>
  </si>
  <si>
    <t>+19786417842</t>
  </si>
  <si>
    <t>Hi Megan,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</si>
  <si>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+19786740201</t>
  </si>
  <si>
    <t xml:space="preserve">Pre-check in for your stay at Ashworth by the Sea
                                   Hi Senddy,
  Use the link below to check in before your arrival to speed up the process!
                      Upgrades and more may be available!
                                  Pre Check-In
 When you arrive, please present your photo ID and credit card. See you soon -
                                 safe travels!
            This is an automated message from Ashworth by the Sea -
                         frontdesk@ashworthbythesea.com
                         ©2026  |  All Rights Reserved
              295 Ocean Blvd. , Hampton, NH, 03842, United States
                            Call us at  603-926-6762
                            Privacy Policy  |  FAQs
</t>
  </si>
  <si>
    <t xml:space="preserve">Complete pre-arrival check-in - Ashworth By The Sea Hotel
Contactless Check-In
Hello Senddy,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+16039266762
Canary Technologies logo Powered by Canary Technologies • Unsubscribe • Privacy
                                     Policy
</t>
  </si>
  <si>
    <t>Dear Senddy,
This is Ashworth By The Sea Hotel. Make sure to complete the pre-arrival check-in for your upcoming stay:
https://mobility.stayntouch.com/checkin/url/linabs/canary. 
You can reach out to the front desk by responding to this message any time. Reply QUIT to stop.</t>
  </si>
  <si>
    <t>Hi Senddy,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</si>
  <si>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+19786895766</t>
  </si>
  <si>
    <t>Hi Janet,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</si>
  <si>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Janet,
This is Ashworth By The Sea Hotel. Make sure to complete the pre-arrival check-in for your upcoming stay:
https://mobility.stayntouch.com/checkin/url/linabs/canary. 
You can reach out to the front desk by responding to this message any time. Reply QUIT to stop.</t>
  </si>
  <si>
    <t>+19787017062</t>
  </si>
  <si>
    <t>Hello Benjamin, thank you for your request. We've noted your early check-in request on your reservation. While early check-in is not guaranteed and is subject to availability, we'll do our best to accommodate your request if your room is ready upon your arrival. We look forward to welcoming you!</t>
  </si>
  <si>
    <t xml:space="preserve">Pre-check in for your stay at Ashworth by the Sea
                                  Hi Benjamin,
  Use the link below to check in before your arrival to speed up the process!
                      Upgrades and more may be available!
                                  Pre Check-In
 When you arrive, please present your photo ID and credit card. See you soon -
                                 safe travels!
            This is an automated message from Ashworth by the Sea -
                         frontdesk@ashworthbythesea.com
                         ©2026  |  All Rights Reserved
              295 Ocean Blvd. , Hampton, NH, 03842, United States
                            Call us at  603-926-6762
                            Privacy Policy  |  FAQs
</t>
  </si>
  <si>
    <t>+19787279616</t>
  </si>
  <si>
    <t xml:space="preserve">Complete pre-arrival check-in - Ashworth By The Sea Hotel
Contactless Check-In
Hello Charles,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Canary Technologies logo Powered by Canary Technologies • Unsubscribe • Privacy
                                     Policy
</t>
  </si>
  <si>
    <t xml:space="preserve">INVOICE: Ashworth by the Sea | 107110
Thank you for staying at Ashworth by the Sea. Your invoice is attached.
</t>
  </si>
  <si>
    <t xml:space="preserve">How was your stay at Ashworth By The Sea? 3 Minute Survey
Please share your feedback with Medallia
                    Thank you so much for your recent stay.
                      ‌ ‌ ‌ ‌ ‌ ‌ ‌ ‌ ‌ ‌ ‌ ‌ ‌ ‌ ‌ ‌ ‌ ‌ 
alt_text
Dear Charles Hamberg,
We hope you enjoyed your recent stay at Ashworth By The Sea, where you checked
out on July 20, 2026.
We genuinely care about your experience with us, and we'd really appreciate your
feedback — it will only take a few minutes.
How likely are you to recommend Ashworth By The Sea to a friend or colleague?
Not at all Likely                                               Extremely Likely
┌──────┬──────┬──────┬──────┬──────┬──────┬──────┬──────┬──────┬──────┬────────┐
│  0   │  1   │  2   │  3   │  4   │  5   │  6   │  7   │  8   │  9   │   10   │
└──────┴──────┴──────┴──────┴──────┴──────┴──────┴──────┴──────┴──────┴────────┘
By completing this survey, you may be contacted by the hotel to help improve the
quality of service provided.
We appreciate your opinion and look forward to welcoming you again soon.
Kind Regards,
Andrew Fare
General Manager
Ashworth By The Sea
                              Powered by Medallia
Please do not “Reply” to this invitation.
To unsubscribe: We rely on feedback from guests to ensure that your stay will
meet and exceed your expectations. If, however, you would not like to receive a
survey invitation in the future, please click this link:
https://survey10.medallia.com/?eh5kdmykfd94wn22m9crht&amp;reject=begin, to
unsubscribe to our guest satisfaction surveys.
Should you need help accessing or completing this survey, please visit:
surveysupport.medallia.com
</t>
  </si>
  <si>
    <t xml:space="preserve">Pre-check in for your stay at Ashworth by the Sea
                                  Hi CHARLES,
  Use the link below to check in before your arrival to speed up the process!
                      Upgrades and more may be available!
                                  Pre Check-In
 When you arrive, please present your photo ID and credit card. See you soon -
                                 safe travels!
            This is an automated message from Ashworth by the Sea -
                         frontdesk@ashworthbythesea.com
                         ©2026  |  All Rights Reserved
              295 Ocean Blvd. , Hampton, NH, 03842, United States
                            Call us at  603-926-6762
                            Privacy Policy  |  FAQs
</t>
  </si>
  <si>
    <t>+19787585083</t>
  </si>
  <si>
    <t>Dear Gwendolyn,
This is Ashworth By The Sea Hotel. Make sure to complete the pre-arrival check-in for your upcoming stay:
https://mobility.stayntouch.com/checkin/url/linabs/canary. 
You can reach out to the front desk by responding to this message any time. Reply QUIT to stop.</t>
  </si>
  <si>
    <t>Hi Gwendolyn,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</si>
  <si>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+19787717513</t>
  </si>
  <si>
    <t>Hi Christopher,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</si>
  <si>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Tried to set up check out time but it's set to 11. We did pay for the late 2pm check out just wanted to verify</t>
  </si>
  <si>
    <t>+19788082131</t>
  </si>
  <si>
    <t>Dear Jena,
This is Ashworth By The Sea Hotel. Make sure to complete the pre-arrival check-in for your upcoming stay:
https://mobility.stayntouch.com/checkin/url/linabs/canary. 
You can reach out to the front desk by responding to this message any time. Reply QUIT to stop.</t>
  </si>
  <si>
    <t>Hi Jena,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</si>
  <si>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+19788152963</t>
  </si>
  <si>
    <t>Hi Valentina,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</si>
  <si>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Valentina,
This is Ashworth By The Sea Hotel. Make sure to complete the pre-arrival check-in for your upcoming stay:
https://mobility.stayntouch.com/checkin/url/linabs/canary. 
You can reach out to the front desk by responding to this message any time. Reply QUIT to stop.</t>
  </si>
  <si>
    <t>+19788446060</t>
  </si>
  <si>
    <t>Hi Sean,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</si>
  <si>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+19788666794</t>
  </si>
  <si>
    <t xml:space="preserve">Ashworth By The Sea Hotel - Set checkout time now
Contactless Checkout
Hello Eleanor,
Your departure is coming up. Use the link below to set your checkout time.
https://mobility.stayntouch.com/checkout/ashworthbythesea
We hope you enjoyed your stay.
Sincerely,
Ashworth By The Sea Hotel
       Ashworth By The Sea Hotel | 295 Ocean Blvd, Hampton, NH 03842-3629
Canary Technologies logo Powered by Canary Technologies • Unsubscribe • Privacy
                                     Policy
</t>
  </si>
  <si>
    <t xml:space="preserve">How was your stay at Ashworth By The Sea? 3 Minute Survey
Please share your feedback with Medallia
                    Thank you so much for your recent stay.
                      ‌ ‌ ‌ ‌ ‌ ‌ ‌ ‌ ‌ ‌ ‌ ‌ ‌ ‌ ‌ ‌ ‌ ‌ 
alt_text
Dear Eleanor Sweet,
We hope you enjoyed your recent stay at Ashworth By The Sea, where you checked
out on July 28, 2026.
We genuinely care about your experience with us, and we'd really appreciate your
feedback — it will only take a few minutes.
How likely are you to recommend Ashworth By The Sea to a friend or colleague?
Not at all Likely                                               Extremely Likely
┌──────┬──────┬──────┬──────┬──────┬──────┬──────┬──────┬──────┬──────┬────────┐
│  0   │  1   │  2   │  3   │  4   │  5   │  6   │  7   │  8   │  9   │   10   │
└──────┴──────┴──────┴──────┴──────┴──────┴──────┴──────┴──────┴──────┴────────┘
By completing this survey, you may be contacted by the hotel to help improve the
quality of service provided.
We appreciate your opinion and look forward to welcoming you again soon.
Kind Regards,
Andrew Fare
General Manager
Ashworth By The Sea
                              Powered by Medallia
Please do not “Reply” to this invitation.
To unsubscribe: We rely on feedback from guests to ensure that your stay will
meet and exceed your expectations. If, however, you would not like to receive a
survey invitation in the future, please click this link:
https://survey10.medallia.com/?ew8pv97ffd94wn22m9crht&amp;reject=begin, to
unsubscribe to our guest satisfaction surveys.
Should you need help accessing or completing this survey, please visit:
surveysupport.medallia.com
</t>
  </si>
  <si>
    <t>Hi Eleanor,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</si>
  <si>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 xml:space="preserve">INVOICE: Ashworth by the Sea | 107761
Thank you for staying at Ashworth by the Sea. Your invoice is attached.
</t>
  </si>
  <si>
    <t>+19788860617</t>
  </si>
  <si>
    <t xml:space="preserve">Pre-check in for your stay at Ashworth by the Sea
                                 Hi Elizabeth,
  Use the link below to check in before your arrival to speed up the process!
                      Upgrades and more may be available!
                                  Pre Check-In
 When you arrive, please present your photo ID and credit card. See you soon -
                                 safe travels!
            This is an automated message from Ashworth by the Sea -
                         frontdesk@ashworthbythesea.com
                         ©2026  |  All Rights Reserved
              295 Ocean Blvd. , Hampton, NH, 03842, United States
                            Call us at  603-926-6762
                            Privacy Policy  |  FAQs
</t>
  </si>
  <si>
    <t xml:space="preserve">Reminder : How was your stay at Ashworth By The Sea? 3 Minute Survey
Please share your feedback with Medallia
                    Thank you so much for your recent stay.
                      ‌ ‌ ‌ ‌ ‌ ‌ ‌ ‌ ‌ ‌ ‌ ‌ ‌ ‌ ‌ ‌ ‌ ‌ 
alt_text
Dear Elizabeth Dudula,
A few days ago, we sent you an invitation for you to provide us with valuable
feedback regarding your recent stay with us at Ashworth By The Sea, where you
checked out on July 17, 2026.
We would still like to hear about your stay and understand if we met your
expectations. It's easy and will only take a few minutes.
How likely are you to recommend Ashworth By The Sea to a friend or colleague?
Not at all Likely                                               Extremely Likely
┌──────┬──────┬──────┬──────┬──────┬──────┬──────┬──────┬──────┬──────┬────────┐
│  0   │  1   │  2   │  3   │  4   │  5   │  6   │  7   │  8   │  9   │   10   │
└──────┴──────┴──────┴──────┴──────┴──────┴──────┴──────┴──────┴──────┴────────┘
This is the only reminder you will receive from us. If you have already
completed this online form, please disregard this email and thank you for
sharing your opinions with us.
Sincerely,
Andrew Fare
General Manager
Ashworth By The Sea
                              Powered by Medallia
Please do not “Reply” to this invitation.
To unsubscribe: We rely on feedback from guests to ensure that your stay will
meet and exceed your expectations. If, however, you would not like to receive a
survey invitation in the future, please click this link:
https://survey10.medallia.com/?emxwk8ykfd94wn22m9crht&amp;reject=begin, to
unsubscribe to our guest satisfaction surveys.
Should you need help accessing or completing this survey, please visit:
surveysupport.medallia.com
</t>
  </si>
  <si>
    <t>Thank you for letting us know. No, you would not have to pay for both the night and the cancellation fee. The cancellation fee would be the room night amount. So sorry to hear! We hope you can stay with us in the future!</t>
  </si>
  <si>
    <t xml:space="preserve">Complete pre-arrival check-in - Ashworth By The Sea Hotel
Contactless Check-In
Hello Elizabeth,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Canary Technologies logo Powered by Canary Technologies • Unsubscribe • Privacy
                                     Policy
</t>
  </si>
  <si>
    <t>Request declined</t>
  </si>
  <si>
    <t xml:space="preserve">Hello, I will be unable to travel today because I just tested positive for Covid. I already paid for my room, and noticed there’s a cancelation fee. Do I need to pay for both my room and the cancellation fee? I’m sorry for the late notice, but just received my results and don’t want to get anyone in the hotel sick. </t>
  </si>
  <si>
    <t>From Booking.com: This guest wants to modify their booking. Because of the way this request was sent, please respond via the extranet. Note: Replies sent through any other channel will not be recorded.
"Unable to travel due to illness"</t>
  </si>
  <si>
    <t xml:space="preserve">INVOICE: Ashworth by the Sea | 106257
Thank you for staying at Ashworth by the Sea. Your invoice is attached.
</t>
  </si>
  <si>
    <t>I'd like to request check-in at 03:00 - 04:00. Is this ok?</t>
  </si>
  <si>
    <t xml:space="preserve">How was your stay at Ashworth By The Sea? 3 Minute Survey
Please share your feedback with Medallia
                    Thank you so much for your recent stay.
                      ‌ ‌ ‌ ‌ ‌ ‌ ‌ ‌ ‌ ‌ ‌ ‌ ‌ ‌ ‌ ‌ ‌ ‌ 
alt_text
Dear Elizabeth Dudula,
We hope you enjoyed your recent stay at Ashworth By The Sea, where you checked
out on July 17, 2026.
We genuinely care about your experience with us, and we'd really appreciate your
feedback — it will only take a few minutes.
How likely are you to recommend Ashworth By The Sea to a friend or colleague?
Not at all Likely                                               Extremely Likely
┌──────┬──────┬──────┬──────┬──────┬──────┬──────┬──────┬──────┬──────┬────────┐
│  0   │  1   │  2   │  3   │  4   │  5   │  6   │  7   │  8   │  9   │   10   │
└──────┴──────┴──────┴──────┴──────┴──────┴──────┴──────┴──────┴──────┴────────┘
By completing this survey, you may be contacted by the hotel to help improve the
quality of service provided.
We appreciate your opinion and look forward to welcoming you again soon.
Kind Regards,
Andrew Fare
General Manager
Ashworth By The Sea
                              Powered by Medallia
Please do not “Reply” to this invitation.
To unsubscribe: We rely on feedback from guests to ensure that your stay will
meet and exceed your expectations. If, however, you would not like to receive a
survey invitation in the future, please click this link:
https://survey10.medallia.com/?emxwk8ykfd94wn22m9crht&amp;reject=begin, to
unsubscribe to our guest satisfaction surveys.
Should you need help accessing or completing this survey, please visit:
surveysupport.medallia.com
</t>
  </si>
  <si>
    <t>+19788947159</t>
  </si>
  <si>
    <t>Hi Israel,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</si>
  <si>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Israel,
This is Ashworth By The Sea Hotel. Make sure to complete the pre-arrival check-in for your upcoming stay:
https://mobility.stayntouch.com/checkin/url/linabs/canary. 
You can reach out to the front desk by responding to this message any time. Reply QUIT to stop.</t>
  </si>
  <si>
    <t>+19789027705</t>
  </si>
  <si>
    <t xml:space="preserve">Complete pre-arrival check-in - Ashworth By The Sea Hotel
Contactless Check-In
Hello Bergeron,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Canary Technologies logo Powered by Canary Technologies • Unsubscribe • Privacy
                                     Policy
</t>
  </si>
  <si>
    <t>Dear Bergeron,
This is Ashworth By The Sea Hotel. Make sure to complete the pre-arrival check-in for your upcoming stay:
https://mobility.stayntouch.com/checkin/url/linabs/canary. 
You can reach out to the front desk by responding to this message any time. Reply QUIT to stop.</t>
  </si>
  <si>
    <t>Hi Bergeron,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</si>
  <si>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 xml:space="preserve">Pre-check in for your stay at Ashworth by the Sea
                                  Hi Bergeron,
  Use the link below to check in before your arrival to speed up the process!
                      Upgrades and more may be available!
                                  Pre Check-In
 When you arrive, please present your photo ID and credit card. See you soon -
                                 safe travels!
            This is an automated message from Ashworth by the Sea -
                         frontdesk@ashworthbythesea.com
                         ©2026  |  All Rights Reserved
              295 Ocean Blvd. , Hampton, NH, 03842, United States
                            Call us at  603-926-6762
                            Privacy Policy  |  FAQs
</t>
  </si>
  <si>
    <t>+19789065352</t>
  </si>
  <si>
    <t>Dear Donna,
This is Ashworth By The Sea Hotel. Make sure to complete the pre-arrival check-in for your upcoming stay:
https://mobility.stayntouch.com/checkin/url/linabs/canary. 
You can reach out to the front desk by responding to this message any time. Reply QUIT to stop.</t>
  </si>
  <si>
    <t>Hi Donna,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</si>
  <si>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+19789795701</t>
  </si>
  <si>
    <t>Hi Caroline,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</si>
  <si>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Caroline,
This is Ashworth By The Sea Hotel. Make sure to complete the pre-arrival check-in for your upcoming stay:
https://mobility.stayntouch.com/checkin/url/linabs/canary. 
You can reach out to the front desk by responding to this message any time. Reply QUIT to stop.</t>
  </si>
  <si>
    <t>+19789796521</t>
  </si>
  <si>
    <t>+19789871911</t>
  </si>
  <si>
    <t>Hi Mary,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</si>
  <si>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+19789879609</t>
  </si>
  <si>
    <t>Hi Patricia,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</si>
  <si>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+8613918503500</t>
  </si>
  <si>
    <t>Dear Ming,
This is Ashworth By The Sea Hotel. Make sure to complete the pre-arrival check-in for your upcoming stay:
https://mobility.stayntouch.com/checkin/url/linabs/canary. 
You can reach out to the front desk by responding to this message any time. Reply QUIT to stop.</t>
  </si>
  <si>
    <t>Hi Ming,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</si>
  <si>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+972524284284</t>
  </si>
  <si>
    <t>Hi shlomo,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</si>
  <si>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 xml:space="preserve">Reminder : How was your stay at Ashworth By The Sea? 3 Minute Survey
Please share your feedback with Medallia
                    Thank you so much for your recent stay.
                      ‌ ‌ ‌ ‌ ‌ ‌ ‌ ‌ ‌ ‌ ‌ ‌ ‌ ‌ ‌ ‌ ‌ ‌ 
alt_text
Dear Shlomo Ashkenazi,
A few days ago, we sent you an invitation for you to provide us with valuable
feedback regarding your recent stay with us at Ashworth By The Sea, where you
checked out on July 13, 2026.
We would still like to hear about your stay and understand if we met your
expectations. It's easy and will only take a few minutes.
How likely are you to recommend Ashworth By The Sea to a friend or colleague?
Not at all Likely                                               Extremely Likely
┌──────┬──────┬──────┬──────┬──────┬──────┬──────┬──────┬──────┬──────┬────────┐
│  0   │  1   │  2   │  3   │  4   │  5   │  6   │  7   │  8   │  9   │   10   │
└──────┴──────┴──────┴──────┴──────┴──────┴──────┴──────┴──────┴──────┴────────┘
This is the only reminder you will receive from us. If you have already
completed this online form, please disregard this email and thank you for
sharing your opinions with us.
Sincerely,
Andrew Fare
General Manager
Ashworth By The Sea
                              Powered by Medallia
Please do not “Reply” to this invitation.
To unsubscribe: We rely on feedback from guests to ensure that your stay will
meet and exceed your expectations. If, however, you would not like to receive a
survey invitation in the future, please click this link:
https://survey10.medallia.com/?e5b8fyykfd94wn22m9crht&amp;reject=begin, to
unsubscribe to our guest satisfaction surveys.
Should you need help accessing or completing this survey, please visit:
surveysupport.medallia.com
</t>
  </si>
  <si>
    <t xml:space="preserve">Ashworth By The Sea Hotel - Set checkout time now
Contactless Checkout
Hello shlomo,
Your departure is coming up. Use the link below to set your checkout time.
https://mobility.stayntouch.com/checkout/ashworthbythesea
We hope you enjoyed your stay.
Sincerely,
Ashworth By The Sea Hotel
Ashworth By The Sea Hotel | 295 Ocean Blvd, Hampton, NH 03842-3629
Canary Technologies logo Powered by Canary Technologies • Unsubscribe • Privacy
Policy
</t>
  </si>
  <si>
    <t xml:space="preserve">INVOICE: Ashworth by the Sea | 107001
Thank you for staying at Ashworth by the Sea. Your invoice is attached.
</t>
  </si>
  <si>
    <t xml:space="preserve">How was your stay at Ashworth By The Sea? 3 Minute Survey
Please share your feedback with Medallia
Thank you so much for your recent stay.
‌ ‌ ‌ ‌ ‌ ‌ ‌ ‌ ‌ ‌ ‌ ‌ ‌ ‌ ‌ ‌ ‌ ‌ 
alt_text
Dear Shlomo Ashkenazi,
We hope you enjoyed your recent stay at Ashworth By The Sea, where you checked
out on July 13, 2026.
We genuinely care about your experience with us, and we'd really appreciate your
feedback — it will only take a few minutes.
How likely are you to recommend Ashworth By The Sea to a friend or colleague?
Not at all Likely                        Extremely Likely
0       1       2      3      4      5      6      7      8      9      10
By completing this survey, you may be contacted by the hotel to help improve the
quality of service provided.
We appreciate your opinion and look forward to welcoming you again soon.
Kind Regards,
Andrew Fare
General Manager
Ashworth By The Sea
Powered by Medallia
Please do not “Reply” to this invitation.
To unsubscribe: We rely on feedback from guests to ensure that your stay will
meet and exceed your expectations. If, however, you would not like to receive a
survey invitation in the future, please click this link:
https://survey10.medallia.com/?e5b8fyykfd94wn22m9crht&amp;reject=begin, to
unsubscribe to our guest satisfaction surveys.
Should you need help accessing or completing this survey, please visit:
surveysupport.medallia.com
</t>
  </si>
  <si>
    <t>Hi Rich,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</si>
  <si>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Hello Rich, your room is ready! Please stop by the front desk at your earliest convenience to complete check-in and pick up your room keys. We look forward to welcoming you!</t>
  </si>
  <si>
    <t>Dear Rich,
This is Ashworth By The Sea Hotel. Make sure to complete the pre-arrival check-in for your upcoming stay:
https://mobility.stayntouch.com/checkin/url/linabs/canary. 
You can reach out to the front desk by responding to this message any time. Reply QUIT to stop.</t>
  </si>
  <si>
    <t>Hi! Do you have a fitness center?</t>
  </si>
  <si>
    <t>We unfortunately do not have a fitness center. Apologies for any inconvenience.</t>
  </si>
  <si>
    <t>Hi Derek,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</si>
  <si>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Derek,
This is Ashworth By The Sea Hotel. Make sure to complete the pre-arrival check-in for your upcoming stay:
https://mobility.stayntouch.com/checkin/url/linabs/canary. 
You can reach out to the front desk by responding to this message any time. Reply QUIT to stop.</t>
  </si>
  <si>
    <t>Hi Allan,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</si>
  <si>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Allan,
This is Ashworth By The Sea Hotel. Make sure to complete the pre-arrival check-in for your upcoming stay:
https://mobility.stayntouch.com/checkin/url/linabs/canary. 
You can reach out to the front desk by responding to this message any time. Reply QUIT to stop.</t>
  </si>
  <si>
    <t>Hello Jennifer, we offer early check in at 1pm for $75 and 2pm for $50 if you like we can add either one of those early check in times to your reservation.</t>
  </si>
  <si>
    <t xml:space="preserve">Complete pre-arrival check-in - Ashworth By The Sea Hotel
Contactless Check-In
Hello Jennifer,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+16039266762
Canary Technologies logo Powered by Canary Technologies • Unsubscribe • Privacy
                                     Policy
</t>
  </si>
  <si>
    <t>Any chance of getting into the room a little earlier</t>
  </si>
  <si>
    <t>Hi Ruth,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</si>
  <si>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Dear Davis,
This is Ashworth By The Sea Hotel. Make sure to complete the pre-arrival check-in for your upcoming stay:
https://mobility.stayntouch.com/checkin/url/linabs/canary. 
You can reach out to the front desk by responding to this message any time. Reply QUIT to stop.</t>
  </si>
  <si>
    <t>Hi Davis,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</si>
  <si>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Hi Sandra,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</si>
  <si>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Sandra,
This is Ashworth By The Sea Hotel. Make sure to complete the pre-arrival check-in for your upcoming stay:
https://mobility.stayntouch.com/checkin/url/linabs/canary. 
You can reach out to the front desk by responding to this message any time. Reply QUIT to stop.</t>
  </si>
  <si>
    <t>Hi Marie-Christine,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</si>
  <si>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Marie-Christine,
This is Ashworth By The Sea Hotel. Make sure to complete the pre-arrival check-in for your upcoming stay:
https://mobility.stayntouch.com/checkin/url/linabs/canary. 
You can reach out to the front desk by responding to this message any time. Reply QUIT to stop.</t>
  </si>
  <si>
    <t>Dear Peggy,
This is Ashworth By The Sea Hotel. Make sure to complete the pre-arrival check-in for your upcoming stay:
https://mobility.stayntouch.com/checkin/url/linabs/canary. 
You can reach out to the front desk by responding to this message any time. Reply QUIT to stop.</t>
  </si>
  <si>
    <t>Hi Peggy,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</si>
  <si>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Valerie,
This is Ashworth By The Sea Hotel. Make sure to complete the pre-arrival check-in for your upcoming stay:
https://mobility.stayntouch.com/checkin/url/linabs/canary. 
You can reach out to the front desk by responding to this message any time. Reply QUIT to stop.</t>
  </si>
  <si>
    <t>Hi Valerie,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</si>
  <si>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Trying to do the pre-arrival check in.  Keeps saying multiple reservations.  I do have four rooms under one confirmation number.  Conf. #556798868.   I have also tried calling since 3 pm.     What do I need to do to do this pre arrival check in.  Check in date is Monday, July 6th and check out is July 10th.</t>
  </si>
  <si>
    <t>Still no response, phone goes right to voicemail saying mail box is full at 9:19 pm.   Trying to do the pre arrival check in.</t>
  </si>
  <si>
    <t>Hi Dennis,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</si>
  <si>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Dennis,
This is Ashworth By The Sea Hotel. Make sure to complete the pre-arrival check-in for your upcoming stay:
https://mobility.stayntouch.com/checkin/url/linabs/canary. 
You can reach out to the front desk by responding to this message any time. Reply QUIT to stop.</t>
  </si>
  <si>
    <t>Hi Patrick,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</si>
  <si>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Patrick,
This is Ashworth By The Sea Hotel. Make sure to complete the pre-arrival check-in for your upcoming stay:
https://mobility.stayntouch.com/checkin/url/linabs/canary. 
You can reach out to the front desk by responding to this message any time. Reply QUIT to stop.</t>
  </si>
  <si>
    <t>Dear Chuck,
This is Ashworth By The Sea Hotel. Make sure to complete the pre-arrival check-in for your upcoming stay:
https://mobility.stayntouch.com/checkin/url/linabs/canary. 
You can reach out to the front desk by responding to this message any time. Reply QUIT to stop.</t>
  </si>
  <si>
    <t>Hi Chuck,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</si>
  <si>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Hi Roger,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</si>
  <si>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Roger,
This is Ashworth By The Sea Hotel. Make sure to complete the pre-arrival check-in for your upcoming stay:
https://mobility.stayntouch.com/checkin/url/linabs/canary. 
You can reach out to the front desk by responding to this message any time. Reply QUIT to stop.</t>
  </si>
  <si>
    <t>Dear Owen,
This is Ashworth By The Sea Hotel. Make sure to complete the pre-arrival check-in for your upcoming stay:
https://mobility.stayntouch.com/checkin/url/linabs/canary. 
You can reach out to the front desk by responding to this message any time. Reply QUIT to stop.</t>
  </si>
  <si>
    <t>Hi Owen,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</si>
  <si>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Douglas,
This is Ashworth By The Sea Hotel. Make sure to complete the pre-arrival check-in for your upcoming stay:
https://mobility.stayntouch.com/checkin/url/linabs/canary. 
You can reach out to the front desk by responding to this message any time. Reply QUIT to stop.</t>
  </si>
  <si>
    <t>Dear Debbie,
This is Ashworth By The Sea Hotel. Make sure to complete the pre-arrival check-in for your upcoming stay:
https://mobility.stayntouch.com/checkin/url/linabs/canary. 
You can reach out to the front desk by responding to this message any time. Reply QUIT to stop.</t>
  </si>
  <si>
    <t>Hi Debbie,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</si>
  <si>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Dear mathew,
This is Ashworth By The Sea Hotel. Make sure to complete the pre-arrival check-in for your upcoming stay:
https://mobility.stayntouch.com/checkin/url/linabs/canary. 
You can reach out to the front desk by responding to this message any time. Reply QUIT to stop.</t>
  </si>
  <si>
    <t>Hi mathew,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</si>
  <si>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Hi Rita,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</si>
  <si>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Dear Rita,
This is Ashworth By The Sea Hotel. Make sure to complete the pre-arrival check-in for your upcoming stay:
https://mobility.stayntouch.com/checkin/url/linabs/canary. 
You can reach out to the front desk by responding to this message any time. Reply QUIT to stop.</t>
  </si>
  <si>
    <t>Hi Pamela,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</si>
  <si>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Hi Teresa,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</si>
  <si>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Teresa,
This is Ashworth By The Sea Hotel. Make sure to complete the pre-arrival check-in for your upcoming stay:
https://mobility.stayntouch.com/checkin/url/linabs/canary. 
You can reach out to the front desk by responding to this message any time. Reply QUIT to stop.</t>
  </si>
  <si>
    <t>Hi Joanellen,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</si>
  <si>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Joanellen,
This is Ashworth By The Sea Hotel. Make sure to complete the pre-arrival check-in for your upcoming stay:
https://mobility.stayntouch.com/checkin/url/linabs/canary. 
You can reach out to the front desk by responding to this message any time. Reply QUIT to stop.</t>
  </si>
  <si>
    <t>Dear Pierre-Luc,
This is Ashworth By The Sea Hotel. Make sure to complete the pre-arrival check-in for your upcoming stay:
https://mobility.stayntouch.com/checkin/url/linabs/canary. 
You can reach out to the front desk by responding to this message any time. Reply QUIT to stop.</t>
  </si>
  <si>
    <t>Hi Judith,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</si>
  <si>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Dear Betsy,
This is Ashworth By The Sea Hotel. Make sure to complete the pre-arrival check-in for your upcoming stay:
https://mobility.stayntouch.com/checkin/url/linabs/canary. 
You can reach out to the front desk by responding to this message any time. Reply QUIT to stop.</t>
  </si>
  <si>
    <t>Hi Dondi,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</si>
  <si>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Dear Lorraine,
This is Ashworth By The Sea Hotel. Make sure to complete the pre-arrival check-in for your upcoming stay:
https://mobility.stayntouch.com/checkin/url/linabs/canary. 
You can reach out to the front desk by responding to this message any time. Reply QUIT to stop.</t>
  </si>
  <si>
    <t>Hi Jeremy,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</si>
  <si>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Dear Aaron,
This is Ashworth By The Sea Hotel. Make sure to complete the pre-arrival check-in for your upcoming stay:
https://mobility.stayntouch.com/checkin/url/linabs/canary. 
You can reach out to the front desk by responding to this message any time. Reply QUIT to stop.</t>
  </si>
  <si>
    <t>Hi Betsy,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</si>
  <si>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Hi Jason,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</si>
  <si>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Hi Dexter,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</si>
  <si>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Dexter,
This is Ashworth By The Sea Hotel. Make sure to complete the pre-arrival check-in for your upcoming stay:
https://mobility.stayntouch.com/checkin/url/linabs/canary. 
You can reach out to the front desk by responding to this message any time. Reply QUIT to stop.</t>
  </si>
  <si>
    <t>Hi Inga,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</si>
  <si>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Inga,
This is Ashworth By The Sea Hotel. Make sure to complete the pre-arrival check-in for your upcoming stay:
https://mobility.stayntouch.com/checkin/url/linabs/canary. 
You can reach out to the front desk by responding to this message any time. Reply QUIT to stop.</t>
  </si>
  <si>
    <t>Hi Todd,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</si>
  <si>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 xml:space="preserve">Both my girlfriend and I noticed an odor coming from the sink when the water is running. We did not notice it in the shower. I believe it may be bacteria in the sink drain. Just writing to let you know and to make sure there is no known issue with the potable water. We will be using bottled water to brush and wash our hands for the remainder of our stay. 
Thank you 
</t>
  </si>
  <si>
    <t>Dear Todd,
This is Ashworth By The Sea Hotel. Make sure to complete the pre-arrival check-in for your upcoming stay:
https://mobility.stayntouch.com/checkin/url/linabs/canary. 
You can reach out to the front desk by responding to this message any time. Reply QUIT to stop.</t>
  </si>
  <si>
    <t>Hi Todd, sorry for the delayed response. Would you like our maintenance team to look into this?</t>
  </si>
  <si>
    <t>No, that's OK. I just wanted to bring it to your attention. We are leaving tomorrow so maybe before the next guest shows up.</t>
  </si>
  <si>
    <t>Yes thank you for letting us know. Could you please remind us at check out so we can have someone take a look before the next guests show!</t>
  </si>
  <si>
    <t>Dear Christa,
This is Ashworth By The Sea Hotel. Make sure to complete the pre-arrival check-in for your upcoming stay:
https://mobility.stayntouch.com/checkin/url/linabs/canary. 
You can reach out to the front desk by responding to this message any time. Reply QUIT to stop.</t>
  </si>
  <si>
    <t>Hi Christa,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</si>
  <si>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Hi Diane,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</si>
  <si>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Celebrating our 10th anniversary during our stay! We would love any complimentary anniversary amenities you might have available, though we totally understand if none are available. 
Dates: 8/13-8/17</t>
  </si>
  <si>
    <t>Hi Michaela,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</si>
  <si>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JOHN,
This is Ashworth By The Sea Hotel. Make sure to complete the pre-arrival check-in for your upcoming stay:
https://mobility.stayntouch.com/checkin/url/linabs/canary. 
You can reach out to the front desk by responding to this message any time. Reply QUIT to stop.</t>
  </si>
  <si>
    <t>Hi JOHN,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</si>
  <si>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Hi Joseph T,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</si>
  <si>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Joseph T,
This is Ashworth By The Sea Hotel. Make sure to complete the pre-arrival check-in for your upcoming stay:
https://mobility.stayntouch.com/checkin/url/linabs/canary. 
You can reach out to the front desk by responding to this message any time. Reply QUIT to stop.</t>
  </si>
  <si>
    <t>Dear Andrea,
This is Ashworth By The Sea Hotel. Make sure to complete the pre-arrival check-in for your upcoming stay:
https://mobility.stayntouch.com/checkin/url/linabs/canary. 
You can reach out to the front desk by responding to this message any time. Reply QUIT to stop.</t>
  </si>
  <si>
    <t>Hi Andrea,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</si>
  <si>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Stephanier,
This is Ashworth By The Sea Hotel. Make sure to complete the pre-arrival check-in for your upcoming stay:
https://mobility.stayntouch.com/checkin/url/linabs/canary. 
You can reach out to the front desk by responding to this message any time. Reply QUIT to stop.</t>
  </si>
  <si>
    <t>Hi Stephanier,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</si>
  <si>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Hi Joey,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</si>
  <si>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Joey,
This is Ashworth By The Sea Hotel. Make sure to complete the pre-arrival check-in for your upcoming stay:
https://mobility.stayntouch.com/checkin/url/linabs/canary. 
You can reach out to the front desk by responding to this message any time. Reply QUIT to stop.</t>
  </si>
  <si>
    <t>Hi Suzelle,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</si>
  <si>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Hi Aaron,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</si>
  <si>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Hi Jacob,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</si>
  <si>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Hi Shanna,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</si>
  <si>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Id like to book aug 3 tp 4, thru your link it says nothing available. Online search says yes...</t>
  </si>
  <si>
    <t>I did!</t>
  </si>
  <si>
    <t>why cant I book the dates I want with your code, but online I can. your link says nothing available</t>
  </si>
  <si>
    <t>What code were you trying to use?</t>
  </si>
  <si>
    <t>Hi Courtney,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</si>
  <si>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Carl,
This is Ashworth By The Sea Hotel. Make sure to complete the pre-arrival check-in for your upcoming stay:
https://mobility.stayntouch.com/checkin/url/linabs/canary. 
You can reach out to the front desk by responding to this message any time. Reply QUIT to stop.</t>
  </si>
  <si>
    <t>Hi Carl,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</si>
  <si>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Good afternoon Andrew, Please let us know if you would like us to re-book this reservation for you. Ashworth by the Sea 603 926 6762</t>
  </si>
  <si>
    <t>Good morning Andrew,
We are sorry to inform you that our hotel has overbooked for the dates of August 7th and August 8th 2026. We would like you to rebook with us on another date or cancel with a full refund. Please reach out to the hotel at 603 926 6762.
Thank you The Ashworth by the Sea</t>
  </si>
  <si>
    <t>Hi Christine,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</si>
  <si>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Hi Morgan,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</si>
  <si>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Morgan,
This is Ashworth By The Sea Hotel. Make sure to complete the pre-arrival check-in for your upcoming stay:
https://mobility.stayntouch.com/checkin/url/linabs/canary. 
You can reach out to the front desk by responding to this message any time. Reply QUIT to stop.</t>
  </si>
  <si>
    <t>Okay, I will set this up for you!</t>
  </si>
  <si>
    <t>Hello Justin, your room is ready! Please stop by the front desk at your earliest convenience to complete check-in and pick up your room keys. We look forward to welcoming you!</t>
  </si>
  <si>
    <t>Do I need to complete this since I came in earlier?</t>
  </si>
  <si>
    <t>No. You are all set.</t>
  </si>
  <si>
    <t>Sure that would be fun!</t>
  </si>
  <si>
    <t>Thanks!</t>
  </si>
  <si>
    <t>10:30pm sir</t>
  </si>
  <si>
    <t>No thanks</t>
  </si>
  <si>
    <t>I apologize the cookies are $16, would you still like to add this amenity?</t>
  </si>
  <si>
    <t>We love non-alcoholic!  That’s ok…we’ll figure it out :)</t>
  </si>
  <si>
    <t>Thank you! Look forward to seeing you!</t>
  </si>
  <si>
    <t>Awesome thanks!</t>
  </si>
  <si>
    <t>Hey when is the band going to quit tonight?</t>
  </si>
  <si>
    <t>Maybe an upgrade to an ocean side room if there’s one not occupied?</t>
  </si>
  <si>
    <t>We have a milk and chocolate cookie option as well for $12!</t>
  </si>
  <si>
    <t>Unfortunately, we are completely booked for this weekend. Luckily, your room has a partial view and a balcony! We can try to get you closer to the front!</t>
  </si>
  <si>
    <t>Ok awesome thanks so much :)</t>
  </si>
  <si>
    <t>It’s my wife and i’s 5th anniversary!  Anything special we can do?</t>
  </si>
  <si>
    <t>Hello, congrats!! We can add a bottle of champagne to celebrate; it would be $42, or we could do wine for the same price?</t>
  </si>
  <si>
    <t>☺️</t>
  </si>
  <si>
    <t>Okay I'm sorry.</t>
  </si>
  <si>
    <t>Dear Fabien,
This is Ashworth By The Sea Hotel. Make sure to complete the pre-arrival check-in for your upcoming stay:
https://mobility.stayntouch.com/checkin/url/linabs/canary. 
You can reach out to the front desk by responding to this message any time. Reply QUIT to stop.</t>
  </si>
  <si>
    <t>Hi Fabien,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</si>
  <si>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Hi kathy,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</si>
  <si>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Hi Katharine,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</si>
  <si>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Katharine,
This is Ashworth By The Sea Hotel. Make sure to complete the pre-arrival check-in for your upcoming stay:
https://mobility.stayntouch.com/checkin/url/linabs/canary. 
You can reach out to the front desk by responding to this message any time. Reply QUIT to stop.</t>
  </si>
  <si>
    <t>Hi Christine,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</si>
  <si>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Hi Amber,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</si>
  <si>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Raul,
This is Ashworth By The Sea Hotel. Make sure to complete the pre-arrival check-in for your upcoming stay:
https://mobility.stayntouch.com/checkin/url/linabs/canary. 
You can reach out to the front desk by responding to this message any time. Reply QUIT to stop.</t>
  </si>
  <si>
    <t>Name of others guests: Raul Reyes IIII;</t>
  </si>
  <si>
    <t>Hi Raul,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</si>
  <si>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Hi Vanessa,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</si>
  <si>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Casey,
This is Ashworth By The Sea Hotel. Make sure to complete the pre-arrival check-in for your upcoming stay:
https://mobility.stayntouch.com/checkin/url/linabs/canary. 
You can reach out to the front desk by responding to this message any time. Reply QUIT to stop.</t>
  </si>
  <si>
    <t>Dear Wayne,
This is Ashworth By The Sea Hotel. Make sure to complete the pre-arrival check-in for your upcoming stay:
https://mobility.stayntouch.com/checkin/url/linabs/canary. 
You can reach out to the front desk by responding to this message any time. Reply QUIT to stop.</t>
  </si>
  <si>
    <t>Hi Wayne,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</si>
  <si>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Big cumumber eating</t>
  </si>
  <si>
    <t>In mouth</t>
  </si>
  <si>
    <t>Sunset</t>
  </si>
  <si>
    <t>Hi Seth,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</si>
  <si>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Hi Ruben,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</si>
  <si>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Hi Marissa,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</si>
  <si>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Hi Tonya,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</si>
  <si>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Dear Tonya,
This is Ashworth By The Sea Hotel. Make sure to complete the pre-arrival check-in for your upcoming stay:
https://mobility.stayntouch.com/checkin/url/linabs/canary. 
You can reach out to the front desk by responding to this message any time. Reply QUIT to stop.</t>
  </si>
  <si>
    <t>Hi Ronald,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</si>
  <si>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Dear Kirsten,
This is Ashworth By The Sea Hotel. Make sure to complete the pre-arrival check-in for your upcoming stay:
https://mobility.stayntouch.com/checkin/url/linabs/canary. 
You can reach out to the front desk by responding to this message any time. Reply QUIT to stop.</t>
  </si>
  <si>
    <t>Hi Kirsten,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</si>
  <si>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Hi Rafiq,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</si>
  <si>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Rafiq,
This is Ashworth By The Sea Hotel. Make sure to complete the pre-arrival check-in for your upcoming stay:
https://mobility.stayntouch.com/checkin/url/linabs/canary. 
You can reach out to the front desk by responding to this message any time. Reply QUIT to stop.</t>
  </si>
  <si>
    <t>Dear Tania,
This is Ashworth By The Sea Hotel. Make sure to complete the pre-arrival check-in for your upcoming stay:
https://mobility.stayntouch.com/checkin/url/linabs/canary. 
You can reach out to the front desk by responding to this message any time. Reply QUIT to stop.</t>
  </si>
  <si>
    <t>It would have been nice to know at check in</t>
  </si>
  <si>
    <t>Dear Alisha,
This is Ashworth By The Sea Hotel. Make sure to complete the pre-arrival check-in for your upcoming stay:
https://mobility.stayntouch.com/checkin/url/linabs/canary. 
You can reach out to the front desk by responding to this message any time. Reply QUIT to stop.</t>
  </si>
  <si>
    <t>Hi Alisha,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</si>
  <si>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Hi Darrell,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</si>
  <si>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Dear Cindy,
This is Ashworth By The Sea Hotel. Make sure to complete the pre-arrival check-in for your upcoming stay:
https://mobility.stayntouch.com/checkin/url/linabs/canary. 
You can reach out to the front desk by responding to this message any time. Reply QUIT to stop.</t>
  </si>
  <si>
    <t>Hi Cindy,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</si>
  <si>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401-487-0954</t>
  </si>
  <si>
    <t>Hi Carol,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</si>
  <si>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Carol,
This is Ashworth By The Sea Hotel. Make sure to complete the pre-arrival check-in for your upcoming stay:
https://mobility.stayntouch.com/checkin/url/linabs/canary. 
You can reach out to the front desk by responding to this message any time. Reply QUIT to stop.</t>
  </si>
  <si>
    <t>Dear inna,
This is Ashworth By The Sea Hotel. Make sure to complete the pre-arrival check-in for your upcoming stay:
https://mobility.stayntouch.com/checkin/url/linabs/canary. 
You can reach out to the front desk by responding to this message any time. Reply QUIT to stop.</t>
  </si>
  <si>
    <t>Hi inna,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</si>
  <si>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Hi Robin,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</si>
  <si>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Hi Jose,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</si>
  <si>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Hi Tasha,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</si>
  <si>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Tasha,
This is Ashworth By The Sea Hotel. Make sure to complete the pre-arrival check-in for your upcoming stay:
https://mobility.stayntouch.com/checkin/url/linabs/canary. 
You can reach out to the front desk by responding to this message any time. Reply QUIT to stop.</t>
  </si>
  <si>
    <t>Hi Jamie,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</si>
  <si>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Jamie,
This is Ashworth By The Sea Hotel. Make sure to complete the pre-arrival check-in for your upcoming stay:
https://mobility.stayntouch.com/checkin/url/linabs/canary. 
You can reach out to the front desk by responding to this message any time. Reply QUIT to stop.</t>
  </si>
  <si>
    <t>Hi Paul,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</si>
  <si>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Hi Simao,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</si>
  <si>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Simao,
This is Ashworth By The Sea Hotel. Make sure to complete the pre-arrival check-in for your upcoming stay:
https://mobility.stayntouch.com/checkin/url/linabs/canary. 
You can reach out to the front desk by responding to this message any time. Reply QUIT to stop.</t>
  </si>
  <si>
    <t>Hi Layla,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</si>
  <si>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Layla,
This is Ashworth By The Sea Hotel. Make sure to complete the pre-arrival check-in for your upcoming stay:
https://mobility.stayntouch.com/checkin/url/linabs/canary. 
You can reach out to the front desk by responding to this message any time. Reply QUIT to stop.</t>
  </si>
  <si>
    <t>Hi Rebekah,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</si>
  <si>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Rebekah,
This is Ashworth By The Sea Hotel. Make sure to complete the pre-arrival check-in for your upcoming stay:
https://mobility.stayntouch.com/checkin/url/linabs/canary. 
You can reach out to the front desk by responding to this message any time. Reply QUIT to stop.</t>
  </si>
  <si>
    <t>Dear paulette,
This is Ashworth By The Sea Hotel. Make sure to complete the pre-arrival check-in for your upcoming stay:
https://mobility.stayntouch.com/checkin/url/linabs/canary. 
You can reach out to the front desk by responding to this message any time. Reply QUIT to stop.</t>
  </si>
  <si>
    <t>Hi Norma,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</si>
  <si>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Hi Sonia,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</si>
  <si>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Good morning Jennessey,
We are sorry to inform you that our hotel has overbooked for the dates of August 7th and August 8th 2026. We would like you to rebook with us on another date or cancel with a full refund. Please reach out to the hotel at 603 926 6762.
Thank you The Ashworth by the Sea</t>
  </si>
  <si>
    <t>Good morning Jennessey, Please let us know if you would like to re-book this reservation.</t>
  </si>
  <si>
    <t>Hi Maria,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</si>
  <si>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Good to know, thanks</t>
  </si>
  <si>
    <t>Thank you so much for confirming.</t>
  </si>
  <si>
    <t>Oh, wait - nevermind</t>
  </si>
  <si>
    <t>By the way, is the charge for valet parking for $41.52 from the hotel? It's called O'Keefe's General Store.</t>
  </si>
  <si>
    <t>Your parking lot is adjacent to the hotel, correct?</t>
  </si>
  <si>
    <t>And we have already vacated 371. Gave our keys in at the desk at around 5:30pm today.</t>
  </si>
  <si>
    <t>Thank you!</t>
  </si>
  <si>
    <t>Thank you for these details.</t>
  </si>
  <si>
    <t>Please ignore the message above - that was the gas station.</t>
  </si>
  <si>
    <t>We only do valet parking, so pull up to the front of the building and our staff will park your car for you!</t>
  </si>
  <si>
    <t>Dear Alisse,
This is Ashworth By The Sea Hotel. Make sure to complete the pre-arrival check-in for your upcoming stay:
https://mobility.stayntouch.com/checkin/url/linabs/canary. 
You can reach out to the front desk by responding to this message any time. Reply QUIT to stop.</t>
  </si>
  <si>
    <t>Hi Alisse,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</si>
  <si>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Hi Mandi,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</si>
  <si>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Hi Ravin,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</si>
  <si>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413 2728419</t>
  </si>
  <si>
    <t>Dear Maritza,
This is Ashworth By The Sea Hotel. Make sure to complete the pre-arrival check-in for your upcoming stay:
https://mobility.stayntouch.com/checkin/url/linabs/canary. 
You can reach out to the front desk by responding to this message any time. Reply QUIT to stop.</t>
  </si>
  <si>
    <t>413 4460113</t>
  </si>
  <si>
    <t>413 6635683</t>
  </si>
  <si>
    <t>Dear Maureen,
This is Ashworth By The Sea Hotel. Make sure to complete the pre-arrival check-in for your upcoming stay:
https://mobility.stayntouch.com/checkin/url/linabs/canary. 
You can reach out to the front desk by responding to this message any time. Reply QUIT to stop.</t>
  </si>
  <si>
    <t>Hi Maureen,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</si>
  <si>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Paul,
This is Ashworth By The Sea Hotel. Make sure to complete the pre-arrival check-in for your upcoming stay:
https://mobility.stayntouch.com/checkin/url/linabs/canary. 
You can reach out to the front desk by responding to this message any time. Reply QUIT to stop.</t>
  </si>
  <si>
    <t>Hi Paul,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</si>
  <si>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Dear ryan,
This is Ashworth By The Sea Hotel. Make sure to complete the pre-arrival check-in for your upcoming stay:
https://mobility.stayntouch.com/checkin/url/linabs/canary. 
You can reach out to the front desk by responding to this message any time. Reply QUIT to stop.</t>
  </si>
  <si>
    <t>Hi ryan,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</si>
  <si>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Dear Misty,
This is Ashworth By The Sea Hotel. Make sure to complete the pre-arrival check-in for your upcoming stay:
https://mobility.stayntouch.com/checkin/url/linabs/canary. 
You can reach out to the front desk by responding to this message any time. Reply QUIT to stop.</t>
  </si>
  <si>
    <t>Hi Misty,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</si>
  <si>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Theresa,
This is Ashworth By The Sea Hotel. Make sure to complete the pre-arrival check-in for your upcoming stay:
https://mobility.stayntouch.com/checkin/url/linabs/canary. 
You can reach out to the front desk by responding to this message any time. Reply QUIT to stop.</t>
  </si>
  <si>
    <t>Hi Theresa,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</si>
  <si>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Is your restaurant open right now for breakfast?</t>
  </si>
  <si>
    <t>Good Morning Theresa, Wharfside (our breakfast cafe) is open this morning until 11am. Sandbar, our rooftop restaurant, will be opening at 12pm today for lunch service.</t>
  </si>
  <si>
    <t>Hi Jessica,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</si>
  <si>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Is our room ready?</t>
  </si>
  <si>
    <t>Dear Vanessa,
This is Ashworth By The Sea Hotel. Make sure to complete the pre-arrival check-in for your upcoming stay:
https://mobility.stayntouch.com/checkin/url/linabs/canary. 
You can reach out to the front desk by responding to this message any time. Reply QUIT to stop.</t>
  </si>
  <si>
    <t>Dear Demi,
This is Ashworth By The Sea Hotel. Make sure to complete the pre-arrival check-in for your upcoming stay:
https://mobility.stayntouch.com/checkin/url/linabs/canary. 
You can reach out to the front desk by responding to this message any time. Reply QUIT to stop.</t>
  </si>
  <si>
    <t>Hi Demi,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</si>
  <si>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Hi Tom,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</si>
  <si>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Hi Lisa,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</si>
  <si>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Perfect.  Thank you for your rapid response.</t>
  </si>
  <si>
    <t>Hello I have reservation for Aug 31  just wanted to make sure we can check in at 7 pm.? Also how much is the deposit  want to make sure everything good thank you</t>
  </si>
  <si>
    <t>Hello we have you here checking in July 31st- August 2nd. It looks like a balance of $104.26 is left, that covers the $25/day parking and $25/resort fee for your 2 night stay. We hold $50 as well while you stay here as an incidental hold, as long as you don't charge anything to the room you will receive that back upon checkout.</t>
  </si>
  <si>
    <t>Hello Amy, This is a friendly reminder that our quiet hours are from 12:00 a.m. to 7:00 a.m. We ask that you please keep the noise level down out of consideration for our other guests. We appreciate your cooperation and thank you for your understanding.</t>
  </si>
  <si>
    <t>Hi Amy,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</si>
  <si>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Hi Jazzlyn,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</si>
  <si>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Tom,
This is Ashworth By The Sea Hotel. Make sure to complete the pre-arrival check-in for your upcoming stay:
https://mobility.stayntouch.com/checkin/url/linabs/canary. 
You can reach out to the front desk by responding to this message any time. Reply QUIT to stop.</t>
  </si>
  <si>
    <t>Hi !</t>
  </si>
  <si>
    <t>I'll return the call shortly.</t>
  </si>
  <si>
    <t>Hi Craig,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</si>
  <si>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Craig,
This is Ashworth By The Sea Hotel. Make sure to complete the pre-arrival check-in for your upcoming stay:
https://mobility.stayntouch.com/checkin/url/linabs/canary. 
You can reach out to the front desk by responding to this message any time. Reply QUIT to stop.</t>
  </si>
  <si>
    <t>Hi Sharisse,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</si>
  <si>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Sharisse,
This is Ashworth By The Sea Hotel. Make sure to complete the pre-arrival check-in for your upcoming stay:
https://mobility.stayntouch.com/checkin/url/linabs/canary. 
You can reach out to the front desk by responding to this message any time. Reply QUIT to stop.</t>
  </si>
  <si>
    <t>Dear Monika,
This is Ashworth By The Sea Hotel. Make sure to complete the pre-arrival check-in for your upcoming stay:
https://mobility.stayntouch.com/checkin/url/linabs/canary. 
You can reach out to the front desk by responding to this message any time. Reply QUIT to stop.</t>
  </si>
  <si>
    <t>Dear michael,
This is Ashworth By The Sea Hotel. Make sure to complete the pre-arrival check-in for your upcoming stay:
https://mobility.stayntouch.com/checkin/url/linabs/canary. 
You can reach out to the front desk by responding to this message any time. Reply QUIT to stop.</t>
  </si>
  <si>
    <t>Hi michael,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</si>
  <si>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I'm having trouble with checking out. Your voicemail box says that it's full and I want to make sure that I can check out. Please advise.  Thanks so very much!</t>
  </si>
  <si>
    <t>416-605-1520</t>
  </si>
  <si>
    <t>Hi Pierre-Luc,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</si>
  <si>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Serge,
This is Ashworth By The Sea Hotel. Make sure to complete the pre-arrival check-in for your upcoming stay:
https://mobility.stayntouch.com/checkin/url/linabs/canary. 
You can reach out to the front desk by responding to this message any time. Reply QUIT to stop.</t>
  </si>
  <si>
    <t>Hi Serge,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</si>
  <si>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Hi Josee-Anne,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</si>
  <si>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Hi Nicolas,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</si>
  <si>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Vernon,
This is Ashworth By The Sea Hotel. Make sure to complete the pre-arrival check-in for your upcoming stay:
https://mobility.stayntouch.com/checkin/url/linabs/canary. 
You can reach out to the front desk by responding to this message any time. Reply QUIT to stop.</t>
  </si>
  <si>
    <t>Hi Vernon,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</si>
  <si>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Sophie,
This is Ashworth By The Sea Hotel. Make sure to complete the pre-arrival check-in for your upcoming stay:
https://mobility.stayntouch.com/checkin/url/linabs/canary. 
You can reach out to the front desk by responding to this message any time. Reply QUIT to stop.</t>
  </si>
  <si>
    <t>Ok thank you! If the room is not available, would it be possible to change somewhere to go to the beach?</t>
  </si>
  <si>
    <t>I can notate it in your reservation, but please know this is not a guarantee! Thank you!</t>
  </si>
  <si>
    <t>Thank you! So are we :)</t>
  </si>
  <si>
    <t>Ok great! Thanks! See you monday! We are excited!</t>
  </si>
  <si>
    <t>Absolutely! You can also join us on our rooftop deck for lunch and drinks if you'd like!</t>
  </si>
  <si>
    <t>Hi Sophie,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</si>
  <si>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Hi! Is it possible to arrive before 4:00 pm? We would like to Check in around 12:00</t>
  </si>
  <si>
    <t>Hi Marc Olivier,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</si>
  <si>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julie,
This is Ashworth By The Sea Hotel. Make sure to complete the pre-arrival check-in for your upcoming stay:
https://mobility.stayntouch.com/checkin/url/linabs/canary. 
You can reach out to the front desk by responding to this message any time. Reply QUIT to stop.</t>
  </si>
  <si>
    <t>Hi julie,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</si>
  <si>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Hi Alexandre,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</si>
  <si>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Hi Terri,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</si>
  <si>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Terri,
This is Ashworth By The Sea Hotel. Make sure to complete the pre-arrival check-in for your upcoming stay:
https://mobility.stayntouch.com/checkin/url/linabs/canary. 
You can reach out to the front desk by responding to this message any time. Reply QUIT to stop.</t>
  </si>
  <si>
    <t>Dear Philippe,
This is Ashworth By The Sea Hotel. Make sure to complete the pre-arrival check-in for your upcoming stay:
https://mobility.stayntouch.com/checkin/url/linabs/canary. 
You can reach out to the front desk by responding to this message any time. Reply QUIT to stop.</t>
  </si>
  <si>
    <t>Hi Philippe,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</si>
  <si>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Hi Alain,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</si>
  <si>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Hi randy,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</si>
  <si>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Are your rooms non smoking</t>
  </si>
  <si>
    <t>Hi Stone,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</si>
  <si>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Hi Stephanie,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</si>
  <si>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508 509 0409</t>
  </si>
  <si>
    <t>Dear Stacey,
This is Ashworth By The Sea Hotel. Make sure to complete the pre-arrival check-in for your upcoming stay:
https://mobility.stayntouch.com/checkin/url/linabs/canary. 
You can reach out to the front desk by responding to this message any time. Reply QUIT to stop.</t>
  </si>
  <si>
    <t>Hi Stacey,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</si>
  <si>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Hi Anne,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</si>
  <si>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Anne,
This is Ashworth By The Sea Hotel. Make sure to complete the pre-arrival check-in for your upcoming stay:
https://mobility.stayntouch.com/checkin/url/linabs/canary. 
You can reach out to the front desk by responding to this message any time. Reply QUIT to stop.</t>
  </si>
  <si>
    <t>Dear Debra,
This is Ashworth By The Sea Hotel. Make sure to complete the pre-arrival check-in for your upcoming stay:
https://mobility.stayntouch.com/checkin/url/linabs/canary. 
You can reach out to the front desk by responding to this message any time. Reply QUIT to stop.</t>
  </si>
  <si>
    <t>Dear john,
This is Ashworth By The Sea Hotel. Make sure to complete the pre-arrival check-in for your upcoming stay:
https://mobility.stayntouch.com/checkin/url/linabs/canary. 
You can reach out to the front desk by responding to this message any time. Reply QUIT to stop.</t>
  </si>
  <si>
    <t>Hi john,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</si>
  <si>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how many parking spots for the room</t>
  </si>
  <si>
    <t>Hi Joel,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</si>
  <si>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Yours and Jenn's rooms are ready!</t>
  </si>
  <si>
    <t>Dear Curry,
This is Ashworth By The Sea Hotel. Make sure to complete the pre-arrival check-in for your upcoming stay:
https://mobility.stayntouch.com/checkin/url/linabs/canary. 
You can reach out to the front desk by responding to this message any time. Reply QUIT to stop.</t>
  </si>
  <si>
    <t>Hi Curry,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</si>
  <si>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Hi margery,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</si>
  <si>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margery,
This is Ashworth By The Sea Hotel. Make sure to complete the pre-arrival check-in for your upcoming stay:
https://mobility.stayntouch.com/checkin/url/linabs/canary. 
You can reach out to the front desk by responding to this message any time. Reply QUIT to stop.</t>
  </si>
  <si>
    <t>Hi Tina,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</si>
  <si>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Tina,
This is Ashworth By The Sea Hotel. Make sure to complete the pre-arrival check-in for your upcoming stay:
https://mobility.stayntouch.com/checkin/url/linabs/canary. 
You can reach out to the front desk by responding to this message any time. Reply QUIT to stop.</t>
  </si>
  <si>
    <t>Hi Sandy,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</si>
  <si>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Hi Allen,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</si>
  <si>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Natasha,
This is Ashworth By The Sea Hotel. Make sure to complete the pre-arrival check-in for your upcoming stay:
https://mobility.stayntouch.com/checkin/url/linabs/canary. 
You can reach out to the front desk by responding to this message any time. Reply QUIT to stop.</t>
  </si>
  <si>
    <t>Hi Natasha,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</si>
  <si>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Hi! Is my room ready?</t>
  </si>
  <si>
    <t>Dear Tim,
This is Ashworth By The Sea Hotel. Make sure to complete the pre-arrival check-in for your upcoming stay:
https://mobility.stayntouch.com/checkin/url/linabs/canary. 
You can reach out to the front desk by responding to this message any time. Reply QUIT to stop.</t>
  </si>
  <si>
    <t>Hi Tim,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</si>
  <si>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david,
This is Ashworth By The Sea Hotel. Make sure to complete the pre-arrival check-in for your upcoming stay:
https://mobility.stayntouch.com/checkin/url/linabs/canary. 
You can reach out to the front desk by responding to this message any time. Reply QUIT to stop.</t>
  </si>
  <si>
    <t>Dear Leeann,
This is Ashworth By The Sea Hotel. Make sure to complete the pre-arrival check-in for your upcoming stay:
https://mobility.stayntouch.com/checkin/url/linabs/canary. 
You can reach out to the front desk by responding to this message any time. Reply QUIT to stop.</t>
  </si>
  <si>
    <t>Good afternoon Melanie, your reservation is ready for check in</t>
  </si>
  <si>
    <t>Hi Leeann,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</si>
  <si>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I just completed it, thank you.</t>
  </si>
  <si>
    <t>Hi Brenda,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</si>
  <si>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Can I get trash bags and towels please</t>
  </si>
  <si>
    <t>Hi Kathryn,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</si>
  <si>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Kathryn,
This is Ashworth By The Sea Hotel. Make sure to complete the pre-arrival check-in for your upcoming stay:
https://mobility.stayntouch.com/checkin/url/linabs/canary. 
You can reach out to the front desk by responding to this message any time. Reply QUIT to stop.</t>
  </si>
  <si>
    <t>Hi Ginger,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</si>
  <si>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Ginger,
This is Ashworth By The Sea Hotel. Make sure to complete the pre-arrival check-in for your upcoming stay:
https://mobility.stayntouch.com/checkin/url/linabs/canary. 
You can reach out to the front desk by responding to this message any time. Reply QUIT to stop.</t>
  </si>
  <si>
    <t>Hi Anettte,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</si>
  <si>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514-730-2836</t>
  </si>
  <si>
    <t>Hi Sylvain,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</si>
  <si>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Hi Costandino,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</si>
  <si>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Hi Berna,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</si>
  <si>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Alexandre,
This is Ashworth By The Sea Hotel. Make sure to complete the pre-arrival check-in for your upcoming stay:
https://mobility.stayntouch.com/checkin/url/linabs/canary. 
You can reach out to the front desk by responding to this message any time. Reply QUIT to stop.</t>
  </si>
  <si>
    <t>Dear Spyros,
This is Ashworth By The Sea Hotel. Make sure to complete the pre-arrival check-in for your upcoming stay:
https://mobility.stayntouch.com/checkin/url/linabs/canary. 
You can reach out to the front desk by responding to this message any time. Reply QUIT to stop.</t>
  </si>
  <si>
    <t>Hi Spyros,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</si>
  <si>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Hi Marie-Aude,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</si>
  <si>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Hi Garrett,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</si>
  <si>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Hi Shelby,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</si>
  <si>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Hi Donald,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</si>
  <si>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Carolyn,
This is Ashworth By The Sea Hotel. Make sure to complete the pre-arrival check-in for your upcoming stay:
https://mobility.stayntouch.com/checkin/url/linabs/canary. 
You can reach out to the front desk by responding to this message any time. Reply QUIT to stop.</t>
  </si>
  <si>
    <t>Hi Carolyn,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</si>
  <si>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Hi Erika,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</si>
  <si>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Yes, we have thank you</t>
  </si>
  <si>
    <t>Dear Erika,
This is Ashworth By The Sea Hotel. Make sure to complete the pre-arrival check-in for your upcoming stay:
https://mobility.stayntouch.com/checkin/url/linabs/canary. 
You can reach out to the front desk by responding to this message any time. Reply QUIT to stop.</t>
  </si>
  <si>
    <t>Hi Karl,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</si>
  <si>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Hi Kristy,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</si>
  <si>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Kristy,
This is Ashworth By The Sea Hotel. Make sure to complete the pre-arrival check-in for your upcoming stay:
https://mobility.stayntouch.com/checkin/url/linabs/canary. 
You can reach out to the front desk by responding to this message any time. Reply QUIT to stop.</t>
  </si>
  <si>
    <t>Dear NANCY,
This is Ashworth By The Sea Hotel. Make sure to complete the pre-arrival check-in for your upcoming stay:
https://mobility.stayntouch.com/checkin/url/linabs/canary. 
You can reach out to the front desk by responding to this message any time. Reply QUIT to stop.</t>
  </si>
  <si>
    <t>Hi NANCY,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</si>
  <si>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Hi Dawn,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</si>
  <si>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lauren,
This is Ashworth By The Sea Hotel. Make sure to complete the pre-arrival check-in for your upcoming stay:
https://mobility.stayntouch.com/checkin/url/linabs/canary. 
You can reach out to the front desk by responding to this message any time. Reply QUIT to stop.</t>
  </si>
  <si>
    <t>Hi Kierra,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</si>
  <si>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Hi Lina,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</si>
  <si>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Lina,
This is Ashworth By The Sea Hotel. Make sure to complete the pre-arrival check-in for your upcoming stay:
https://mobility.stayntouch.com/checkin/url/linabs/canary. 
You can reach out to the front desk by responding to this message any time. Reply QUIT to stop.</t>
  </si>
  <si>
    <t>.</t>
  </si>
  <si>
    <t>Dear Susan,
This is Ashworth By The Sea Hotel. Make sure to complete the pre-arrival check-in for your upcoming stay:
https://mobility.stayntouch.com/checkin/url/linabs/canary. 
You can reach out to the front desk by responding to this message any time. Reply QUIT to stop.</t>
  </si>
  <si>
    <t>Dear Mariann,
This is Ashworth By The Sea Hotel. Make sure to complete the pre-arrival check-in for your upcoming stay:
https://mobility.stayntouch.com/checkin/url/linabs/canary. 
You can reach out to the front desk by responding to this message any time. Reply QUIT to stop.</t>
  </si>
  <si>
    <t>Hi Mariann,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</si>
  <si>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Hi Tammy,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</si>
  <si>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Tammy,
This is Ashworth By The Sea Hotel. Make sure to complete the pre-arrival check-in for your upcoming stay:
https://mobility.stayntouch.com/checkin/url/linabs/canary. 
You can reach out to the front desk by responding to this message any time. Reply QUIT to stop.</t>
  </si>
  <si>
    <t>Dear Jim,
This is Ashworth By The Sea Hotel. Make sure to complete the pre-arrival check-in for your upcoming stay:
https://mobility.stayntouch.com/checkin/url/linabs/canary. 
You can reach out to the front desk by responding to this message any time. Reply QUIT to stop.</t>
  </si>
  <si>
    <t>Hi Jim,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</si>
  <si>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Hi evan,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</si>
  <si>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Are any of our rooms ready?</t>
  </si>
  <si>
    <t>Dear Connor,
This is Ashworth By The Sea Hotel. Make sure to complete the pre-arrival check-in for your upcoming stay:
https://mobility.stayntouch.com/checkin/url/linabs/canary. 
You can reach out to the front desk by responding to this message any time. Reply QUIT to stop.</t>
  </si>
  <si>
    <t>Hi Ronnalee,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</si>
  <si>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Ronnalee,
This is Ashworth By The Sea Hotel. Make sure to complete the pre-arrival check-in for your upcoming stay:
https://mobility.stayntouch.com/checkin/url/linabs/canary. 
You can reach out to the front desk by responding to this message any time. Reply QUIT to stop.</t>
  </si>
  <si>
    <t>Ok and I'm in a rental car and can't seem to find the registration but</t>
  </si>
  <si>
    <t>I paid for some cookies wine and things do I just call and ask for that when I want it or</t>
  </si>
  <si>
    <t>Hi Dale,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</si>
  <si>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I'm trying to fill out this registration thing, but it won't allow me to get past the guest names. Two of them are kids and they don't have cars or emails so I'm not really sure if it's important that I do it or not but</t>
  </si>
  <si>
    <t>No worries, the valets will take your information when you get here!</t>
  </si>
  <si>
    <t>Dear Dale,
This is Ashworth By The Sea Hotel. Make sure to complete the pre-arrival check-in for your upcoming stay:
https://mobility.stayntouch.com/checkin/url/linabs/canary. 
You can reach out to the front desk by responding to this message any time. Reply QUIT to stop.</t>
  </si>
  <si>
    <t>You don't have to add your kids names!</t>
  </si>
  <si>
    <t>Hi Tricia,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</si>
  <si>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Tricia,
This is Ashworth By The Sea Hotel. Make sure to complete the pre-arrival check-in for your upcoming stay:
https://mobility.stayntouch.com/checkin/url/linabs/canary. 
You can reach out to the front desk by responding to this message any time. Reply QUIT to stop.</t>
  </si>
  <si>
    <t>Hi your new room is ready!</t>
  </si>
  <si>
    <t>Hello Martin, your room is ready! Please stop by the front desk at your earliest convenience to complete check-in and pick up your room keys. We look forward to welcoming you!</t>
  </si>
  <si>
    <t>Dear Martin,
This is Ashworth By The Sea Hotel. Make sure to complete the pre-arrival check-in for your upcoming stay:
https://mobility.stayntouch.com/checkin/url/linabs/canary. 
You can reach out to the front desk by responding to this message any time. Reply QUIT to stop.</t>
  </si>
  <si>
    <t>Hi Martin,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</si>
  <si>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Hi Jamil,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</si>
  <si>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Jamil,
This is Ashworth By The Sea Hotel. Make sure to complete the pre-arrival check-in for your upcoming stay:
https://mobility.stayntouch.com/checkin/url/linabs/canary. 
You can reach out to the front desk by responding to this message any time. Reply QUIT to stop.</t>
  </si>
  <si>
    <t>603-714-8493</t>
  </si>
  <si>
    <t>Dear Shauna,
This is Ashworth By The Sea Hotel. Make sure to complete the pre-arrival check-in for your upcoming stay:
https://mobility.stayntouch.com/checkin/url/linabs/canary. 
You can reach out to the front desk by responding to this message any time. Reply QUIT to stop.</t>
  </si>
  <si>
    <t>Hi Shauna,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</si>
  <si>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Kat,
This is Ashworth By The Sea Hotel. Make sure to complete the pre-arrival check-in for your upcoming stay:
https://mobility.stayntouch.com/checkin/url/linabs/canary. 
You can reach out to the front desk by responding to this message any time. Reply QUIT to stop.</t>
  </si>
  <si>
    <t>Hi Kat,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</si>
  <si>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Hi terrance,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</si>
  <si>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Harley,
This is Ashworth By The Sea Hotel. Make sure to complete the pre-arrival check-in for your upcoming stay:
https://mobility.stayntouch.com/checkin/url/linabs/canary. 
You can reach out to the front desk by responding to this message any time. Reply QUIT to stop.</t>
  </si>
  <si>
    <t>Hi Mia,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</si>
  <si>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Jane,
This is Ashworth By The Sea Hotel. Make sure to complete the pre-arrival check-in for your upcoming stay:
https://mobility.stayntouch.com/checkin/url/linabs/canary. 
You can reach out to the front desk by responding to this message any time. Reply QUIT to stop.</t>
  </si>
  <si>
    <t>Hi Jane,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</si>
  <si>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I'm not leaving until 12 hours from now</t>
  </si>
  <si>
    <t>Hi Jaida,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</si>
  <si>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Hello! Will i be able to add on parking to my stay once we check in tomorrow?</t>
  </si>
  <si>
    <t>Dear Donald,
This is Ashworth By The Sea Hotel. Make sure to complete the pre-arrival check-in for your upcoming stay:
https://mobility.stayntouch.com/checkin/url/linabs/canary. 
You can reach out to the front desk by responding to this message any time. Reply QUIT to stop.</t>
  </si>
  <si>
    <t>Hi Cleberson,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</si>
  <si>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Hi Gail,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</si>
  <si>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Good afternoon Robert, your room is ready for check in.</t>
  </si>
  <si>
    <t>Would you like those to be delivered now?</t>
  </si>
  <si>
    <t>Of course!</t>
  </si>
  <si>
    <t>No problem! Thanks for letting us know.</t>
  </si>
  <si>
    <t>Sorry about that. I wasn't even sure if this message went through. I will be back at the hotel in about 10 minutes. My apologies for not being there.</t>
  </si>
  <si>
    <t>Hi Alex,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</si>
  <si>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Can I please have a couple fresh towels to room 205</t>
  </si>
  <si>
    <t>Hi there, we just tried to stop by with your towels. You had a "Do Not Disturb" sign outside your door, so we didn't want to disturb you. Please let us know when you would like them to be delivered.</t>
  </si>
  <si>
    <t>That's OK I'm over at the bar right now. I appreciate you hitting me back up.</t>
  </si>
  <si>
    <t>Prefer south side room.</t>
  </si>
  <si>
    <t>Hi Tricia Christne,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</si>
  <si>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Tricia Christne,
This is Ashworth By The Sea Hotel. Make sure to complete the pre-arrival check-in for your upcoming stay:
https://mobility.stayntouch.com/checkin/url/linabs/canary. 
You can reach out to the front desk by responding to this message any time. Reply QUIT to stop.</t>
  </si>
  <si>
    <t>Hi Patrick,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</si>
  <si>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Hi Jodi Lynne,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</si>
  <si>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Hi Lance,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</si>
  <si>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Lance,
This is Ashworth By The Sea Hotel. Make sure to complete the pre-arrival check-in for your upcoming stay:
https://mobility.stayntouch.com/checkin/url/linabs/canary. 
You can reach out to the front desk by responding to this message any time. Reply QUIT to stop.</t>
  </si>
  <si>
    <t>Hi mark,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</si>
  <si>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mark,
This is Ashworth By The Sea Hotel. Make sure to complete the pre-arrival check-in for your upcoming stay:
https://mobility.stayntouch.com/checkin/url/linabs/canary. 
You can reach out to the front desk by responding to this message any time. Reply QUIT to stop.</t>
  </si>
  <si>
    <t>Hi Karin,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</si>
  <si>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Dustin,
This is Ashworth By The Sea Hotel. Make sure to complete the pre-arrival check-in for your upcoming stay:
https://mobility.stayntouch.com/checkin/url/linabs/canary. 
You can reach out to the front desk by responding to this message any time. Reply QUIT to stop.</t>
  </si>
  <si>
    <t>Hi Dustin,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</si>
  <si>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Hi Amanda,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</si>
  <si>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Hi jesus,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</si>
  <si>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Chi,
This is Ashworth By The Sea Hotel. Make sure to complete the pre-arrival check-in for your upcoming stay:
https://mobility.stayntouch.com/checkin/url/linabs/canary. 
You can reach out to the front desk by responding to this message any time. Reply QUIT to stop.</t>
  </si>
  <si>
    <t>Hi Chi,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</si>
  <si>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 xml:space="preserve">If I arrive earlier than my check in time, am I able to park at the hotel or do I need to find temporary parking until check in time? </t>
  </si>
  <si>
    <t>Dear Josie,
This is Ashworth By The Sea Hotel. Make sure to complete the pre-arrival check-in for your upcoming stay:
https://mobility.stayntouch.com/checkin/url/linabs/canary. 
You can reach out to the front desk by responding to this message any time. Reply QUIT to stop.</t>
  </si>
  <si>
    <t>Hi we are planning to head over to the hotel, our room will be ready at 4?</t>
  </si>
  <si>
    <t>Hi, just making sure our room is ready. We're heading back over.</t>
  </si>
  <si>
    <t>Hi Josie,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</si>
  <si>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Ok thanks</t>
  </si>
  <si>
    <t>There should be 2 rooms reserved. Just wanted to check and make sure</t>
  </si>
  <si>
    <t>Hi Sarah, your two reservations are confirmed. If you have any questions or concerns regarding your reservation, please let us know.</t>
  </si>
  <si>
    <t>Hello, unfortunately, we do not have a replacement TV for your room, and we are unable to fix it. Due to this inconvenience, we will waive the parking and resort fee which equates to $52.13 back to you. We are so sorry.</t>
  </si>
  <si>
    <t>Dear Lum-Karlie,
This is Ashworth By The Sea Hotel. Make sure to complete the pre-arrival check-in for your upcoming stay:
https://mobility.stayntouch.com/checkin/url/linabs/canary. 
You can reach out to the front desk by responding to this message any time. Reply QUIT to stop.</t>
  </si>
  <si>
    <t>Hi Lum-Karlie,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</si>
  <si>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Hi Vidkan,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</si>
  <si>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Dear Vidkan,
This is Ashworth By The Sea Hotel. Make sure to complete the pre-arrival check-in for your upcoming stay:
https://mobility.stayntouch.com/checkin/url/linabs/canary. 
You can reach out to the front desk by responding to this message any time. Reply QUIT to stop.</t>
  </si>
  <si>
    <t>Hi kaitlin,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</si>
  <si>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Hi Alexandre,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</si>
  <si>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Hi Mandi,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</si>
  <si>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 xml:space="preserve">Hi, confirming my pre-check in went through and I requested early check in for 1:00.
Thank you, Mandi Sawyer </t>
  </si>
  <si>
    <t>Dear Mandi,
This is Ashworth By The Sea Hotel. Make sure to complete the pre-arrival check-in for your upcoming stay:
https://mobility.stayntouch.com/checkin/url/linabs/canary. 
You can reach out to the front desk by responding to this message any time. Reply QUIT to stop.</t>
  </si>
  <si>
    <t>617 6807942</t>
  </si>
  <si>
    <t>Dear Marc,
This is Ashworth By The Sea Hotel. Make sure to complete the pre-arrival check-in for your upcoming stay:
https://mobility.stayntouch.com/checkin/url/linabs/canary. 
You can reach out to the front desk by responding to this message any time. Reply QUIT to stop.</t>
  </si>
  <si>
    <t>Hi Marc,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</si>
  <si>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617 8161229</t>
  </si>
  <si>
    <t>Hi Leeanne,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</si>
  <si>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Leeanne,
This is Ashworth By The Sea Hotel. Make sure to complete the pre-arrival check-in for your upcoming stay:
https://mobility.stayntouch.com/checkin/url/linabs/canary. 
You can reach out to the front desk by responding to this message any time. Reply QUIT to stop.</t>
  </si>
  <si>
    <t>617-285-2182</t>
  </si>
  <si>
    <t>Dear Lea,
This is Ashworth By The Sea Hotel. Make sure to complete the pre-arrival check-in for your upcoming stay:
https://mobility.stayntouch.com/checkin/url/linabs/canary. 
You can reach out to the front desk by responding to this message any time. Reply QUIT to stop.</t>
  </si>
  <si>
    <t>Hi Lea,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</si>
  <si>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Hi Kenneth,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</si>
  <si>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Dear Isabel,
This is Ashworth By The Sea Hotel. Make sure to complete the pre-arrival check-in for your upcoming stay:
https://mobility.stayntouch.com/checkin/url/linabs/canary. 
You can reach out to the front desk by responding to this message any time. Reply QUIT to stop.</t>
  </si>
  <si>
    <t>Hi Isabel,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</si>
  <si>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Hi Frederick,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</si>
  <si>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Frederick,
This is Ashworth By The Sea Hotel. Make sure to complete the pre-arrival check-in for your upcoming stay:
https://mobility.stayntouch.com/checkin/url/linabs/canary. 
You can reach out to the front desk by responding to this message any time. Reply QUIT to stop.</t>
  </si>
  <si>
    <t>Brt</t>
  </si>
  <si>
    <t>Your room is ready!</t>
  </si>
  <si>
    <t>Don't need early arrival now</t>
  </si>
  <si>
    <t>Hi Rosemary,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</si>
  <si>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Rosemary,
This is Ashworth By The Sea Hotel. Make sure to complete the pre-arrival check-in for your upcoming stay:
https://mobility.stayntouch.com/checkin/url/linabs/canary. 
You can reach out to the front desk by responding to this message any time. Reply QUIT to stop.</t>
  </si>
  <si>
    <t>Dear Bryan,
This is Ashworth By The Sea Hotel. Make sure to complete the pre-arrival check-in for your upcoming stay:
https://mobility.stayntouch.com/checkin/url/linabs/canary. 
You can reach out to the front desk by responding to this message any time. Reply QUIT to stop.</t>
  </si>
  <si>
    <t>Hi Bryan,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</si>
  <si>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Hi Crystalee,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</si>
  <si>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Hi Ismary,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</si>
  <si>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Dear Ismary,
This is Ashworth By The Sea Hotel. Make sure to complete the pre-arrival check-in for your upcoming stay:
https://mobility.stayntouch.com/checkin/url/linabs/canary. 
You can reach out to the front desk by responding to this message any time. Reply QUIT to stop.</t>
  </si>
  <si>
    <t>Dear Amanda,
This is Ashworth By The Sea Hotel. Make sure to complete the pre-arrival check-in for your upcoming stay:
https://mobility.stayntouch.com/checkin/url/linabs/canary. 
You can reach out to the front desk by responding to this message any time. Reply QUIT to stop.</t>
  </si>
  <si>
    <t>Hi there.  Any chance we can have sheets and a pillow for the pull out couch in room 170.  Thank you</t>
  </si>
  <si>
    <t>Hi Amanda,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</si>
  <si>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Hi Noelle,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</si>
  <si>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Dear Noelle,
This is Ashworth By The Sea Hotel. Make sure to complete the pre-arrival check-in for your upcoming stay:
https://mobility.stayntouch.com/checkin/url/linabs/canary. 
You can reach out to the front desk by responding to this message any time. Reply QUIT to stop.</t>
  </si>
  <si>
    <t>Hi Vikas,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</si>
  <si>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Vikas,
This is Ashworth By The Sea Hotel. Make sure to complete the pre-arrival check-in for your upcoming stay:
https://mobility.stayntouch.com/checkin/url/linabs/canary. 
You can reach out to the front desk by responding to this message any time. Reply QUIT to stop.</t>
  </si>
  <si>
    <t>Hi Stacie,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</si>
  <si>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Brenda,
This is Ashworth By The Sea Hotel. Make sure to complete the pre-arrival check-in for your upcoming stay:
https://mobility.stayntouch.com/checkin/url/linabs/canary. 
You can reach out to the front desk by responding to this message any time. Reply QUIT to stop.</t>
  </si>
  <si>
    <t>Hi Sylvia,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</si>
  <si>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Dear Sylvia,
This is Ashworth By The Sea Hotel. Make sure to complete the pre-arrival check-in for your upcoming stay:
https://mobility.stayntouch.com/checkin/url/linabs/canary. 
You can reach out to the front desk by responding to this message any time. Reply QUIT to stop.</t>
  </si>
  <si>
    <t>Dear Deanna,
This is Ashworth By The Sea Hotel. Make sure to complete the pre-arrival check-in for your upcoming stay:
https://mobility.stayntouch.com/checkin/url/linabs/canary. 
You can reach out to the front desk by responding to this message any time. Reply QUIT to stop.</t>
  </si>
  <si>
    <t>Hi Deanna,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</si>
  <si>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Hi Chase,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</si>
  <si>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Dear Monica,
This is Ashworth By The Sea Hotel. Make sure to complete the pre-arrival check-in for your upcoming stay:
https://mobility.stayntouch.com/checkin/url/linabs/canary. 
You can reach out to the front desk by responding to this message any time. Reply QUIT to stop.</t>
  </si>
  <si>
    <t>Hi Monica,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</si>
  <si>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Destinee,
This is Ashworth By The Sea Hotel. Make sure to complete the pre-arrival check-in for your upcoming stay:
https://mobility.stayntouch.com/checkin/url/linabs/canary. 
You can reach out to the front desk by responding to this message any time. Reply QUIT to stop.</t>
  </si>
  <si>
    <t>Hi Destinee,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</si>
  <si>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Hi Deanna,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</si>
  <si>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Dear Joan,
This is Ashworth By The Sea Hotel. Make sure to complete the pre-arrival check-in for your upcoming stay:
https://mobility.stayntouch.com/checkin/url/linabs/canary. 
You can reach out to the front desk by responding to this message any time. Reply QUIT to stop.</t>
  </si>
  <si>
    <t>Hi Grant,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</si>
  <si>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Carrie,
This is Ashworth By The Sea Hotel. Make sure to complete the pre-arrival check-in for your upcoming stay:
https://mobility.stayntouch.com/checkin/url/linabs/canary. 
You can reach out to the front desk by responding to this message any time. Reply QUIT to stop.</t>
  </si>
  <si>
    <t>Hi Carrie,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</si>
  <si>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Carson,
This is Ashworth By The Sea Hotel. Make sure to complete the pre-arrival check-in for your upcoming stay:
https://mobility.stayntouch.com/checkin/url/linabs/canary. 
You can reach out to the front desk by responding to this message any time. Reply QUIT to stop.</t>
  </si>
  <si>
    <t>Hi Carson,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</si>
  <si>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774 4792692</t>
  </si>
  <si>
    <t>Dear Gena,
This is Ashworth By The Sea Hotel. Make sure to complete the pre-arrival check-in for your upcoming stay:
https://mobility.stayntouch.com/checkin/url/linabs/canary. 
You can reach out to the front desk by responding to this message any time. Reply QUIT to stop.</t>
  </si>
  <si>
    <t>Hi Gena,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</si>
  <si>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Dear Angie,
This is Ashworth By The Sea Hotel. Make sure to complete the pre-arrival check-in for your upcoming stay:
https://mobility.stayntouch.com/checkin/url/linabs/canary. 
You can reach out to the front desk by responding to this message any time. Reply QUIT to stop.</t>
  </si>
  <si>
    <t>Hi Angie,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</si>
  <si>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Hi Dana,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</si>
  <si>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Dana,
This is Ashworth By The Sea Hotel. Make sure to complete the pre-arrival check-in for your upcoming stay:
https://mobility.stayntouch.com/checkin/url/linabs/canary. 
You can reach out to the front desk by responding to this message any time. Reply QUIT to stop.</t>
  </si>
  <si>
    <t>Hi Stephen,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</si>
  <si>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Hi Nick,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</si>
  <si>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https://www.google.com/maps/search/?api=1&amp;query=19+Cubles+Dr++Brimfield++MA+01010++USA</t>
  </si>
  <si>
    <t>Hi Antone,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</si>
  <si>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Hi Ray,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</si>
  <si>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Shelby,
This is Ashworth By The Sea Hotel. Make sure to complete the pre-arrival check-in for your upcoming stay:
https://mobility.stayntouch.com/checkin/url/linabs/canary. 
You can reach out to the front desk by responding to this message any time. Reply QUIT to stop.</t>
  </si>
  <si>
    <t>Hi, it should be complete. Please let me know if I should resubmit it.</t>
  </si>
  <si>
    <t>Hi, I have a room ready for you!</t>
  </si>
  <si>
    <t>Hi Douglas,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</si>
  <si>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Hi Sandra,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</si>
  <si>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Hi Kelsey,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</si>
  <si>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Okay I'll be there shortly</t>
  </si>
  <si>
    <t>Hello, we received a noise complaint about your dogs... If you could please come back and quiet them down that would be greatly appreciated!</t>
  </si>
  <si>
    <t>Hello, we received a noise complaint about your dog. If you could please come back and quiet them down that would be greatly appreciated!</t>
  </si>
  <si>
    <t>Thank you yes we will head back</t>
  </si>
  <si>
    <t>We just ordered food but will arrive just after</t>
  </si>
  <si>
    <t>No problem my wife is on her way back now</t>
  </si>
  <si>
    <t>Hi Joshua,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</si>
  <si>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Joshua,
This is Ashworth By The Sea Hotel. Make sure to complete the pre-arrival check-in for your upcoming stay:
https://mobility.stayntouch.com/checkin/url/linabs/canary. 
You can reach out to the front desk by responding to this message any time. Reply QUIT to stop.</t>
  </si>
  <si>
    <t>Dear Elisabete,
This is Ashworth By The Sea Hotel. Make sure to complete the pre-arrival check-in for your upcoming stay:
https://mobility.stayntouch.com/checkin/url/linabs/canary. 
You can reach out to the front desk by responding to this message any time. Reply QUIT to stop.</t>
  </si>
  <si>
    <t xml:space="preserve">Complete pre-arrival check-in - Ashworth By The Sea Hotel
Contactless Check-In
Hello Jeffery,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+16039266762
Canary Technologies logo Powered by Canary Technologies • Unsubscribe • Privacy
                                     Policy
</t>
  </si>
  <si>
    <t xml:space="preserve">Pre-check in for your stay at Ashworth by the Sea
                                  Hi Jeffery,
  Use the link below to check in before your arrival to speed up the process!
                      Upgrades and more may be available!
                                  Pre Check-In
 When you arrive, please present your photo ID and credit card. See you soon -
                                 safe travels!
            This is an automated message from Ashworth by the Sea -
                         frontdesk@ashworthbythesea.com
                         ©2026  |  All Rights Reserved
              295 Ocean Blvd. , Hampton, NH, 03842, United States
                            Call us at  603-926-6762
                            Privacy Policy  |  FAQs
</t>
  </si>
  <si>
    <t>Dear Liana,
This is Ashworth By The Sea Hotel. Make sure to complete the pre-arrival check-in for your upcoming stay:
https://mobility.stayntouch.com/checkin/url/linabs/canary. 
You can reach out to the front desk by responding to this message any time. Reply QUIT to stop.</t>
  </si>
  <si>
    <t>Hi Liana,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</si>
  <si>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Angelique,
This is Ashworth By The Sea Hotel. Make sure to complete the pre-arrival check-in for your upcoming stay:
https://mobility.stayntouch.com/checkin/url/linabs/canary. 
You can reach out to the front desk by responding to this message any time. Reply QUIT to stop.</t>
  </si>
  <si>
    <t>Hi Angelique,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</si>
  <si>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Hi I don't see a confirmation number</t>
  </si>
  <si>
    <t>i found it actually sorry never mind</t>
  </si>
  <si>
    <t>Hi Jean,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</si>
  <si>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Dear Jean,
This is Ashworth By The Sea Hotel. Make sure to complete the pre-arrival check-in for your upcoming stay:
https://mobility.stayntouch.com/checkin/url/linabs/canary. 
You can reach out to the front desk by responding to this message any time. Reply QUIT to stop.</t>
  </si>
  <si>
    <t>I'll put it outside the room.. do you allow pets here? Because it did not say that on your site</t>
  </si>
  <si>
    <t>We do allow pets. I'm sorry if there is any misunderstanding. I can have housekeeping clean the yellow liquid for you tomorrow morning or we can have someone go there now for you!</t>
  </si>
  <si>
    <t>I am so sorry... I'll let my housekeeping manager know so we can vacuum your room thoroughly tomorrow.</t>
  </si>
  <si>
    <t>Hi, huge issue. My shower is full of yellow liquid and I have a cat stand/scratching post next to my bed and it's giving me horrible allergies</t>
  </si>
  <si>
    <t>We can also offer for you to move rooms if you'd like?</t>
  </si>
  <si>
    <t>No it's fine you don't need to send someone up for the shower but I have really bad allergies to pet hair I wish I knew you allowed animals I wouldn't have scheduled my stay here</t>
  </si>
  <si>
    <t>Hello just checking to see if my room was ready?</t>
  </si>
  <si>
    <t>Hello, I'm so sorry to hear about your bathroom. Would you like us to come up there and clean it now? Unfortunately, that "cat stand" is part of our side table furniture, we can remove it for you if you'd like?</t>
  </si>
  <si>
    <t>Dear pam,
This is Ashworth By The Sea Hotel. Make sure to complete the pre-arrival check-in for your upcoming stay:
https://mobility.stayntouch.com/checkin/url/linabs/canary. 
You can reach out to the front desk by responding to this message any time. Reply QUIT to stop.</t>
  </si>
  <si>
    <t>Hi pam,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</si>
  <si>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Your second room is ready!</t>
  </si>
  <si>
    <t>Dear Kerre,
This is Ashworth By The Sea Hotel. Make sure to complete the pre-arrival check-in for your upcoming stay:
https://mobility.stayntouch.com/checkin/url/linabs/canary. 
You can reach out to the front desk by responding to this message any time. Reply QUIT to stop.</t>
  </si>
  <si>
    <t>Hi Kerre,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</si>
  <si>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Hi Maryann,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</si>
  <si>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Maryann,
This is Ashworth By The Sea Hotel. Make sure to complete the pre-arrival check-in for your upcoming stay:
https://mobility.stayntouch.com/checkin/url/linabs/canary. 
You can reach out to the front desk by responding to this message any time. Reply QUIT to stop.</t>
  </si>
  <si>
    <t>Hi Francine,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</si>
  <si>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Francine,
This is Ashworth By The Sea Hotel. Make sure to complete the pre-arrival check-in for your upcoming stay:
https://mobility.stayntouch.com/checkin/url/linabs/canary. 
You can reach out to the front desk by responding to this message any time. Reply QUIT to stop.</t>
  </si>
  <si>
    <t>Dear Jimme,
This is Ashworth By The Sea Hotel. Make sure to complete the pre-arrival check-in for your upcoming stay:
https://mobility.stayntouch.com/checkin/url/linabs/canary. 
You can reach out to the front desk by responding to this message any time. Reply QUIT to stop.</t>
  </si>
  <si>
    <t>Dear Aspen,
This is Ashworth By The Sea Hotel. Make sure to complete the pre-arrival check-in for your upcoming stay:
https://mobility.stayntouch.com/checkin/url/linabs/canary. 
You can reach out to the front desk by responding to this message any time. Reply QUIT to stop.</t>
  </si>
  <si>
    <t>Hi Aspen,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</si>
  <si>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802 3557660</t>
  </si>
  <si>
    <t>Hi victoria,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</si>
  <si>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Good morning Victoria, Send a message at anytime.</t>
  </si>
  <si>
    <t>Hi Renee,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</si>
  <si>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Renee,
This is Ashworth By The Sea Hotel. Make sure to complete the pre-arrival check-in for your upcoming stay:
https://mobility.stayntouch.com/checkin/url/linabs/canary. 
You can reach out to the front desk by responding to this message any time. Reply QUIT to stop.</t>
  </si>
  <si>
    <t>Hi Stacey,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</si>
  <si>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Hi thomas,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</si>
  <si>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thomas,
This is Ashworth By The Sea Hotel. Make sure to complete the pre-arrival check-in for your upcoming stay:
https://mobility.stayntouch.com/checkin/url/linabs/canary. 
You can reach out to the front desk by responding to this message any time. Reply QUIT to stop.</t>
  </si>
  <si>
    <t>Hi Lauren,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</si>
  <si>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Lauren,
This is Ashworth By The Sea Hotel. Make sure to complete the pre-arrival check-in for your upcoming stay:
https://mobility.stayntouch.com/checkin/url/linabs/canary. 
You can reach out to the front desk by responding to this message any time. Reply QUIT to stop.</t>
  </si>
  <si>
    <t>Dear Sabrina,
This is Ashworth By The Sea Hotel. Make sure to complete the pre-arrival check-in for your upcoming stay:
https://mobility.stayntouch.com/checkin/url/linabs/canary. 
You can reach out to the front desk by responding to this message any time. Reply QUIT to stop.</t>
  </si>
  <si>
    <t>Hi Sabrina,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</si>
  <si>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Hi Parker,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</si>
  <si>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Hi Carry,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</si>
  <si>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Carry,
This is Ashworth By The Sea Hotel. Make sure to complete the pre-arrival check-in for your upcoming stay:
https://mobility.stayntouch.com/checkin/url/linabs/canary. 
You can reach out to the front desk by responding to this message any time. Reply QUIT to stop.</t>
  </si>
  <si>
    <t>Hi Julianna,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</si>
  <si>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Dear melinda,
This is Ashworth By The Sea Hotel. Make sure to complete the pre-arrival check-in for your upcoming stay:
https://mobility.stayntouch.com/checkin/url/linabs/canary. 
You can reach out to the front desk by responding to this message any time. Reply QUIT to stop.</t>
  </si>
  <si>
    <t>Hi melinda,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</si>
  <si>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Hi Kyle,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</si>
  <si>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Dear Kyle,
This is Ashworth By The Sea Hotel. Make sure to complete the pre-arrival check-in for your upcoming stay:
https://mobility.stayntouch.com/checkin/url/linabs/canary. 
You can reach out to the front desk by responding to this message any time. Reply QUIT to stop.</t>
  </si>
  <si>
    <t>Hi Tracey,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</si>
  <si>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Tracey,
This is Ashworth By The Sea Hotel. Make sure to complete the pre-arrival check-in for your upcoming stay:
https://mobility.stayntouch.com/checkin/url/linabs/canary. 
You can reach out to the front desk by responding to this message any time. Reply QUIT to stop.</t>
  </si>
  <si>
    <t xml:space="preserve">Complete pre-arrival check-in - Ashworth By The Sea Hotel
Contactless Check-In
Hello Tracey,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Canary Technologies logo Powered by Canary Technologies • Unsubscribe • Privacy
                                     Policy
</t>
  </si>
  <si>
    <t xml:space="preserve">Pre-check in for your stay at Ashworth by the Sea
                                   Hi Tracey,
  Use the link below to check in before your arrival to speed up the process!
                      Upgrades and more may be available!
                                  Pre Check-In
 When you arrive, please present your photo ID and credit card. See you soon -
                                 safe travels!
            This is an automated message from Ashworth by the Sea -
                         frontdesk@ashworthbythesea.com
                         ©2026  |  All Rights Reserved
              295 Ocean Blvd. , Hampton, NH, 03842, United States
                            Call us at  603-926-6762
                            Privacy Policy  |  FAQs
</t>
  </si>
  <si>
    <t>Hi Bonnie,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</si>
  <si>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Hi Carli,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</si>
  <si>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Hi Ann,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</si>
  <si>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Ann,
This is Ashworth By The Sea Hotel. Make sure to complete the pre-arrival check-in for your upcoming stay:
https://mobility.stayntouch.com/checkin/url/linabs/canary. 
You can reach out to the front desk by responding to this message any time. Reply QUIT to stop.</t>
  </si>
  <si>
    <t xml:space="preserve">Pre-check in for your stay at Ashworth by the Sea
                                   Hi RONALD,
  Use the link below to check in before your arrival to speed up the process!
                      Upgrades and more may be available!
                                  Pre Check-In
 When you arrive, please present your photo ID and credit card. See you soon -
                                 safe travels!
            This is an automated message from Ashworth by the Sea -
                         frontdesk@ashworthbythesea.com
                         ©2026  |  All Rights Reserved
              295 Ocean Blvd. , Hampton, NH, 03842, United States
                            Call us at  603-926-6762
                            Privacy Policy  |  FAQs
</t>
  </si>
  <si>
    <t>Hi Jeanne,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</si>
  <si>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Please add [Whitney/Nelson ]as an accompanying guest for this reservation.</t>
  </si>
  <si>
    <t>Dear Deb,
This is Ashworth By The Sea Hotel. Make sure to complete the pre-arrival check-in for your upcoming stay:
https://mobility.stayntouch.com/checkin/url/linabs/canary. 
You can reach out to the front desk by responding to this message any time. Reply QUIT to stop.</t>
  </si>
  <si>
    <t>Hi Deb,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</si>
  <si>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Hello Deanna, we have received a noise complaint regarding your room. Please be mindful of the guests around you and keep the noise level down. Thank you for your cooperation.</t>
  </si>
  <si>
    <t>Hi Kellie,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</si>
  <si>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Iya my husband and my 14th wedding anniversary</t>
  </si>
  <si>
    <t>Is there a way to get something special in the room
Before we get there</t>
  </si>
  <si>
    <t>The charcuterie board sounds amazing so doesn’t the strawberry’s lol 
We do not drink though</t>
  </si>
  <si>
    <t>Can we do the charcuterie board and the chocolate covered strawberries…
This would be wonderful.</t>
  </si>
  <si>
    <t>Hello Kari, if you would like to request an amenity to be delivered to your room we can go ahead and arrange that we offer a charcuterie board for $40.00, Bottle of White wine, Red wine, and Champagne $42.00 (each sold seperately), Champagne and strawberries for $65.00</t>
  </si>
  <si>
    <t>no worries! we can also do just chocolate covered strawberries for $25!!</t>
  </si>
  <si>
    <t>Hi Nancy,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</si>
  <si>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Where can we park? And can we park there before check in at our arrival should be around 3</t>
  </si>
  <si>
    <t>Ocean view from balcony</t>
  </si>
  <si>
    <t>Hi Randy,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</si>
  <si>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Good afternoon Amy, your room is ready for check in.</t>
  </si>
  <si>
    <t>Good morning Antoine, we have attached these notes to your reservation and will do our absolute best to accommodate your request. Have a great day!</t>
  </si>
  <si>
    <t>Hello,
I hope you're doing well! We are looking forward to our stay from August 3 to August 6.
If possible, we would really appreciate a room on a higher floor with the best possible ocean view available within our Deluxe King Room with Side Balcony reservation. We understand this cannot be guaranteed, but it would mean a lot to us. Our children would be so excited to enjoy the best view possible from the balcony during our stay.
Thank you very much for your consideration. We look forward to staying with you!
Antoine</t>
  </si>
  <si>
    <t>Thank you! 🤞</t>
  </si>
  <si>
    <t>Hi Sierra,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</si>
  <si>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Natalie,
This is Ashworth By The Sea Hotel. Make sure to complete the pre-arrival check-in for your upcoming stay:
https://mobility.stayntouch.com/checkin/url/linabs/canary. 
You can reach out to the front desk by responding to this message any time. Reply QUIT to stop.</t>
  </si>
  <si>
    <t>Hi Natalie,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</si>
  <si>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Hi Sandro,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</si>
  <si>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838-267-6805</t>
  </si>
  <si>
    <t>Dear matthew,
This is Ashworth By The Sea Hotel. Make sure to complete the pre-arrival check-in for your upcoming stay:
https://mobility.stayntouch.com/checkin/url/linabs/canary. 
You can reach out to the front desk by responding to this message any time. Reply QUIT to stop.</t>
  </si>
  <si>
    <t>Hi matthew,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</si>
  <si>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Driving</t>
  </si>
  <si>
    <t>Dear Eve,
This is Ashworth By The Sea Hotel. Make sure to complete the pre-arrival check-in for your upcoming stay:
https://mobility.stayntouch.com/checkin/url/linabs/canary. 
You can reach out to the front desk by responding to this message any time. Reply QUIT to stop.</t>
  </si>
  <si>
    <t>Hi Prenita,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</si>
  <si>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Prenita,
This is Ashworth By The Sea Hotel. Make sure to complete the pre-arrival check-in for your upcoming stay:
https://mobility.stayntouch.com/checkin/url/linabs/canary. 
You can reach out to the front desk by responding to this message any time. Reply QUIT to stop.</t>
  </si>
  <si>
    <t>Dear Tasheeka,
This is Ashworth By The Sea Hotel. Make sure to complete the pre-arrival check-in for your upcoming stay:
https://mobility.stayntouch.com/checkin/url/linabs/canary. 
You can reach out to the front desk by responding to this message any time. Reply QUIT to stop.</t>
  </si>
  <si>
    <t>Hi Tasheeka,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</si>
  <si>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Hi Sandman,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</si>
  <si>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Dear Arlene,
This is Ashworth By The Sea Hotel. Make sure to complete the pre-arrival check-in for your upcoming stay:
https://mobility.stayntouch.com/checkin/url/linabs/canary. 
You can reach out to the front desk by responding to this message any time. Reply QUIT to stop.</t>
  </si>
  <si>
    <t>Hi Arlene,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</si>
  <si>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Will do.</t>
  </si>
  <si>
    <t>Oky, and your room 358 and 364?</t>
  </si>
  <si>
    <t xml:space="preserve">Yes, please </t>
  </si>
  <si>
    <t>I'm so sorry, can I send someone up now to do so?</t>
  </si>
  <si>
    <t>Dear Alan,
This is Ashworth By The Sea Hotel. Make sure to complete the pre-arrival check-in for your upcoming stay:
https://mobility.stayntouch.com/checkin/url/linabs/canary. 
You can reach out to the front desk by responding to this message any time. Reply QUIT to stop.</t>
  </si>
  <si>
    <t>They didn't clean my room and moms room today and someone brought in a dirty coffee table in my room my room number is 358</t>
  </si>
  <si>
    <t>Hi Grace,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</si>
  <si>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Grace,
This is Ashworth By The Sea Hotel. Make sure to complete the pre-arrival check-in for your upcoming stay:
https://mobility.stayntouch.com/checkin/url/linabs/canary. 
You can reach out to the front desk by responding to this message any time. Reply QUIT to stop.</t>
  </si>
  <si>
    <t>Hi Lesli,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</si>
  <si>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Lesli,
This is Ashworth By The Sea Hotel. Make sure to complete the pre-arrival check-in for your upcoming stay:
https://mobility.stayntouch.com/checkin/url/linabs/canary. 
You can reach out to the front desk by responding to this message any time. Reply QUIT to stop.</t>
  </si>
  <si>
    <t>Dear Mikaela,
This is Ashworth By The Sea Hotel. Make sure to complete the pre-arrival check-in for your upcoming stay:
https://mobility.stayntouch.com/checkin/url/linabs/canary. 
You can reach out to the front desk by responding to this message any time. Reply QUIT to stop.</t>
  </si>
  <si>
    <t>Hi Mikaela,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</si>
  <si>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Ghisaliae,
This is Ashworth By The Sea Hotel. Make sure to complete the pre-arrival check-in for your upcoming stay:
https://mobility.stayntouch.com/checkin/url/linabs/canary. 
You can reach out to the front desk by responding to this message any time. Reply QUIT to stop.</t>
  </si>
  <si>
    <t>Hi Ghisaliae,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</si>
  <si>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Hi Marie,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</si>
  <si>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Marie,
This is Ashworth By The Sea Hotel. Make sure to complete the pre-arrival check-in for your upcoming stay:
https://mobility.stayntouch.com/checkin/url/linabs/canary. 
You can reach out to the front desk by responding to this message any time. Reply QUIT to stop.</t>
  </si>
  <si>
    <t>Hi ileana,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</si>
  <si>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ileana,
This is Ashworth By The Sea Hotel. Make sure to complete the pre-arrival check-in for your upcoming stay:
https://mobility.stayntouch.com/checkin/url/linabs/canary. 
You can reach out to the front desk by responding to this message any time. Reply QUIT to stop.</t>
  </si>
  <si>
    <t>Hi Maurice,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</si>
  <si>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LORI,
This is Ashworth By The Sea Hotel. Make sure to complete the pre-arrival check-in for your upcoming stay:
https://mobility.stayntouch.com/checkin/url/linabs/canary. 
You can reach out to the front desk by responding to this message any time. Reply QUIT to stop.</t>
  </si>
  <si>
    <t>Hi LORI,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</si>
  <si>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Hi Jeremiah,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</si>
  <si>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Dear Jeremiah,
This is Ashworth By The Sea Hotel. Make sure to complete the pre-arrival check-in for your upcoming stay:
https://mobility.stayntouch.com/checkin/url/linabs/canary. 
You can reach out to the front desk by responding to this message any time. Reply QUIT to stop.</t>
  </si>
  <si>
    <t>Hi Meghann,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</si>
  <si>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Hi Jake,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</si>
  <si>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Hi Lydia,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</si>
  <si>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Dear Lydia,
This is Ashworth By The Sea Hotel. Make sure to complete the pre-arrival check-in for your upcoming stay:
https://mobility.stayntouch.com/checkin/url/linabs/canary. 
You can reach out to the front desk by responding to this message any time. Reply QUIT to stop.</t>
  </si>
  <si>
    <t>908-770-8553</t>
  </si>
  <si>
    <t>We will also have two cars to valet park</t>
  </si>
  <si>
    <t>I see that you reserved an oceanfront room with one king-size bed and a balcony. This will give you a direct view of the ocean. You're welcome to use our valet service for both of your cars; please note that the valet is $25 per car per night, so you will be charged $150 in total for the two cars.</t>
  </si>
  <si>
    <t>Liked “Of course! Please let us know if you have any further questions about your reservation.”</t>
  </si>
  <si>
    <t>We also do have an oceanfront room where I can sit and see directly into the ocean, correct</t>
  </si>
  <si>
    <t>I will arrive at 1 PM for check-in where you charge me $75</t>
  </si>
  <si>
    <t>Hi Linda. Apologies regarding the issues with the link. I've added an early check-in to your reservation. See you tomorrow at 1 pm.</t>
  </si>
  <si>
    <t>And I understand how much it is $25 a car per day</t>
  </si>
  <si>
    <t>Your link does not open</t>
  </si>
  <si>
    <t>Of course! Please let us know if you have any further questions about your reservation.</t>
  </si>
  <si>
    <t>Thank you on the room</t>
  </si>
  <si>
    <t>Thank you so much</t>
  </si>
  <si>
    <t>Yes i am aware as i said above and ok to charge me for parking</t>
  </si>
  <si>
    <t>Hi Marcos,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</si>
  <si>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Hi robert,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</si>
  <si>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Hi Narendra,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</si>
  <si>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Dear Narendra,
This is Ashworth By The Sea Hotel. Make sure to complete the pre-arrival check-in for your upcoming stay:
https://mobility.stayntouch.com/checkin/url/linabs/canary. 
You can reach out to the front desk by responding to this message any time. Reply QUIT to stop.</t>
  </si>
  <si>
    <t>Dear Xiangzhen,
This is Ashworth By The Sea Hotel. Make sure to complete the pre-arrival check-in for your upcoming stay:
https://mobility.stayntouch.com/checkin/url/linabs/canary. 
You can reach out to the front desk by responding to this message any time. Reply QUIT to stop.</t>
  </si>
  <si>
    <t>Hi Xiangzhen,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</si>
  <si>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978 821 5542</t>
  </si>
  <si>
    <t>Dear Maria,
This is Ashworth By The Sea Hotel. Make sure to complete the pre-arrival check-in for your upcoming stay:
https://mobility.stayntouch.com/checkin/url/linabs/canary. 
You can reach out to the front desk by responding to this message any time. Reply QUIT to stop.</t>
  </si>
  <si>
    <t>978-290-2019</t>
  </si>
  <si>
    <t>Hi Tara,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</si>
  <si>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Dear Tara,
This is Ashworth By The Sea Hotel. Make sure to complete the pre-arrival check-in for your upcoming stay:
https://mobility.stayntouch.com/checkin/url/linabs/canary. 
You can reach out to the front desk by responding to this message any time. Reply QUIT to stop.</t>
  </si>
  <si>
    <t>Dear Maranda,
This is Ashworth By The Sea Hotel. Make sure to complete the pre-arrival check-in for your upcoming stay:
https://mobility.stayntouch.com/checkin/url/linabs/canary. 
You can reach out to the front desk by responding to this message any time. Reply QUIT to stop.</t>
  </si>
  <si>
    <t>Hi Keith,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</si>
  <si>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Hi Mark,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</si>
  <si>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Hi Maranda,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</si>
  <si>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Sarey,
This is Ashworth By The Sea Hotel. Make sure to complete the pre-arrival check-in for your upcoming stay:
https://mobility.stayntouch.com/checkin/url/linabs/canary. 
You can reach out to the front desk by responding to this message any time. Reply QUIT to stop.</t>
  </si>
  <si>
    <t>Hi Sarey,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</si>
  <si>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Hello 
Is there a chance the room will be ready early?
If not we will be back at 4pm</t>
  </si>
  <si>
    <t>Dear katherine,
This is Ashworth By The Sea Hotel. Make sure to complete the pre-arrival check-in for your upcoming stay:
https://mobility.stayntouch.com/checkin/url/linabs/canary. 
You can reach out to the front desk by responding to this message any time. Reply QUIT to stop.</t>
  </si>
  <si>
    <t>Hi katherine,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</si>
  <si>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Hi Shahid,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</si>
  <si>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Araujo,
This is Ashworth By The Sea Hotel. Make sure to complete the pre-arrival check-in for your upcoming stay:
https://mobility.stayntouch.com/checkin/url/linabs/canary. 
You can reach out to the front desk by responding to this message any time. Reply QUIT to stop.</t>
  </si>
  <si>
    <t>Hi Araujo,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</si>
  <si>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Matthew,
This is Ashworth By The Sea Hotel. Make sure to complete the pre-arrival check-in for your upcoming stay:
https://mobility.stayntouch.com/checkin/url/linabs/canary. 
You can reach out to the front desk by responding to this message any time. Reply QUIT to stop.</t>
  </si>
  <si>
    <t>Hi Matthew,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</si>
  <si>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SherylAnne,
This is Ashworth By The Sea Hotel. Make sure to complete the pre-arrival check-in for your upcoming stay:
https://mobility.stayntouch.com/checkin/url/linabs/canary. 
You can reach out to the front desk by responding to this message any time. Reply QUIT to stop.</t>
  </si>
  <si>
    <t>Hi SherylAnne,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</si>
  <si>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Hi Tammy,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</si>
  <si>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Hi Sondrea,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</si>
  <si>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Check out</t>
  </si>
  <si>
    <t>Hi Charlie,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</si>
  <si>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We'll be there shortly.</t>
  </si>
  <si>
    <t>Good afternoon Nancy, your room is ready for check-in</t>
  </si>
  <si>
    <t>Hi victor,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</si>
  <si>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Tod,
This is Ashworth By The Sea Hotel. Make sure to complete the pre-arrival check-in for your upcoming stay:
https://mobility.stayntouch.com/checkin/url/linabs/canary. 
You can reach out to the front desk by responding to this message any time. Reply QUIT to stop.</t>
  </si>
  <si>
    <t>Hi Tod,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</si>
  <si>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Simon,
This is Ashworth By The Sea Hotel. Make sure to complete the pre-arrival check-in for your upcoming stay:
https://mobility.stayntouch.com/checkin/url/linabs/canary. 
You can reach out to the front desk by responding to this message any time. Reply QUIT to stop.</t>
  </si>
  <si>
    <t>Hi Marisa,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</si>
  <si>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Late check out.</t>
  </si>
  <si>
    <t xml:space="preserve">Pre-check in for your stay at Ashworth by the Sea
Hi KAYLA,
Use the link below to check in before your arrival to speed up the process!
Upgrades and more may be available!
Pre Check-In
When you arrive, please present your photo ID and credit card. See you soon -
safe travels!
This is an automated message from Ashworth by the Sea -
frontdesk@ashworthbythesea.com
©2026  |  All Rights Reserved
295 Ocean Blvd. , Hampton, NH, 03842, United States
Call us at  603-926-6762
Privacy Policy  |  FAQs
</t>
  </si>
  <si>
    <t>Dear Curt,
This is Ashworth By The Sea Hotel. Make sure to complete the pre-arrival check-in for your upcoming stay:
https://mobility.stayntouch.com/checkin/url/linabs/canary. 
You can reach out to the front desk by responding to this message any time. Reply QUIT to stop.</t>
  </si>
  <si>
    <t>We would possibly like to get the same room we booked last year. I think it was 151? Right off the elevator? Would that be possible?</t>
  </si>
  <si>
    <t>Good afternoon Sameh, Please let us know if you would like to re-book this reservation for you. Ashworth by the Sea 603 926 6762</t>
  </si>
  <si>
    <t>Stop</t>
  </si>
  <si>
    <t>If I could please get in room earlier</t>
  </si>
  <si>
    <t>Start</t>
  </si>
  <si>
    <t>Hi rebecca,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</si>
  <si>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 xml:space="preserve">Pre-check in for your stay at Ashworth by the Sea
                                   Hi SHIMA,
  Use the link below to check in before your arrival to speed up the process!
                      Upgrades and more may be available!
                                  Pre Check-In
 When you arrive, please present your photo ID and credit card. See you soon -
                                 safe travels!
            This is an automated message from Ashworth by the Sea -
                         frontdesk@ashworthbythesea.com
                         ©2026  |  All Rights Reserved
              295 Ocean Blvd. , Hampton, NH, 03842, United States
                            Call us at  603-926-6762
                            Privacy Policy  |  FAQs
</t>
  </si>
  <si>
    <t xml:space="preserve">INVOICE: Ashworth by the Sea | 101285
Thank you for staying at Ashworth by the Sea. Your invoice is attached.
</t>
  </si>
  <si>
    <t>Hi Sue,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</si>
  <si>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Dear Arielle,
This is Ashworth By The Sea Hotel. Make sure to complete the pre-arrival check-in for your upcoming stay:
https://mobility.stayntouch.com/checkin/url/linabs/canary. 
You can reach out to the front desk by responding to this message any time. Reply QUIT to stop.</t>
  </si>
  <si>
    <t>Book a summer getaway while you're stuck inside.
Your Summer Seat by the Sea
Snowstorm days have a way of making everyone crave sunshine, salt air, and wide-open beaches. And with summer only 117 days away, this is your sign to use the time inside to lock in your plans.
Reserve Ashworth by the Sea now for a front-row Hampton Beach stay—waves, boardwalk energy, and sunrise walks included.
Book Now
Facebook Instagram
Ashworth by the Sea
295 Ocean Blvd
Hampton, NH 03842
If you'd like to unsubscribe and stop receiving these emails  click here</t>
  </si>
  <si>
    <t xml:space="preserve">How was your stay at Ashworth By The Sea? 3 Minute Survey
Please share your feedback with Medallia
Thank you so much for your recent stay.
‌ ‌ ‌ ‌ ‌ ‌ ‌ ‌ ‌ ‌ ‌ ‌ ‌ ‌ ‌ ‌ ‌ ‌ 
alt_text
Dear Jesse Rouse,
We hope you enjoyed your recent stay at Ashworth By The Sea, where you checked
out on July 13, 2026.
We genuinely care about your experience with us, and we'd really appreciate your
feedback — it will only take a few minutes.
How likely are you to recommend Ashworth By The Sea to a friend or colleague?
Not at all Likely                        Extremely Likely
0       1       2      3      4      5      6      7      8      9      10
By completing this survey, you may be contacted by the hotel to help improve the
quality of service provided.
We appreciate your opinion and look forward to welcoming you again soon.
Kind Regards,
Andrew Fare
General Manager
Ashworth By The Sea
Powered by Medallia
Please do not “Reply” to this invitation.
To unsubscribe: We rely on feedback from guests to ensure that your stay will
meet and exceed your expectations. If, however, you would not like to receive a
survey invitation in the future, please click this link:
https://survey10.medallia.com/?e734fyykfd94wn22m9crht&amp;reject=begin, to
unsubscribe to our guest satisfaction surveys.
Should you need help accessing or completing this survey, please visit:
surveysupport.medallia.com
</t>
  </si>
  <si>
    <t>Hi Dupont,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</si>
  <si>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Crystalee,
This is Ashworth By The Sea Hotel. Make sure to complete the pre-arrival check-in for your upcoming stay:
https://mobility.stayntouch.com/checkin/url/linabs/canary. 
You can reach out to the front desk by responding to this message any time. Reply QUIT to stop.</t>
  </si>
  <si>
    <t>Dear Hope,
This is Ashworth By The Sea Hotel. Make sure to complete the pre-arrival check-in for your upcoming stay:
https://mobility.stayntouch.com/checkin/url/linabs/canary. 
You can reach out to the front desk by responding to this message any time. Reply QUIT to stop.</t>
  </si>
  <si>
    <t>Hi Molly,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</si>
  <si>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Hi Miranda,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</si>
  <si>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Hi Ruby,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</si>
  <si>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 xml:space="preserve">Pre-check in for your stay at Ashworth by the Sea
                                    Hi Kyla,
  Use the link below to check in before your arrival to speed up the process!
                      Upgrades and more may be available!
                                  Pre Check-In
 When you arrive, please present your photo ID and credit card. See you soon -
                                 safe travels!
            This is an automated message from Ashworth by the Sea -
                         frontdesk@ashworthbythesea.com
                         ©2026  |  All Rights Reserved
              295 Ocean Blvd. , Hampton, NH, 03842, United States
                            Call us at  603-926-6762
                            Privacy Policy  |  FAQs
</t>
  </si>
  <si>
    <t>Dear Vicky,
This is Ashworth By The Sea Hotel. Make sure to complete the pre-arrival check-in for your upcoming stay:
https://mobility.stayntouch.com/checkin/url/linabs/canary. 
You can reach out to the front desk by responding to this message any time. Reply QUIT to stop.</t>
  </si>
  <si>
    <t>Dear hold,
This is Ashworth By The Sea Hotel. Make sure to complete the pre-arrival check-in for your upcoming stay:
https://mobility.stayntouch.com/checkin/url/linabs/canary. 
You can reach out to the front desk by responding to this message any time. Reply QUIT to stop.</t>
  </si>
  <si>
    <t xml:space="preserve">How was your stay at Ashworth By The Sea? 3 Minute Survey
Please share your feedback with Medallia
                    Thank you so much for your recent stay.
                      ‌ ‌ ‌ ‌ ‌ ‌ ‌ ‌ ‌ ‌ ‌ ‌ ‌ ‌ ‌ ‌ ‌ ‌ 
alt_text
Dear Frank Santoro,
We hope you enjoyed your recent stay at Ashworth By The Sea, where you checked
out on July 23, 2026.
We genuinely care about your experience with us, and we'd really appreciate your
feedback — it will only take a few minutes.
How likely are you to recommend Ashworth By The Sea to a friend or colleague?
Not at all Likely                                               Extremely Likely
┌──────┬──────┬──────┬──────┬──────┬──────┬──────┬──────┬──────┬──────┬────────┐
│  0   │  1   │  2   │  3   │  4   │  5   │  6   │  7   │  8   │  9   │   10   │
└──────┴──────┴──────┴──────┴──────┴──────┴──────┴──────┴──────┴──────┴────────┘
By completing this survey, you may be contacted by the hotel to help improve the
quality of service provided.
We appreciate your opinion and look forward to welcoming you again soon.
Kind Regards,
Andrew Fare
General Manager
Ashworth By The Sea
                              Powered by Medallia
Please do not “Reply” to this invitation.
To unsubscribe: We rely on feedback from guests to ensure that your stay will
meet and exceed your expectations. If, however, you would not like to receive a
survey invitation in the future, please click this link:
https://survey10.medallia.com/?e2xtztykfd94wn22m9crht&amp;reject=begin, to
unsubscribe to our guest satisfaction surveys.
Should you need help accessing or completing this survey, please visit:
surveysupport.medallia.com
</t>
  </si>
  <si>
    <t>STOP</t>
  </si>
  <si>
    <t>Star</t>
  </si>
  <si>
    <t>Dear Joseph Pettigrew,
Thank you for taking the time to complete our survey. Your feedback is essential in our effort to improve our service standards. We&amp;#39;re glad to hear you enjoyed your stay, found the hotel clean, and that our front desk associate made a positive impression. We appreciate your comments regarding the fees at check-in. We understand that unexpected charges can be frustrating. During the summer season, valet parking is mandatory due to the high demand for parking and limited availability on the property. Additionally, our resort fee is a mandatory charge that helps support the amenities and services available to all guests. We apologize if these fees were not communicated clearly prior to your arrival and will continue working to ensure this information is presented as transparently as possible. Thank you again for your feedback. We hope to have the opportunity to welcome you back for another enjoyable stay. Your comments have been shared with the appropriate departments so that they may be addressed. Please feel free to contact me directly and it will be my pleasure to assist you.
Thank you for choosing Ashworth By The Sea! 
Sincerely,
Andrew Fare
General Mana----@--------.---esea.com</t>
  </si>
  <si>
    <t>Can you honor the cancellation with full refund? Then I can make the date change?</t>
  </si>
  <si>
    <t xml:space="preserve">Pre-check in for your stay at Ashworth by the Sea
                                  Hi Caitlin,
  Use the link below to check in before your arrival to speed up the process!
                      Upgrades and more may be available!
                                  Pre Check-In
 When you arrive, please present your photo ID and credit card. See you soon -
                                 safe travels!
            This is an automated message from Ashworth by the Sea -
                         frontdesk@ashworthbythesea.com
                         ©2026  |  All Rights Reserved
              295 Ocean Blvd. , Hampton, NH, 03842, United States
                            Call us at  603-926-6762
                            Privacy Policy  |  FAQs
</t>
  </si>
  <si>
    <t>Hi tristan,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</si>
  <si>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Why should I be charged 2 days of parking fees when I was only there for less than 24 hours? We arrived after 3 and left before 10 the following morning. I don’t think that’s right.</t>
  </si>
  <si>
    <t>Dear Mona,
This is Ashworth By The Sea Hotel. Make sure to complete the pre-arrival check-in for your upcoming stay:
https://mobility.stayntouch.com/checkin/url/linabs/canary. 
You can reach out to the front desk by responding to this message any time. Reply QUIT to stop.</t>
  </si>
  <si>
    <t xml:space="preserve">INVOICE: Ashworth by the Sea | 101262
Thank you for staying at Ashworth by the Sea. Your invoice is attached.
</t>
  </si>
  <si>
    <t>Dear Erik,
This is Ashworth By The Sea Hotel. Make sure to complete the pre-arrival check-in for your upcoming stay:
https://mobility.stayntouch.com/checkin/url/linabs/canary. 
You can reach out to the front desk by responding to this message any time. Reply QUIT to stop.</t>
  </si>
  <si>
    <t xml:space="preserve">Pre-check in for your stay at Ashworth by the Sea
Hi Joseph,
Use the link below to check in before your arrival to speed up the process!
Upgrades and more may be available!
Pre Check-In
When you arrive, please present your photo ID and credit card. See you soon -
safe travels!
This is an automated message from Ashworth by the Sea -
frontdesk@ashworthbythesea.com
©2026  |  All Rights Reserved
295 Ocean Blvd. , Hampton, NH, 03842, United States
Call us at  603-926-6762
Privacy Policy  |  FAQs
</t>
  </si>
  <si>
    <t xml:space="preserve">INVOICE: Ashworth by the Sea | 104683
Thank you for staying at Ashworth by the Sea. Your invoice is attached.
</t>
  </si>
  <si>
    <t>Dear Marisa,
This is Ashworth By The Sea Hotel. Make sure to complete the pre-arrival check-in for your upcoming stay:
https://mobility.stayntouch.com/checkin/url/linabs/canary. 
You can reach out to the front desk by responding to this message any time. Reply QUIT to stop.</t>
  </si>
  <si>
    <t xml:space="preserve">INVOICE: Ashworth by the Sea | 105103
Thank you for staying at Ashworth by the Sea. Your invoice is attached.
</t>
  </si>
  <si>
    <t xml:space="preserve">INVOICE: Ashworth by the Sea | 101268
Thank you for staying at Ashworth by the Sea. Your invoice is attached.
</t>
  </si>
  <si>
    <t xml:space="preserve">How was your stay at Ashworth By The Sea? 3 Minute Survey
Please share your feedback with Medallia
                    Thank you so much for your recent stay.
                      ‌ ‌ ‌ ‌ ‌ ‌ ‌ ‌ ‌ ‌ ‌ ‌ ‌ ‌ ‌ ‌ ‌ ‌ 
alt_text
Dear Jennifer Fall,
We hope you enjoyed your recent stay at Ashworth By The Sea, where you checked
out on July 19, 2026.
We genuinely care about your experience with us, and we'd really appreciate your
feedback — it will only take a few minutes.
How likely are you to recommend Ashworth By The Sea to a friend or colleague?
Not at all Likely                                               Extremely Likely
┌──────┬──────┬──────┬──────┬──────┬──────┬──────┬──────┬──────┬──────┬────────┐
│  0   │  1   │  2   │  3   │  4   │  5   │  6   │  7   │  8   │  9   │   10   │
└──────┴──────┴──────┴──────┴──────┴──────┴──────┴──────┴──────┴──────┴────────┘
By completing this survey, you may be contacted by the hotel to help improve the
quality of service provided.
We appreciate your opinion and look forward to welcoming you again soon.
Kind Regards,
Andrew Fare
General Manager
Ashworth By The Sea
                              Powered by Medallia
Please do not “Reply” to this invitation.
To unsubscribe: We rely on feedback from guests to ensure that your stay will
meet and exceed your expectations. If, however, you would not like to receive a
survey invitation in the future, please click this link:
https://survey10.medallia.com/?erc82fykfd94wn22m9crht&amp;reject=begin, to
unsubscribe to our guest satisfaction surveys.
Should you need help accessing or completing this survey, please visit:
surveysupport.medallia.com
</t>
  </si>
  <si>
    <t xml:space="preserve">INVOICE: Ashworth by the Sea | 106919
Thank you for staying at Ashworth by the Sea. Your invoice is attached.
</t>
  </si>
  <si>
    <t xml:space="preserve">Enjoy Your Stay at The Ashworth by the Sea
Hi Frank,
We hope you're enjoying your stay at The Ashworth by the Sea!
Have you taken advantage of our complimentary guest amenities yet? Stop by the
front desk to borrow a beach chair and umbrella, or explore the area on one of
our complimentary bikes.
Don't forget to visit The Sandbar Rooftop Restaurant, now open for drinks,
dining, and stunning ocean views. View the current hours and menu using the link
below:
https://www.ashworthhotel.com/dining/the-sandbar-rooftop-lounge
If there's anything we can do to make your stay even more enjoyable, please
don't hesitate to let us know. We're here to help!
We hope you continue to have a wonderful stay.
Warm regards,
The Ashworth by the Sea Team
       Ashworth By The Sea Hotel | 295 Ocean Blvd, Hampton, NH 03842-3629
Canary Technologies logo Powered by Canary Technologies • Unsubscribe • Privacy
                                     Policy
</t>
  </si>
  <si>
    <t xml:space="preserve">INVOICE: Ashworth by the Sea | 106565
Thank you for staying at Ashworth by the Sea. Your invoice is attached.
</t>
  </si>
  <si>
    <t>late checkout if possible</t>
  </si>
  <si>
    <t>Hi Beibei,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</si>
  <si>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 xml:space="preserve">Pre-check in for your stay at Ashworth by the Sea
                                  Hi Richard,
  Use the link below to check in before your arrival to speed up the process!
                      Upgrades and more may be available!
                                  Pre Check-In
 When you arrive, please present your photo ID and credit card. See you soon -
                                 safe travels!
            This is an automated message from Ashworth by the Sea -
                         frontdesk@ashworthbythesea.com
                         ©2026  |  All Rights Reserved
              295 Ocean Blvd. , Hampton, NH, 03842, United States
                            Call us at  603-926-6762
                            Privacy Policy  |  FAQs
</t>
  </si>
  <si>
    <t>Hi Erik,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</si>
  <si>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 xml:space="preserve">Ashworth By The Sea Hotel - Set checkout time now
Contactless Checkout
Hello Kayla,
Your departure is coming up. Use the link below to set your checkout time.
https://mobility.stayntouch.com/checkout/ashworthbythesea
We hope you enjoyed your stay.
Sincerely,
Ashworth By The Sea Hotel
       Ashworth By The Sea Hotel | 295 Ocean Blvd, Hampton, NH 03842-3629
Canary Technologies logo Powered by Canary Technologies • Unsubscribe • Privacy
                                     Policy
</t>
  </si>
  <si>
    <t>Dear Jaylyn,
This is Ashworth By The Sea Hotel. Make sure to complete the pre-arrival check-in for your upcoming stay:
https://mobility.stayntouch.com/checkin/url/linabs/canary. 
You can reach out to the front desk by responding to this message any time. Reply QUIT to stop.</t>
  </si>
  <si>
    <t xml:space="preserve">Pre-check in for your stay at Ashworth by the Sea
                                   Hi Anniah,
  Use the link below to check in before your arrival to speed up the process!
                      Upgrades and more may be available!
                                  Pre Check-In
 When you arrive, please present your photo ID and credit card. See you soon -
                                 safe travels!
            This is an automated message from Ashworth by the Sea -
                         frontdesk@ashworthbythesea.com
                         ©2026  |  All Rights Reserved
              295 Ocean Blvd. , Hampton, NH, 03842, United States
                            Call us at  603-926-6762
                            Privacy Policy  |  FAQs
</t>
  </si>
  <si>
    <t>Dear Kurtis,
This is Ashworth By The Sea Hotel. Make sure to complete the pre-arrival check-in for your upcoming stay:
https://mobility.stayntouch.com/checkin/url/linabs/canary. 
You can reach out to the front desk by responding to this message any time. Reply QUIT to stop.</t>
  </si>
  <si>
    <t>Yes, i approved it.</t>
  </si>
  <si>
    <t>Hello, we would be able to cancel this. However, you booked through "Expedia advanced purchase" so you will need to reach out to them for a refund.</t>
  </si>
  <si>
    <t xml:space="preserve">Complete pre-arrival check-in - Ashworth By The Sea Hotel
Contactless Check-In
Hello Josselyn,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Canary Technologies logo Powered by Canary Technologies • Unsubscribe • Privacy
Policy
</t>
  </si>
  <si>
    <t>Hi Evangeline,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</si>
  <si>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Hi Kevin H,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</si>
  <si>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 xml:space="preserve">Pre-check in for your stay at Ashworth by the Sea
Hi JOSSELYN,
Use the link below to check in before your arrival to speed up the process!
Upgrades and more may be available!
Pre Check-In
When you arrive, please present your photo ID and credit card. See you soon -
safe travels!
This is an automated message from Ashworth by the Sea -
frontdesk@ashworthbythesea.com
©2026  |  All Rights Reserved
295 Ocean Blvd. , Hampton, NH, 03842, United States
Call us at  603-926-6762
Privacy Policy  |  FAQs
</t>
  </si>
  <si>
    <t xml:space="preserve">Complete pre-arrival check-in - Ashworth By The Sea Hotel
Contactless Check-In
Hello Szecskas,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Canary Technologies logo Powered by Canary Technologies • Unsubscribe • Privacy
Policy
</t>
  </si>
  <si>
    <t>Hi Curt,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</si>
  <si>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 xml:space="preserve">Ashworth By The Sea Hotel - Set checkout time now
Contactless Checkout
Hello Priscilla,
Your departure is coming up. Use the link below to set your checkout time.
https://mobility.stayntouch.com/checkout/ashworthbythesea
We hope you enjoyed your stay.
Sincerely,
Ashworth By The Sea Hotel
       Ashworth By The Sea Hotel | 295 Ocean Blvd, Hampton, NH 03842-3629
Canary Technologies logo Powered by Canary Technologies • Unsubscribe • Privacy
                                     Policy
</t>
  </si>
  <si>
    <t>Dear Lillian,
This is Ashworth By The Sea Hotel. Make sure to complete the pre-arrival check-in for your upcoming stay:
https://mobility.stayntouch.com/checkin/url/linabs/canary. 
You can reach out to the front desk by responding to this message any time. Reply QUIT to stop.</t>
  </si>
  <si>
    <t xml:space="preserve">Pre-check in for your stay at Ashworth by the Sea
                                   Hi Jeremy,
  Use the link below to check in before your arrival to speed up the process!
                      Upgrades and more may be available!
                                  Pre Check-In
 When you arrive, please present your photo ID and credit card. See you soon -
                                 safe travels!
            This is an automated message from Ashworth by the Sea -
                         frontdesk@ashworthbythesea.com
                         ©2026  |  All Rights Reserved
              295 Ocean Blvd. , Hampton, NH, 03842, United States
                            Call us at  603-926-6762
                            Privacy Policy  |  FAQs
</t>
  </si>
  <si>
    <t xml:space="preserve">Complete pre-arrival check-in - Ashworth By The Sea Hotel
Contactless Check-In
Hello Andrew,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Canary Technologies logo Powered by Canary Technologies • Unsubscribe • Privacy
                                     Policy
</t>
  </si>
  <si>
    <t xml:space="preserve">How was your stay at Ashworth By The Sea? 3 Minute Survey
Please share your feedback with Medallia
                    Thank you so much for your recent stay.
                      ‌ ‌ ‌ ‌ ‌ ‌ ‌ ‌ ‌ ‌ ‌ ‌ ‌ ‌ ‌ ‌ ‌ ‌ 
alt_text
Dear Patricia Ebbs,
We hope you enjoyed your recent stay at Ashworth By The Sea, where you checked
out on July 24, 2026.
We genuinely care about your experience with us, and we'd really appreciate your
feedback — it will only take a few minutes.
How likely are you to recommend Ashworth By The Sea to a friend or colleague?
Not at all Likely                                               Extremely Likely
┌──────┬──────┬──────┬──────┬──────┬──────┬──────┬──────┬──────┬──────┬────────┐
│  0   │  1   │  2   │  3   │  4   │  5   │  6   │  7   │  8   │  9   │   10   │
└──────┴──────┴──────┴──────┴──────┴──────┴──────┴──────┴──────┴──────┴────────┘
By completing this survey, you may be contacted by the hotel to help improve the
quality of service provided.
We appreciate your opinion and look forward to welcoming you again soon.
Kind Regards,
Andrew Fare
General Manager
Ashworth By The Sea
                              Powered by Medallia
Please do not “Reply” to this invitation.
To unsubscribe: We rely on feedback from guests to ensure that your stay will
meet and exceed your expectations. If, however, you would not like to receive a
survey invitation in the future, please click this link:
https://survey10.medallia.com/?emcndz7ffd94wn22m9crht&amp;reject=begin, to
unsubscribe to our guest satisfaction surveys.
Should you need help accessing or completing this survey, please visit:
surveysupport.medallia.com
</t>
  </si>
  <si>
    <t>30th wedding anniversary would love a great ocean view .  See you on August 20th . Renee Vincent</t>
  </si>
  <si>
    <t xml:space="preserve">Reminder : How was your stay at Ashworth By The Sea? 3 Minute Survey
Please share your feedback with Medallia
                    Thank you so much for your recent stay.
                      ‌ ‌ ‌ ‌ ‌ ‌ ‌ ‌ ‌ ‌ ‌ ‌ ‌ ‌ ‌ ‌ ‌ ‌ 
alt_text
Dear Ian Thomas,
A few days ago, we sent you an invitation for you to provide us with valuable
feedback regarding your recent stay with us at Ashworth By The Sea, where you
checked out on July 12, 2026.
We would still like to hear about your stay and understand if we met your
expectations. It's easy and will only take a few minutes.
How likely are you to recommend Ashworth By The Sea to a friend or colleague?
Not at all Likely                                               Extremely Likely
┌──────┬──────┬──────┬──────┬──────┬──────┬──────┬──────┬──────┬──────┬────────┐
│  0   │  1   │  2   │  3   │  4   │  5   │  6   │  7   │  8   │  9   │   10   │
└──────┴──────┴──────┴──────┴──────┴──────┴──────┴──────┴──────┴──────┴────────┘
This is the only reminder you will receive from us. If you have already
completed this online form, please disregard this email and thank you for
sharing your opinions with us.
Sincerely,
Andrew Fare
General Manager
Ashworth By The Sea
                              Powered by Medallia
Please do not “Reply” to this invitation.
To unsubscribe: We rely on feedback from guests to ensure that your stay will
meet and exceed your expectations. If, however, you would not like to receive a
survey invitation in the future, please click this link:
https://survey10.medallia.com/?efhych2kfd94wn22m9crht&amp;reject=begin, to
unsubscribe to our guest satisfaction surveys.
Should you need help accessing or completing this survey, please visit:
surveysupport.medallia.com
</t>
  </si>
  <si>
    <t>Hi Donna,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</si>
  <si>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Hi Enza,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</si>
  <si>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Hi Nancy, that shouldn't be a problem. We can take care of the pre-check in at the front desk when you check in.</t>
  </si>
  <si>
    <t xml:space="preserve">Pre-check in for your stay at Ashworth by the Sea
                                  Hi Jessica,
  Use the link below to check in before your arrival to speed up the process!
                      Upgrades and more may be available!
                                  Pre Check-In
 When you arrive, please present your photo ID and credit card. See you soon -
                                 safe travels!
            This is an automated message from Ashworth by the Sea -
                         frontdesk@ashworthbythesea.com
                         ©2026  |  All Rights Reserved
              295 Ocean Blvd. , Hampton, NH, 03842, United States
                            Call us at  603-926-6762
                            Privacy Policy  |  FAQs
</t>
  </si>
  <si>
    <t xml:space="preserve">How was your stay at Ashworth By The Sea? 3 Minute Survey
Please share your feedback with Medallia
Thank you so much for your recent stay.
‌ ‌ ‌ ‌ ‌ ‌ ‌ ‌ ‌ ‌ ‌ ‌ ‌ ‌ ‌ ‌ ‌ ‌ 
alt_text
Dear James Smith,
We hope you enjoyed your recent stay at Ashworth By The Sea, where you checked
out on July 12, 2026.
We genuinely care about your experience with us, and we'd really appreciate your
feedback — it will only take a few minutes.
How likely are you to recommend Ashworth By The Sea to a friend or colleague?
Not at all Likely                        Extremely Likely
0       1       2      3      4      5      6      7      8      9      10
By completing this survey, you may be contacted by the hotel to help improve the
quality of service provided.
We appreciate your opinion and look forward to welcoming you again soon.
Kind Regards,
Andrew Fare
General Manager
Ashworth By The Sea
Powered by Medallia
Please do not “Reply” to this invitation.
To unsubscribe: We rely on feedback from guests to ensure that your stay will
meet and exceed your expectations. If, however, you would not like to receive a
survey invitation in the future, please click this link:
https://survey10.medallia.com/?ep9mch2kfd94wn22m9crht&amp;reject=begin, to
unsubscribe to our guest satisfaction surveys.
Should you need help accessing or completing this survey, please visit:
surveysupport.medallia.com
</t>
  </si>
  <si>
    <t xml:space="preserve">Pre-check in for your stay at Ashworth by the Sea
                                   Hi mathew,
  Use the link below to check in before your arrival to speed up the process!
                      Upgrades and more may be available!
                                  Pre Check-In
 When you arrive, please present your photo ID and credit card. See you soon -
                                 safe travels!
            This is an automated message from Ashworth by the Sea -
                         frontdesk@ashworthbythesea.com
                         ©2026  |  All Rights Reserved
              295 Ocean Blvd. , Hampton, NH, 03842, United States
                            Call us at  603-926-6762
                            Privacy Policy  |  FAQs
</t>
  </si>
  <si>
    <t xml:space="preserve">Pre-check in for your stay at Ashworth by the Sea
                                    Hi Mike,
  Use the link below to check in before your arrival to speed up the process!
                      Upgrades and more may be available!
                                  Pre Check-In
 When you arrive, please present your photo ID and credit card. See you soon -
                                 safe travels!
            This is an automated message from Ashworth by the Sea -
                         frontdesk@ashworthbythesea.com
                         ©2026  |  All Rights Reserved
              295 Ocean Blvd. , Hampton, NH, 03842, United States
                            Call us at  603-926-6762
                            Privacy Policy  |  FAQs
</t>
  </si>
  <si>
    <t xml:space="preserve">Enjoy Your Stay at The Ashworth by the Sea
Hi Kathleen,
We hope you're enjoying your stay at The Ashworth by the Sea!
Have you taken advantage of our complimentary guest amenities yet? Stop by the
front desk to borrow a beach chair and umbrella, or explore the area on one of
our complimentary bikes.
Don't forget to visit The Sandbar Rooftop Restaurant, now open for drinks,
dining, and stunning ocean views. View the current hours and menu using the link
below:
https://www.ashworthhotel.com/dining/the-sandbar-rooftop-lounge
If there's anything we can do to make your stay even more enjoyable, please
don't hesitate to let us know. We're here to help!
We hope you continue to have a wonderful stay.
Warm regards,
The Ashworth by the Sea Team
       Ashworth By The Sea Hotel | 295 Ocean Blvd, Hampton, NH 03842-3629
Canary Technologies logo Powered by Canary Technologies • Unsubscribe • Privacy
                                     Policy
</t>
  </si>
  <si>
    <t>Dear Manon,
This is Ashworth By The Sea Hotel. Make sure to complete the pre-arrival check-in for your upcoming stay:
https://mobility.stayntouch.com/checkin/url/linabs/canary. 
You can reach out to the front desk by responding to this message any time. Reply QUIT to stop.</t>
  </si>
  <si>
    <t>When I booked this, I was looking for a place that allows small dogs. Just confirming you do. What is the fee for the dog?</t>
  </si>
  <si>
    <t>Great thank you!
William Donaldson and Samuel Donaldson</t>
  </si>
  <si>
    <t>Awesome place!  Hope your Valet is ok! Great to all the others from diff positions (the bartender and waitress are 2 i remember) within jump in to try and help!!!!  Great teamwork:-)</t>
  </si>
  <si>
    <t>Hi Jordan,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</si>
  <si>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Maryellen,
This is Ashworth By The Sea Hotel. Make sure to complete the pre-arrival check-in for your upcoming stay:
https://mobility.stayntouch.com/checkin/url/linabs/canary. 
You can reach out to the front desk by responding to this message any time. Reply QUIT to stop.</t>
  </si>
  <si>
    <t>my departure date is July 21st. I booked two separate reservations by accident one for the 19th and one for the 20th - I am not checking out the 20th - my girlfriend called and spoke to somebody and they said that they would combine it into one reservation can you please do that and then send me the attachment</t>
  </si>
  <si>
    <t>Yes, what are their names, we need these if you would like us to check them in for you.</t>
  </si>
  <si>
    <t>It looks like you successfully contacted Expedia because they reached out to us with a cancellation request. I just approved for them to refund you for your stay. - Ashworth by the Sea</t>
  </si>
  <si>
    <t>Good morning Mark, Please let us know if you would like to re-book your reservation for August 7th Ashworth by the Sea 603 926 6762</t>
  </si>
  <si>
    <t>Hello, please add our each day towels today. We prefer not to have anyone enter the room during our stay. Thank you.</t>
  </si>
  <si>
    <t>Hi Simon,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</si>
  <si>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Hi Michael,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</si>
  <si>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 xml:space="preserve">Ashworth By The Sea Hotel - Set checkout time now
Contactless Checkout
Hello Frank,
Your departure is coming up. Use the link below to set your checkout time.
https://mobility.stayntouch.com/checkout/ashworthbythesea
We hope you enjoyed your stay.
Sincerely,
Ashworth By The Sea Hotel
       Ashworth By The Sea Hotel | 295 Ocean Blvd, Hampton, NH 03842-3629
Canary Technologies logo Powered by Canary Technologies • Unsubscribe • Privacy
                                     Policy
</t>
  </si>
  <si>
    <t>Dear Marie-Louise,
This is Ashworth By The Sea Hotel. Make sure to complete the pre-arrival check-in for your upcoming stay:
https://mobility.stayntouch.com/checkin/url/linabs/canary. 
You can reach out to the front desk by responding to this message any time. Reply QUIT to stop.</t>
  </si>
  <si>
    <t>As in book with new dates….</t>
  </si>
  <si>
    <t xml:space="preserve">INVOICE: Ashworth by the Sea | 104684
Thank you for staying at Ashworth by the Sea. Your invoice is attached.
</t>
  </si>
  <si>
    <t xml:space="preserve">Pre-check in for your stay at Ashworth by the Sea
Hi IAN,
Use the link below to check in before your arrival to speed up the process!
Upgrades and more may be available!
Pre Check-In
When you arrive, please present your photo ID and credit card. See you soon -
safe travels!
This is an automated message from Ashworth by the Sea -
frontdesk@ashworthbythesea.com
©2026  |  All Rights Reserved
295 Ocean Blvd. , Hampton, NH, 03842, United States
Call us at  603-926-6762
Privacy Policy  |  FAQs
</t>
  </si>
  <si>
    <t xml:space="preserve">Pre-check in for your stay at Ashworth by the Sea
Hi James,
Use the link below to check in before your arrival to speed up the process!
Upgrades and more may be available!
Pre Check-In
When you arrive, please present your photo ID and credit card. See you soon -
safe travels!
This is an automated message from Ashworth by the Sea -
frontdesk@ashworthbythesea.com
©2026  |  All Rights Reserved
295 Ocean Blvd. , Hampton, NH, 03842, United States
Call us at  603-926-6762
Privacy Policy  |  FAQs
</t>
  </si>
  <si>
    <t>Hi Nichole,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</si>
  <si>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 xml:space="preserve">Complete pre-arrival check-in - Ashworth By The Sea Hotel
Contactless Check-In
Hello Caitlin,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Canary Technologies logo Powered by Canary Technologies • Unsubscribe • Privacy
                                     Policy
</t>
  </si>
  <si>
    <t>Hi Barry,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</si>
  <si>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Hi Maxine L.,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</si>
  <si>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 xml:space="preserve">Pre-check in for your stay at Ashworth by the Sea
                                    Hi Greg,
  Use the link below to check in before your arrival to speed up the process!
                      Upgrades and more may be available!
                                  Pre Check-In
 When you arrive, please present your photo ID and credit card. See you soon -
                                 safe travels!
            This is an automated message from Ashworth by the Sea -
                         frontdesk@ashworthbythesea.com
                         ©2026  |  All Rights Reserved
              295 Ocean Blvd. , Hampton, NH, 03842, United States
                            Call us at  603-926-6762
                            Privacy Policy  |  FAQs
</t>
  </si>
  <si>
    <t>Hi Harald,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</si>
  <si>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 xml:space="preserve">How was your stay at Ashworth By The Sea? 3 Minute Survey
Please share your feedback with Medallia
                    Thank you so much for your recent stay.
                      ‌ ‌ ‌ ‌ ‌ ‌ ‌ ‌ ‌ ‌ ‌ ‌ ‌ ‌ ‌ ‌ ‌ ‌ 
alt_text
Dear Brian Ramos,
We hope you enjoyed your recent stay at Ashworth By The Sea, where you checked
out on July 23, 2026.
We genuinely care about your experience with us, and we'd really appreciate your
feedback — it will only take a few minutes.
How likely are you to recommend Ashworth By The Sea to a friend or colleague?
Not at all Likely                                               Extremely Likely
┌──────┬──────┬──────┬──────┬──────┬──────┬──────┬──────┬──────┬──────┬────────┐
│  0   │  1   │  2   │  3   │  4   │  5   │  6   │  7   │  8   │  9   │   10   │
└──────┴──────┴──────┴──────┴──────┴──────┴──────┴──────┴──────┴──────┴────────┘
By completing this survey, you may be contacted by the hotel to help improve the
quality of service provided.
We appreciate your opinion and look forward to welcoming you again soon.
Kind Regards,
Andrew Fare
General Manager
Ashworth By The Sea
                              Powered by Medallia
Please do not “Reply” to this invitation.
To unsubscribe: We rely on feedback from guests to ensure that your stay will
meet and exceed your expectations. If, however, you would not like to receive a
survey invitation in the future, please click this link:
https://survey10.medallia.com/?e5zmztykfd94wn22m9crht&amp;reject=begin, to
unsubscribe to our guest satisfaction surveys.
Should you need help accessing or completing this survey, please visit:
surveysupport.medallia.com
</t>
  </si>
  <si>
    <t xml:space="preserve">Complete pre-arrival check-in - Ashworth By The Sea Hotel
Contactless Check-In
Hello Joseph,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Canary Technologies logo Powered by Canary Technologies • Unsubscribe • Privacy
Policy
</t>
  </si>
  <si>
    <t>Hi Matthew. We have a couple of options available for a late checkout. We offer a complimentary late checkout at 12 pm and a super late checkout at 1 pm for a fee of $50. Please let us know if either of those options works for you.</t>
  </si>
  <si>
    <t xml:space="preserve">Pre-check in for your stay at Ashworth by the Sea
                                   Hi Davis,
  Use the link below to check in before your arrival to speed up the process!
                      Upgrades and more may be available!
                                  Pre Check-In
 When you arrive, please present your photo ID and credit card. See you soon -
                                 safe travels!
            This is an automated message from Ashworth by the Sea -
                         frontdesk@ashworthbythesea.com
                         ©2026  |  All Rights Reserved
              295 Ocean Blvd. , Hampton, NH, 03842, United States
                            Call us at  603-926-6762
                            Privacy Policy  |  FAQs
</t>
  </si>
  <si>
    <t>Hello,
The last attachment shows an owed balance of over $288, but I already paid for this stay on March 19, 2026 minus $27.13 for the resort fee. Please adjust this prior to our arrival tomorrow.
Thank you,
Kerri</t>
  </si>
  <si>
    <t>Hi Marie-Claude,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</si>
  <si>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Hi Sheila,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</si>
  <si>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 xml:space="preserve">How was your stay at Ashworth By The Sea? 3 Minute Survey
Please share your feedback with Medallia
                    Thank you so much for your recent stay.
                      ‌ ‌ ‌ ‌ ‌ ‌ ‌ ‌ ‌ ‌ ‌ ‌ ‌ ‌ ‌ ‌ ‌ ‌ 
alt_text
Dear Justin Root,
We hope you enjoyed your recent stay at Ashworth By The Sea, where you checked
out on July 19, 2026.
We genuinely care about your experience with us, and we'd really appreciate your
feedback — it will only take a few minutes.
How likely are you to recommend Ashworth By The Sea to a friend or colleague?
Not at all Likely                                               Extremely Likely
┌──────┬──────┬──────┬──────┬──────┬──────┬──────┬──────┬──────┬──────┬────────┐
│  0   │  1   │  2   │  3   │  4   │  5   │  6   │  7   │  8   │  9   │   10   │
└──────┴──────┴──────┴──────┴──────┴──────┴──────┴──────┴──────┴──────┴────────┘
By completing this survey, you may be contacted by the hotel to help improve the
quality of service provided.
We appreciate your opinion and look forward to welcoming you again soon.
Kind Regards,
Andrew Fare
General Manager
Ashworth By The Sea
                              Powered by Medallia
Please do not “Reply” to this invitation.
To unsubscribe: We rely on feedback from guests to ensure that your stay will
meet and exceed your expectations. If, however, you would not like to receive a
survey invitation in the future, please click this link:
https://survey10.medallia.com/?e9sx3fykfd94wn22m9crht&amp;reject=begin, to
unsubscribe to our guest satisfaction surveys.
Should you need help accessing or completing this survey, please visit:
surveysupport.medallia.com
</t>
  </si>
  <si>
    <t>Hi Gabriel,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</si>
  <si>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Dear Meredith,
This is Ashworth By The Sea Hotel. Make sure to complete the pre-arrival check-in for your upcoming stay:
https://mobility.stayntouch.com/checkin/url/linabs/canary. 
You can reach out to the front desk by responding to this message any time. Reply QUIT to stop.</t>
  </si>
  <si>
    <t>Shuck, Sip &amp; Swoon by the Sea.
Valentine's Day is one month away!
Celebrate Valentine’s Day with the ocean as your backdrop at Ashworth by the Sea. Treat your favorite person to an unforgettable evening in Breakers with a four-course dinner for two—complete with a bottle of wine—crafted for romance and shared moments. Join us Friday, 2/13 or Saturday, 2/14 for an elevated seaside experience, or turn date night into a getaway with our overnight package featuring dinner for two, wine, and a complimentary 2pm checkout for a slower, sweeter morning by the
beach.
Valentine’s Dinner for Two at Breakers
Make it a Valentine’s to remember with dinner for two, offered Friday 2/13 and Saturday 2/14. Your experience includes a four-course, shareable menu and a bottle of wine—perfectly paced for lingering and celebrating.
Reserve Your Table Now
Valentine’s Dinner &amp; Overnight Escape
Turn your Valentine’s celebration into a beachfront getaway with our Dinner &amp; Overnight Escape. Enjoy the full Valentine’s Dinner for Two at Breakers—including a four-course meal and bottle of wine—then wake up to a relaxed morning and take your time with a complimentary 2pm checkout.
Reserve Your Getaway Now
Facebook Instagram
Ashworth by the Sea
295 Ocean Blvd
Hampton, NH 03842
If you'd like to unsubscribe and stop receiving these emails  click here</t>
  </si>
  <si>
    <t>Good morning Debbie, We will add this request to your reservation notes.</t>
  </si>
  <si>
    <t xml:space="preserve">Pre-check in for your stay at Ashworth by the Sea
                                  Hi Stephen,
  Use the link below to check in before your arrival to speed up the process!
                      Upgrades and more may be available!
                                  Pre Check-In
 When you arrive, please present your photo ID and credit card. See you soon -
                                 safe travels!
            This is an automated message from Ashworth by the Sea -
                         frontdesk@ashworthbythesea.com
                         ©2026  |  All Rights Reserved
              295 Ocean Blvd. , Hampton, NH, 03842, United States
                            Call us at  603-926-6762
                            Privacy Policy  |  FAQs
</t>
  </si>
  <si>
    <t>Hi Kurtis,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</si>
  <si>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 xml:space="preserve">Pre-check in for your stay at Ashworth by the Sea
Hi Szecskas,
Use the link below to check in before your arrival to speed up the process!
Upgrades and more may be available!
Pre Check-In
When you arrive, please present your photo ID and credit card. See you soon -
safe travels!
This is an automated message from Ashworth by the Sea -
frontdesk@ashworthbythesea.com
©2026  |  All Rights Reserved
295 Ocean Blvd. , Hampton, NH, 03842, United States
Call us at  603-926-6762
Privacy Policy  |  FAQs
</t>
  </si>
  <si>
    <t xml:space="preserve">Reminder : How was your stay at Ashworth By The Sea? 3 Minute Survey
Please share your feedback with Medallia
                    Thank you so much for your recent stay.
                      ‌ ‌ ‌ ‌ ‌ ‌ ‌ ‌ ‌ ‌ ‌ ‌ ‌ ‌ ‌ ‌ ‌ ‌ 
alt_text
Dear Shima Roy,
A few days ago, we sent you an invitation for you to provide us with valuable
feedback regarding your recent stay with us at Ashworth By The Sea, where you
checked out on July 26, 2026.
We would still like to hear about your stay and understand if we met your
expectations. It's easy and will only take a few minutes.
How likely are you to recommend Ashworth By The Sea to a friend or colleague?
Not at all Likely                                               Extremely Likely
┌──────┬──────┬──────┬──────┬──────┬──────┬──────┬──────┬──────┬──────┬────────┐
│  0   │  1   │  2   │  3   │  4   │  5   │  6   │  7   │  8   │  9   │   10   │
└──────┴──────┴──────┴──────┴──────┴──────┴──────┴──────┴──────┴──────┴────────┘
This is the only reminder you will receive from us. If you have already
completed this online form, please disregard this email and thank you for
sharing your opinions with us.
Sincerely,
Andrew Fare
General Manager
Ashworth By The Sea
                              Powered by Medallia
Please do not “Reply” to this invitation.
To unsubscribe: We rely on feedback from guests to ensure that your stay will
meet and exceed your expectations. If, however, you would not like to receive a
survey invitation in the future, please click this link:
https://survey10.medallia.com/?ezp2k37ffd94wn22m9crht&amp;reject=begin, to
unsubscribe to our guest satisfaction surveys.
Should you need help accessing or completing this survey, please visit:
surveysupport.medallia.com
</t>
  </si>
  <si>
    <t>Dear Beibei,
This is Ashworth By The Sea Hotel. Make sure to complete the pre-arrival check-in for your upcoming stay:
https://mobility.stayntouch.com/checkin/url/linabs/canary. 
You can reach out to the front desk by responding to this message any time. Reply QUIT to stop.</t>
  </si>
  <si>
    <t>Good evening</t>
  </si>
  <si>
    <t>Hi Suzanne,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</si>
  <si>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 xml:space="preserve">INVOICE: Ashworth by the Sea | 106992
Thank you for staying at Ashworth by the Sea. Your invoice is attached.
</t>
  </si>
  <si>
    <t xml:space="preserve">Pre-check in for your stay at Ashworth by the Sea
                                  Hi PATRICIA,
  Use the link below to check in before your arrival to speed up the process!
                      Upgrades and more may be available!
                                  Pre Check-In
 When you arrive, please present your photo ID and credit card. See you soon -
                                 safe travels!
            This is an automated message from Ashworth by the Sea -
                         frontdesk@ashworthbythesea.com
                         ©2026  |  All Rights Reserved
              295 Ocean Blvd. , Hampton, NH, 03842, United States
                            Call us at  603-926-6762
                            Privacy Policy  |  FAQs
</t>
  </si>
  <si>
    <t>Hi Colin,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</si>
  <si>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Hi Susie,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</si>
  <si>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 xml:space="preserve">Pre-check in for your stay at Ashworth by the Sea
                                    Hi Alan,
  Use the link below to check in before your arrival to speed up the process!
                      Upgrades and more may be available!
                                  Pre Check-In
 When you arrive, please present your photo ID and credit card. See you soon -
                                 safe travels!
            This is an automated message from Ashworth by the Sea -
                         frontdesk@ashworthbythesea.com
                         ©2026  |  All Rights Reserved
              295 Ocean Blvd. , Hampton, NH, 03842, United States
                            Call us at  603-926-6762
                            Privacy Policy  |  FAQs
</t>
  </si>
  <si>
    <t xml:space="preserve">Pre-check in for your stay at Ashworth by the Sea
                                   Hi Justin,
  Use the link below to check in before your arrival to speed up the process!
                      Upgrades and more may be available!
                                  Pre Check-In
 When you arrive, please present your photo ID and credit card. See you soon -
                                 safe travels!
            This is an automated message from Ashworth by the Sea -
                         frontdesk@ashworthbythesea.com
                         ©2026  |  All Rights Reserved
              295 Ocean Blvd. , Hampton, NH, 03842, United States
                            Call us at  603-926-6762
                            Privacy Policy  |  FAQs
</t>
  </si>
  <si>
    <t>Dear Hang,
This is Ashworth By The Sea Hotel. Make sure to complete the pre-arrival check-in for your upcoming stay:
https://mobility.stayntouch.com/checkin/url/linabs/canary. 
You can reach out to the front desk by responding to this message any time. Reply QUIT to stop.</t>
  </si>
  <si>
    <t>Hi Jaylyn,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</si>
  <si>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Hi Phillip,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</si>
  <si>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 xml:space="preserve">Reminder : How was your stay at Ashworth By The Sea? 3 Minute Survey
Please share your feedback with Medallia
                    Thank you so much for your recent stay.
                      ‌ ‌ ‌ ‌ ‌ ‌ ‌ ‌ ‌ ‌ ‌ ‌ ‌ ‌ ‌ ‌ ‌ ‌ 
alt_text
Dear Mathew Dugre,
A few days ago, we sent you an invitation for you to provide us with valuable
feedback regarding your recent stay with us at Ashworth By The Sea, where you
checked out on July 26, 2026.
We would still like to hear about your stay and understand if we met your
expectations. It's easy and will only take a few minutes.
How likely are you to recommend Ashworth By The Sea to a friend or colleague?
Not at all Likely                                               Extremely Likely
┌──────┬──────┬──────┬──────┬──────┬──────┬──────┬──────┬──────┬──────┬────────┐
│  0   │  1   │  2   │  3   │  4   │  5   │  6   │  7   │  8   │  9   │   10   │
└──────┴──────┴──────┴──────┴──────┴──────┴──────┴──────┴──────┴──────┴────────┘
This is the only reminder you will receive from us. If you have already
completed this online form, please disregard this email and thank you for
sharing your opinions with us.
Sincerely,
Andrew Fare
General Manager
Ashworth By The Sea
                              Powered by Medallia
Please do not “Reply” to this invitation.
To unsubscribe: We rely on feedback from guests to ensure that your stay will
meet and exceed your expectations. If, however, you would not like to receive a
survey invitation in the future, please click this link:
https://survey10.medallia.com/?e929k37ffd94wn22m9crht&amp;reject=begin, to
unsubscribe to our guest satisfaction surveys.
Should you need help accessing or completing this survey, please visit:
surveysupport.medallia.com
</t>
  </si>
  <si>
    <t xml:space="preserve">Complete pre-arrival check-in - Ashworth By The Sea Hotel
Contactless Check-In
Hello Patricia,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Canary Technologies logo Powered by Canary Technologies • Unsubscribe • Privacy
                                     Policy
</t>
  </si>
  <si>
    <t xml:space="preserve">Pre-check in for your stay at Ashworth by the Sea
Hi Jon,
Use the link below to check in before your arrival to speed up the process!
Upgrades and more may be available!
Pre Check-In
When you arrive, please present your photo ID and credit card. See you soon -
safe travels!
This is an automated message from Ashworth by the Sea -
frontdesk@ashworthbythesea.com
©2026  |  All Rights Reserved
295 Ocean Blvd. , Hampton, NH, 03842, United States
Call us at  603-926-6762
Privacy Policy  |  FAQs
</t>
  </si>
  <si>
    <t>Hi bridget,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</si>
  <si>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Confirming that it is indeed dog friendly</t>
  </si>
  <si>
    <t xml:space="preserve">Enjoy Your Stay at The Ashworth by the Sea
Hi Patricia,
We hope you're enjoying your stay at The Ashworth by the Sea!
Have you taken advantage of our complimentary guest amenities yet? Stop by the
front desk to borrow a beach chair and umbrella, or explore the area on one of
our complimentary bikes.
Don't forget to visit The Sandbar Rooftop Restaurant, now open for drinks,
dining, and stunning ocean views. View the current hours and menu using the link
below:
https://www.ashworthhotel.com/dining/the-sandbar-rooftop-lounge
If there's anything we can do to make your stay even more enjoyable, please
don't hesitate to let us know. We're here to help!
We hope you continue to have a wonderful stay.
Warm regards,
The Ashworth by the Sea Team
       Ashworth By The Sea Hotel | 295 Ocean Blvd, Hampton, NH 03842-3629
Canary Technologies logo Powered by Canary Technologies • Unsubscribe • Privacy
                                     Policy
</t>
  </si>
  <si>
    <t>Dear Martha,
This is Ashworth By The Sea Hotel. Make sure to complete the pre-arrival check-in for your upcoming stay:
https://mobility.stayntouch.com/checkin/url/linabs/canary. 
You can reach out to the front desk by responding to this message any time. Reply QUIT to stop.</t>
  </si>
  <si>
    <t xml:space="preserve">Pre-check in for your stay at Ashworth by the Sea
                                    Hi Anna,
  Use the link below to check in before your arrival to speed up the process!
                      Upgrades and more may be available!
                                  Pre Check-In
 When you arrive, please present your photo ID and credit card. See you soon -
                                 safe travels!
            This is an automated message from Ashworth by the Sea -
                         frontdesk@ashworthbythesea.com
                         ©2026  |  All Rights Reserved
              295 Ocean Blvd. , Hampton, NH, 03842, United States
                            Call us at  603-926-6762
                            Privacy Policy  |  FAQs
</t>
  </si>
  <si>
    <t xml:space="preserve">Re: INVOICE: Ashworth by the Sea | 104683
I didn’t check in early and there was only one vehicle that was parked and I was
charged for both rooms.
Jennifer Fall
</t>
  </si>
  <si>
    <t>Good morning Sara,
We are sorry to inform you that our hotel has overbooked for the dates of August 7th and August 8th 2026. We would like you to rebook with us on another date or cancel with a full refund. Please reach out to the hotel at 603 926 6762.
Thank you The Ashworth by the Sea</t>
  </si>
  <si>
    <t xml:space="preserve">Reminder : How was your stay at Ashworth By The Sea? 3 Minute Survey
Please share your feedback with Medallia
                    Thank you so much for your recent stay.
                      ‌ ‌ ‌ ‌ ‌ ‌ ‌ ‌ ‌ ‌ ‌ ‌ ‌ ‌ ‌ ‌ ‌ ‌ 
alt_text
Dear Jennifer Lee,
A few days ago, we sent you an invitation for you to provide us with valuable
feedback regarding your recent stay with us at Ashworth By The Sea, where you
checked out on July 26, 2026.
We would still like to hear about your stay and understand if we met your
expectations. It's easy and will only take a few minutes.
How likely are you to recommend Ashworth By The Sea to a friend or colleague?
Not at all Likely                                               Extremely Likely
┌──────┬──────┬──────┬──────┬──────┬──────┬──────┬──────┬──────┬──────┬────────┐
│  0   │  1   │  2   │  3   │  4   │  5   │  6   │  7   │  8   │  9   │   10   │
└──────┴──────┴──────┴──────┴──────┴──────┴──────┴──────┴──────┴──────┴────────┘
This is the only reminder you will receive from us. If you have already
completed this online form, please disregard this email and thank you for
sharing your opinions with us.
Sincerely,
Andrew Fare
General Manager
Ashworth By The Sea
                              Powered by Medallia
Please do not “Reply” to this invitation.
To unsubscribe: We rely on feedback from guests to ensure that your stay will
meet and exceed your expectations. If, however, you would not like to receive a
survey invitation in the future, please click this link:
https://survey10.medallia.com/?e9h5m37ffd94wn22m9crht&amp;reject=begin, to
unsubscribe to our guest satisfaction surveys.
Should you need help accessing or completing this survey, please visit:
surveysupport.medallia.com
</t>
  </si>
  <si>
    <t xml:space="preserve">Pre-check in for your stay at Ashworth by the Sea
                                  Hi JENNIFER,
  Use the link below to check in before your arrival to speed up the process!
                      Upgrades and more may be available!
                                  Pre Check-In
 When you arrive, please present your photo ID and credit card. See you soon -
                                 safe travels!
            This is an automated message from Ashworth by the Sea -
                         frontdesk@ashworthbythesea.com
                         ©2026  |  All Rights Reserved
              295 Ocean Blvd. , Hampton, NH, 03842, United States
                            Call us at  603-926-6762
                            Privacy Policy  |  FAQs
</t>
  </si>
  <si>
    <t xml:space="preserve">Reminder : How was your stay at Ashworth By The Sea? 3 Minute Survey
Please share your feedback with Medallia
                    Thank you so much for your recent stay.
                      ‌ ‌ ‌ ‌ ‌ ‌ ‌ ‌ ‌ ‌ ‌ ‌ ‌ ‌ ‌ ‌ ‌ ‌ 
alt_text
Dear James Smith,
A few days ago, we sent you an invitation for you to provide us with valuable
feedback regarding your recent stay with us at Ashworth By The Sea, where you
checked out on July 12, 2026.
We would still like to hear about your stay and understand if we met your
expectations. It's easy and will only take a few minutes.
How likely are you to recommend Ashworth By The Sea to a friend or colleague?
Not at all Likely                                               Extremely Likely
┌──────┬──────┬──────┬──────┬──────┬──────┬──────┬──────┬──────┬──────┬────────┐
│  0   │  1   │  2   │  3   │  4   │  5   │  6   │  7   │  8   │  9   │   10   │
└──────┴──────┴──────┴──────┴──────┴──────┴──────┴──────┴──────┴──────┴────────┘
This is the only reminder you will receive from us. If you have already
completed this online form, please disregard this email and thank you for
sharing your opinions with us.
Sincerely,
Andrew Fare
General Manager
Ashworth By The Sea
                              Powered by Medallia
Please do not “Reply” to this invitation.
To unsubscribe: We rely on feedback from guests to ensure that your stay will
meet and exceed your expectations. If, however, you would not like to receive a
survey invitation in the future, please click this link:
https://survey10.medallia.com/?ep9mch2kfd94wn22m9crht&amp;reject=begin, to
unsubscribe to our guest satisfaction surveys.
Should you need help accessing or completing this survey, please visit:
surveysupport.medallia.com
</t>
  </si>
  <si>
    <t xml:space="preserve">Pre-check in for your stay at Ashworth by the Sea
                                   Hi TERRA,
  Use the link below to check in before your arrival to speed up the process!
                      Upgrades and more may be available!
                                  Pre Check-In
 When you arrive, please present your photo ID and credit card. See you soon -
                                 safe travels!
            This is an automated message from Ashworth by the Sea -
                         frontdesk@ashworthbythesea.com
                         ©2026  |  All Rights Reserved
              295 Ocean Blvd. , Hampton, NH, 03842, United States
                            Call us at  603-926-6762
                            Privacy Policy  |  FAQs
</t>
  </si>
  <si>
    <t xml:space="preserve">Complete pre-arrival check-in - Ashworth By The Sea Hotel
Contactless Check-In
Hello andrea,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Canary Technologies logo Powered by Canary Technologies • Unsubscribe • Privacy
                                     Policy
</t>
  </si>
  <si>
    <t>Good afternoon Sameh, I am sorry to inform you that we are overbooked on the dates of August 7 and August 8th. You can cancel this reservation with a full refund or book another date for this reservation. Ashworth by the Sea 603 926 6762</t>
  </si>
  <si>
    <t xml:space="preserve">Complete pre-arrival check-in - Ashworth By The Sea Hotel
Contactless Check-In
Hello Frank,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Canary Technologies logo Powered by Canary Technologies • Unsubscribe • Privacy
                                     Policy
</t>
  </si>
  <si>
    <t xml:space="preserve">Pre-check in for your stay at Ashworth by the Sea
                                   Hi Steven,
  Use the link below to check in before your arrival to speed up the process!
                      Upgrades and more may be available!
                                  Pre Check-In
 When you arrive, please present your photo ID and credit card. See you soon -
                                 safe travels!
            This is an automated message from Ashworth by the Sea -
                         frontdesk@ashworthbythesea.com
                         ©2026  |  All Rights Reserved
              295 Ocean Blvd. , Hampton, NH, 03842, United States
                            Call us at  603-926-6762
                            Privacy Policy  |  FAQs
</t>
  </si>
  <si>
    <t>Dear Evangeline,
This is Ashworth By The Sea Hotel. Make sure to complete the pre-arrival check-in for your upcoming stay:
https://mobility.stayntouch.com/checkin/url/linabs/canary. 
You can reach out to the front desk by responding to this message any time. Reply QUIT to stop.</t>
  </si>
  <si>
    <t xml:space="preserve">Pre-check in for your stay at Ashworth by the Sea
                                   Hi Ritzie,
  Use the link below to check in before your arrival to speed up the process!
                      Upgrades and more may be available!
                                  Pre Check-In
 When you arrive, please present your photo ID and credit card. See you soon -
                                 safe travels!
            This is an automated message from Ashworth by the Sea -
                         frontdesk@ashworthbythesea.com
                         ©2026  |  All Rights Reserved
              295 Ocean Blvd. , Hampton, NH, 03842, United States
                            Call us at  603-926-6762
                            Privacy Policy  |  FAQs
</t>
  </si>
  <si>
    <t>Hi Maryellen,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</si>
  <si>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 xml:space="preserve">Complete pre-arrival check-in - Ashworth By The Sea Hotel
Contactless Check-In
Hello Justin,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Canary Technologies logo Powered by Canary Technologies • Unsubscribe • Privacy
                                     Policy
</t>
  </si>
  <si>
    <t xml:space="preserve">Ashworth By The Sea Hotel - Set checkout time now
Contactless Checkout
Hello Phanieeve,
Your departure is coming up. Use the link below to set your checkout time.
https://mobility.stayntouch.com/checkout/ashworthbythesea
We hope you enjoyed your stay.
Sincerely,
Ashworth By The Sea Hotel
       Ashworth By The Sea Hotel | 295 Ocean Blvd, Hampton, NH 03842-3629
Canary Technologies logo Powered by Canary Technologies • Unsubscribe • Privacy
                                     Policy
</t>
  </si>
  <si>
    <t>perfect! thank you so much!</t>
  </si>
  <si>
    <t>Hi Julie,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</si>
  <si>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Dear Savannah,
This is Ashworth By The Sea Hotel. Make sure to complete the pre-arrival check-in for your upcoming stay:
https://mobility.stayntouch.com/checkin/url/linabs/canary. 
You can reach out to the front desk by responding to this message any time. Reply QUIT to stop.</t>
  </si>
  <si>
    <t xml:space="preserve">The property canceled this reservation at your request. If you've paid any charges or fees that haven't been refunded, contact the property directly. </t>
  </si>
  <si>
    <t xml:space="preserve">Complete pre-arrival check-in - Ashworth By The Sea Hotel
Contactless Check-In
Hello Mike,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Canary Technologies logo Powered by Canary Technologies • Unsubscribe • Privacy
                                     Policy
</t>
  </si>
  <si>
    <t xml:space="preserve">Complete pre-arrival check-in - Ashworth By The Sea Hotel
Contactless Check-In
Hello mathew,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Canary Technologies logo Powered by Canary Technologies • Unsubscribe • Privacy
                                     Policy
</t>
  </si>
  <si>
    <t>I'd like to request check-in at 04:00 - 05:00. Is this ok?</t>
  </si>
  <si>
    <t>Hi Arielle,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</si>
  <si>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Hi Sofia,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</si>
  <si>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 xml:space="preserve">Complete pre-arrival check-in - Ashworth By The Sea Hotel
Contactless Check-In
Hello Stephen,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Canary Technologies logo Powered by Canary Technologies • Unsubscribe • Privacy
                                     Policy
</t>
  </si>
  <si>
    <t xml:space="preserve">Enjoy Your Stay at The Ashworth by the Sea
Hi Brian,
We hope you're enjoying your stay at The Ashworth by the Sea!
Have you taken advantage of our complimentary guest amenities yet? Stop by the
front desk to borrow a beach chair and umbrella, or explore the area on one of
our complimentary bikes.
Don't forget to visit The Sandbar Rooftop Restaurant, now open for drinks,
dining, and stunning ocean views. View the current hours and menu using the link
below:
https://www.ashworthhotel.com/dining/the-sandbar-rooftop-lounge
If there's anything we can do to make your stay even more enjoyable, please
don't hesitate to let us know. We're here to help!
We hope you continue to have a wonderful stay.
Warm regards,
The Ashworth by the Sea Team
       Ashworth By The Sea Hotel | 295 Ocean Blvd, Hampton, NH 03842-3629
Canary Technologies logo Powered by Canary Technologies • Unsubscribe • Privacy
                                     Policy
</t>
  </si>
  <si>
    <t>Dear chrissy,
This is Ashworth By The Sea Hotel. Make sure to complete the pre-arrival check-in for your upcoming stay:
https://mobility.stayntouch.com/checkin/url/linabs/canary. 
You can reach out to the front desk by responding to this message any time. Reply QUIT to stop.</t>
  </si>
  <si>
    <t xml:space="preserve">INVOICE: Ashworth by the Sea | 101270
Thank you for staying at Ashworth by the Sea. Your invoice is attached.
</t>
  </si>
  <si>
    <t xml:space="preserve">Pre-check in for your stay at Ashworth by the Sea
                                  Hi Kathleen,
  Use the link below to check in before your arrival to speed up the process!
                      Upgrades and more may be available!
                                  Pre Check-In
 When you arrive, please present your photo ID and credit card. See you soon -
                                 safe travels!
            This is an automated message from Ashworth by the Sea -
                         frontdesk@ashworthbythesea.com
                         ©2026  |  All Rights Reserved
              295 Ocean Blvd. , Hampton, NH, 03842, United States
                            Call us at  603-926-6762
                            Privacy Policy  |  FAQs
</t>
  </si>
  <si>
    <t>Hi Jose Jordan,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</si>
  <si>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 xml:space="preserve">How was your stay at Ashworth By The Sea? 3 Minute Survey
Please share your feedback with Medallia
                    Thank you so much for your recent stay.
                      ‌ ‌ ‌ ‌ ‌ ‌ ‌ ‌ ‌ ‌ ‌ ‌ ‌ ‌ ‌ ‌ ‌ ‌ 
alt_text
Dear Shima Roy,
We hope you enjoyed your recent stay at Ashworth By The Sea, where you checked
out on July 26, 2026.
We genuinely care about your experience with us, and we'd really appreciate your
feedback — it will only take a few minutes.
How likely are you to recommend Ashworth By The Sea to a friend or colleague?
Not at all Likely                                               Extremely Likely
┌──────┬──────┬──────┬──────┬──────┬──────┬──────┬──────┬──────┬──────┬────────┐
│  0   │  1   │  2   │  3   │  4   │  5   │  6   │  7   │  8   │  9   │   10   │
└──────┴──────┴──────┴──────┴──────┴──────┴──────┴──────┴──────┴──────┴────────┘
By completing this survey, you may be contacted by the hotel to help improve the
quality of service provided.
We appreciate your opinion and look forward to welcoming you again soon.
Kind Regards,
Andrew Fare
General Manager
Ashworth By The Sea
                              Powered by Medallia
Please do not “Reply” to this invitation.
To unsubscribe: We rely on feedback from guests to ensure that your stay will
meet and exceed your expectations. If, however, you would not like to receive a
survey invitation in the future, please click this link:
https://survey10.medallia.com/?ezp2k37ffd94wn22m9crht&amp;reject=begin, to
unsubscribe to our guest satisfaction surveys.
Should you need help accessing or completing this survey, please visit:
surveysupport.medallia.com
</t>
  </si>
  <si>
    <t xml:space="preserve">Complete pre-arrival check-in - Ashworth By The Sea Hotel
Contactless Check-In
Hello Kayla,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Canary Technologies logo Powered by Canary Technologies • Unsubscribe • Privacy
Policy
</t>
  </si>
  <si>
    <t xml:space="preserve">Ashworth By The Sea Hotel - Set checkout time now
Contactless Checkout
Hello Brian,
Your departure is coming up. Use the link below to set your checkout time.
https://mobility.stayntouch.com/checkout/ashworthbythesea
We hope you enjoyed your stay.
Sincerely,
Ashworth By The Sea Hotel
       Ashworth By The Sea Hotel | 295 Ocean Blvd, Hampton, NH 03842-3629
Canary Technologies logo Powered by Canary Technologies • Unsubscribe • Privacy
                                     Policy
</t>
  </si>
  <si>
    <t xml:space="preserve">INVOICE: Ashworth by the Sea | 106677
Thank you for staying at Ashworth by the Sea. Your invoice is attached.
</t>
  </si>
  <si>
    <t>Could you please double check you responded to the correct request?</t>
  </si>
  <si>
    <t>Dear BillieJo,
This is Ashworth By The Sea Hotel. Make sure to complete the pre-arrival check-in for your upcoming stay:
https://mobility.stayntouch.com/checkin/url/linabs/canary. 
You can reach out to the front desk by responding to this message any time. Reply QUIT to stop.</t>
  </si>
  <si>
    <t>Dear Phanieeve,
This is Ashworth By The Sea Hotel. Make sure to complete the pre-arrival check-in for your upcoming stay:
https://mobility.stayntouch.com/checkin/url/linabs/canary. 
You can reach out to the front desk by responding to this message any time. Reply QUIT to stop.</t>
  </si>
  <si>
    <t>Hi Jeffrey,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</si>
  <si>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 xml:space="preserve">Complete pre-arrival check-in - Ashworth By The Sea Hotel
Contactless Check-In
Hello Penny,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Canary Technologies logo Powered by Canary Technologies • Unsubscribe • Privacy
Policy
</t>
  </si>
  <si>
    <t xml:space="preserve">INVOICE: Ashworth by the Sea | 102525
Thank you for staying at Ashworth by the Sea. Your invoice is attached.
</t>
  </si>
  <si>
    <t xml:space="preserve">Reminder : How was your stay at Ashworth By The Sea? 3 Minute Survey
Please share your feedback with Medallia
                    Thank you so much for your recent stay.
                      ‌ ‌ ‌ ‌ ‌ ‌ ‌ ‌ ‌ ‌ ‌ ‌ ‌ ‌ ‌ ‌ ‌ ‌ 
alt_text
Dear Josselyn Bautista,
A few days ago, we sent you an invitation for you to provide us with valuable
feedback regarding your recent stay with us at Ashworth By The Sea, where you
checked out on July 12, 2026.
We would still like to hear about your stay and understand if we met your
expectations. It's easy and will only take a few minutes.
How likely are you to recommend Ashworth By The Sea to a friend or colleague?
Not at all Likely                                               Extremely Likely
┌──────┬──────┬──────┬──────┬──────┬──────┬──────┬──────┬──────┬──────┬────────┐
│  0   │  1   │  2   │  3   │  4   │  5   │  6   │  7   │  8   │  9   │   10   │
└──────┴──────┴──────┴──────┴──────┴──────┴──────┴──────┴──────┴──────┴────────┘
This is the only reminder you will receive from us. If you have already
completed this online form, please disregard this email and thank you for
sharing your opinions with us.
Sincerely,
Andrew Fare
General Manager
Ashworth By The Sea
                              Powered by Medallia
Please do not “Reply” to this invitation.
To unsubscribe: We rely on feedback from guests to ensure that your stay will
meet and exceed your expectations. If, however, you would not like to receive a
survey invitation in the future, please click this link:
https://survey10.medallia.com/?etw7ch2kfd94wn22m9crht&amp;reject=begin, to
unsubscribe to our guest satisfaction surveys.
Should you need help accessing or completing this survey, please visit:
surveysupport.medallia.com
</t>
  </si>
  <si>
    <t xml:space="preserve">INVOICE: Ashworth by the Sea | 101295
Thank you for staying at Ashworth by the Sea. Your invoice is attached.
</t>
  </si>
  <si>
    <t xml:space="preserve">Pre-check in for your stay at Ashworth by the Sea
                                   Hi MARCI,
  Use the link below to check in before your arrival to speed up the process!
                      Upgrades and more may be available!
                                  Pre Check-In
 When you arrive, please present your photo ID and credit card. See you soon -
                                 safe travels!
            This is an automated message from Ashworth by the Sea -
                         frontdesk@ashworthbythesea.com
                         ©2026  |  All Rights Reserved
              295 Ocean Blvd. , Hampton, NH, 03842, United States
                            Call us at  603-926-6762
                            Privacy Policy  |  FAQs
</t>
  </si>
  <si>
    <t>hi there! do you have on site parking?</t>
  </si>
  <si>
    <t>Dear Colin,
This is Ashworth By The Sea Hotel. Make sure to complete the pre-arrival check-in for your upcoming stay:
https://mobility.stayntouch.com/checkin/url/linabs/canary. 
You can reach out to the front desk by responding to this message any time. Reply QUIT to stop.</t>
  </si>
  <si>
    <t>Dear Jarurat,
This is Ashworth By The Sea Hotel. Make sure to complete the pre-arrival check-in for your upcoming stay:
https://mobility.stayntouch.com/checkin/url/linabs/canary. 
You can reach out to the front desk by responding to this message any time. Reply QUIT to stop.</t>
  </si>
  <si>
    <t xml:space="preserve">Complete pre-arrival check-in - Ashworth By The Sea Hotel
Contactless Check-In
Hello Jonathan,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Canary Technologies logo Powered by Canary Technologies • Unsubscribe • Privacy
                                     Policy
</t>
  </si>
  <si>
    <t>Hello. Can you confirm how early I’ll be able to get a parking spot the day of my check in?</t>
  </si>
  <si>
    <t>We have added this request to your reservation.</t>
  </si>
  <si>
    <t>National Plan For Vacation Day is January 27th!
January 27th is National Plan For Vacation Day!  It's time to plan your next getaway.
If your 2026 vacation wish list includes classic seaside fun, Ashworth by the Sea puts you right on Hampton Beach for easy days by the water and lively coastal energy. Locking in your dates early means you can plan around concerts, festivals, or a quiet shoulder-season recharge. From sunrise beach walks to fresh seafood nights, it’s a simple, satisfying way to make next year’s getaway happen.
Get 40% off when you stay two nights or more at Ashworth by the Sea in 2026.
Book Now
Valid on new reservations only.  Not applicable to existing reservations.  Blackout dates apply.  Not valid on certain room types, including suites.  Advance purchase required.  Must book by 2/5/2026.
Facebook Instagram
Ashworth by the Sea
295 Ocean Blvd
Hampton, NH 03842
You're going to need a bigger bucket list.
Meet the Independent Collection by Linchris—a handpicked lineup of one-of-a-kind hotels where every stay feels like its own story worth traveling for. From can’t-miss city escapes to hidden-gem retreats, each property offers unique character, sense of place, and unforgettable experiences. Explore them all on our website and start mapping your next “how did I not know about this?” destination.
Click Here To Learn More
If you'd like to unsubscribe and stop receiving these emails  click here</t>
  </si>
  <si>
    <t xml:space="preserve">How was your stay at Ashworth By The Sea? 3 Minute Survey
Please share your feedback with Medallia
                    Thank you so much for your recent stay.
                      ‌ ‌ ‌ ‌ ‌ ‌ ‌ ‌ ‌ ‌ ‌ ‌ ‌ ‌ ‌ ‌ ‌ ‌ 
alt_text
Dear Terra Wierson,
We hope you enjoyed your recent stay at Ashworth By The Sea, where you checked
out on July 19, 2026.
We genuinely care about your experience with us, and we'd really appreciate your
feedback — it will only take a few minutes.
How likely are you to recommend Ashworth By The Sea to a friend or colleague?
Not at all Likely                                               Extremely Likely
┌──────┬──────┬──────┬──────┬──────┬──────┬──────┬──────┬──────┬──────┬────────┐
│  0   │  1   │  2   │  3   │  4   │  5   │  6   │  7   │  8   │  9   │   10   │
└──────┴──────┴──────┴──────┴──────┴──────┴──────┴──────┴──────┴──────┴────────┘
By completing this survey, you may be contacted by the hotel to help improve the
quality of service provided.
We appreciate your opinion and look forward to welcoming you again soon.
Kind Regards,
Andrew Fare
General Manager
Ashworth By The Sea
                              Powered by Medallia
Please do not “Reply” to this invitation.
To unsubscribe: We rely on feedback from guests to ensure that your stay will
meet and exceed your expectations. If, however, you would not like to receive a
survey invitation in the future, please click this link:
https://survey10.medallia.com/?es7z3fykfd94wn22m9crht&amp;reject=begin, to
unsubscribe to our guest satisfaction surveys.
Should you need help accessing or completing this survey, please visit:
surveysupport.medallia.com
</t>
  </si>
  <si>
    <t>Hi Gerald,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</si>
  <si>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 xml:space="preserve">How was your stay at Ashworth By The Sea? 3 Minute Survey
Please share your feedback with Medallia
                    Thank you so much for your recent stay.
                      ‌ ‌ ‌ ‌ ‌ ‌ ‌ ‌ ‌ ‌ ‌ ‌ ‌ ‌ ‌ ‌ ‌ ‌ 
alt_text
Dear Kathleen Ayotte,
We hope you enjoyed your recent stay at Ashworth By The Sea, where you checked
out on July 23, 2026.
We genuinely care about your experience with us, and we'd really appreciate your
feedback — it will only take a few minutes.
How likely are you to recommend Ashworth By The Sea to a friend or colleague?
Not at all Likely                                               Extremely Likely
┌──────┬──────┬──────┬──────┬──────┬──────┬──────┬──────┬──────┬──────┬────────┐
│  0   │  1   │  2   │  3   │  4   │  5   │  6   │  7   │  8   │  9   │   10   │
└──────┴──────┴──────┴──────┴──────┴──────┴──────┴──────┴──────┴──────┴────────┘
By completing this survey, you may be contacted by the hotel to help improve the
quality of service provided.
We appreciate your opinion and look forward to welcoming you again soon.
Kind Regards,
Andrew Fare
General Manager
Ashworth By The Sea
                              Powered by Medallia
Please do not “Reply” to this invitation.
To unsubscribe: We rely on feedback from guests to ensure that your stay will
meet and exceed your expectations. If, however, you would not like to receive a
survey invitation in the future, please click this link:
https://survey10.medallia.com/?envnztykfd94wn22m9crht&amp;reject=begin, to
unsubscribe to our guest satisfaction surveys.
Should you need help accessing or completing this survey, please visit:
surveysupport.medallia.com
</t>
  </si>
  <si>
    <t>Hi Sherri,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</si>
  <si>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Good morning Sara, Please let us know if you would like to re-book these reservations. Ashworth by the Sea 603 926 6762</t>
  </si>
  <si>
    <t xml:space="preserve">Complete pre-arrival check-in - Ashworth By The Sea Hotel
Contactless Check-In
Hello Michael,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Canary Technologies logo Powered by Canary Technologies • Unsubscribe • Privacy
                                     Policy
</t>
  </si>
  <si>
    <t>Hi Hollie,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</si>
  <si>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Dear lise,
This is Ashworth By The Sea Hotel. Make sure to complete the pre-arrival check-in for your upcoming stay:
https://mobility.stayntouch.com/checkin/url/linabs/canary. 
You can reach out to the front desk by responding to this message any time. Reply QUIT to stop.</t>
  </si>
  <si>
    <t>Hello… just double checking my confirmation for my room on Friday.</t>
  </si>
  <si>
    <t xml:space="preserve">INVOICE: Ashworth by the Sea | 107157
Thank you for staying at Ashworth by the Sea. Your invoice is attached.
</t>
  </si>
  <si>
    <t xml:space="preserve">Pre-check in for your stay at Ashworth by the Sea
Hi Priscilla,
Use the link below to check in before your arrival to speed up the process!
Upgrades and more may be available!
Pre Check-In
When you arrive, please present your photo ID and credit card. See you soon -
safe travels!
This is an automated message from Ashworth by the Sea -
frontdesk@ashworthbythesea.com
©2026  |  All Rights Reserved
295 Ocean Blvd. , Hampton, NH, 03842, United States
Call us at  603-926-6762
Privacy Policy  |  FAQs
</t>
  </si>
  <si>
    <t xml:space="preserve">Pre-check in for your stay at Ashworth by the Sea
Hi Phanieeve,
Use the link below to check in before your arrival to speed up the process!
Upgrades and more may be available!
Pre Check-In
When you arrive, please present your photo ID and credit card. See you soon -
safe travels!
This is an automated message from Ashworth by the Sea -
frontdesk@ashworthbythesea.com
©2026  |  All Rights Reserved
295 Ocean Blvd. , Hampton, NH, 03842, United States
Call us at  603-926-6762
Privacy Policy  |  FAQs
</t>
  </si>
  <si>
    <t xml:space="preserve">Enjoy Your Stay at The Ashworth by the Sea
Hi Jessica,
We hope you're enjoying your stay at The Ashworth by the Sea!
Have you taken advantage of our complimentary guest amenities yet? Stop by the
front desk to borrow a beach chair and umbrella, or explore the area on one of
our complimentary bikes.
Don't forget to visit The Sandbar Rooftop Restaurant, now open for drinks,
dining, and stunning ocean views. View the current hours and menu using the link
below:
https://www.ashworthhotel.com/dining/the-sandbar-rooftop-lounge
If there's anything we can do to make your stay even more enjoyable, please
don't hesitate to let us know. We're here to help!
We hope you continue to have a wonderful stay.
Warm regards,
The Ashworth by the Sea Team
       Ashworth By The Sea Hotel | 295 Ocean Blvd, Hampton, NH 03842-3629
                                  +16039266762
Canary Technologies logo Powered by Canary Technologies • Unsubscribe • Privacy
                                     Policy
</t>
  </si>
  <si>
    <t xml:space="preserve">Good morning Kyla, The pre-check in is optional. You can check in at the reception desk upon arrival. </t>
  </si>
  <si>
    <t>would like to be top floor preferably on an end room. thanks so much</t>
  </si>
  <si>
    <t xml:space="preserve">Pre-check in for your stay at Ashworth by the Sea
                                   Hi andrea,
  Use the link below to check in before your arrival to speed up the process!
                      Upgrades and more may be available!
                                  Pre Check-In
 When you arrive, please present your photo ID and credit card. See you soon -
                                 safe travels!
            This is an automated message from Ashworth by the Sea -
                         frontdesk@ashworthbythesea.com
                         ©2026  |  All Rights Reserved
              295 Ocean Blvd. , Hampton, NH, 03842, United States
                            Call us at  603-926-6762
                            Privacy Policy  |  FAQs
</t>
  </si>
  <si>
    <t>Dear Marie-Claude,
This is Ashworth By The Sea Hotel. Make sure to complete the pre-arrival check-in for your upcoming stay:
https://mobility.stayntouch.com/checkin/url/linabs/canary. 
You can reach out to the front desk by responding to this message any time. Reply QUIT to stop.</t>
  </si>
  <si>
    <t xml:space="preserve">Complete pre-arrival check-in - Ashworth By The Sea Hotel
Contactless Check-In
Hello Karen,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Canary Technologies logo Powered by Canary Technologies • Unsubscribe • Privacy
                                     Policy
</t>
  </si>
  <si>
    <t xml:space="preserve">How was your stay at Ashworth By The Sea? 3 Minute Survey
Please share your feedback with Medallia
                    Thank you so much for your recent stay.
                      ‌ ‌ ‌ ‌ ‌ ‌ ‌ ‌ ‌ ‌ ‌ ‌ ‌ ‌ ‌ ‌ ‌ ‌ 
alt_text
Dear Anna Kerkhoff,
We hope you enjoyed your recent stay at Ashworth By The Sea, where you checked
out on July 24, 2026.
We genuinely care about your experience with us, and we'd really appreciate your
feedback — it will only take a few minutes.
How likely are you to recommend Ashworth By The Sea to a friend or colleague?
Not at all Likely                                               Extremely Likely
┌──────┬──────┬──────┬──────┬──────┬──────┬──────┬──────┬──────┬──────┬────────┐
│  0   │  1   │  2   │  3   │  4   │  5   │  6   │  7   │  8   │  9   │   10   │
└──────┴──────┴──────┴──────┴──────┴──────┴──────┴──────┴──────┴──────┴────────┘
By completing this survey, you may be contacted by the hotel to help improve the
quality of service provided.
We appreciate your opinion and look forward to welcoming you again soon.
Kind Regards,
Andrew Fare
General Manager
Ashworth By The Sea
                              Powered by Medallia
Please do not “Reply” to this invitation.
To unsubscribe: We rely on feedback from guests to ensure that your stay will
meet and exceed your expectations. If, however, you would not like to receive a
survey invitation in the future, please click this link:
https://survey10.medallia.com/?ehtv7y7ffd94wn22m9crht&amp;reject=begin, to
unsubscribe to our guest satisfaction surveys.
Should you need help accessing or completing this survey, please visit:
surveysupport.medallia.com
</t>
  </si>
  <si>
    <t>Hello! Yes, we have parking. Its valet parking only for 25$ per night.</t>
  </si>
  <si>
    <t>30th anniversary trip❤️❤️❤️anything special you could do for us would be lovely</t>
  </si>
  <si>
    <t>Hi lisa,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</si>
  <si>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 xml:space="preserve">INVOICE: Ashworth by the Sea | 107066
Thank you for staying at Ashworth by the Sea. Your invoice is attached.
</t>
  </si>
  <si>
    <t>Dear Sheila,
This is Ashworth By The Sea Hotel. Make sure to complete the pre-arrival check-in for your upcoming stay:
https://mobility.stayntouch.com/checkin/url/linabs/canary. 
You can reach out to the front desk by responding to this message any time. Reply QUIT to stop.</t>
  </si>
  <si>
    <t>Dear Eric Wheeler,
This is Ashworth By The Sea Hotel. Make sure to complete the pre-arrival check-in for your upcoming stay:
https://mobility.stayntouch.com/checkin/url/linabs/canary. 
You can reach out to the front desk by responding to this message any time. Reply QUIT to stop.</t>
  </si>
  <si>
    <t>Hi there!  Was wondering if I could change my room to either a double bed room or one with a sofa bed?  Thx!</t>
  </si>
  <si>
    <t xml:space="preserve">Pre-check in for your stay at Ashworth by the Sea
                                   Hi Shauna,
  Use the link below to check in before your arrival to speed up the process!
                      Upgrades and more may be available!
                                  Pre Check-In
 When you arrive, please present your photo ID and credit card. See you soon -
                                 safe travels!
            This is an automated message from Ashworth by the Sea -
                         frontdesk@ashworthbythesea.com
                         ©2026  |  All Rights Reserved
              295 Ocean Blvd. , Hampton, NH, 03842, United States
                            Call us at  603-926-6762
                            Privacy Policy  |  FAQs
</t>
  </si>
  <si>
    <t>Sure! You can call the front desk at (603) 926-6762, and we can arrange that.</t>
  </si>
  <si>
    <t xml:space="preserve">Complete pre-arrival check-in - Ashworth By The Sea Hotel
Contactless Check-In
Hello James,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Canary Technologies logo Powered by Canary Technologies • Unsubscribe • Privacy
Policy
</t>
  </si>
  <si>
    <t>Hi Phanieeve,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</si>
  <si>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 xml:space="preserve">How was your stay at Ashworth By The Sea? 3 Minute Survey
Please share your feedback with Medallia
                    Thank you so much for your recent stay.
                      ‌ ‌ ‌ ‌ ‌ ‌ ‌ ‌ ‌ ‌ ‌ ‌ ‌ ‌ ‌ ‌ ‌ ‌ 
alt_text
Dear Anna Kerkhoff,
We hope you enjoyed your recent stay at Ashworth By The Sea, where you checked
out on July 24, 2026.
We genuinely care about your experience with us, and we'd really appreciate your
feedback — it will only take a few minutes.
How likely are you to recommend Ashworth By The Sea to a friend or colleague?
Not at all Likely                                               Extremely Likely
┌──────┬──────┬──────┬──────┬──────┬──────┬──────┬──────┬──────┬──────┬────────┐
│  0   │  1   │  2   │  3   │  4   │  5   │  6   │  7   │  8   │  9   │   10   │
└──────┴──────┴──────┴──────┴──────┴──────┴──────┴──────┴──────┴──────┴────────┘
By completing this survey, you may be contacted by the hotel to help improve the
quality of service provided.
We appreciate your opinion and look forward to welcoming you again soon.
Kind Regards,
Andrew Fare
General Manager
Ashworth By The Sea
                              Powered by Medallia
Please do not “Reply” to this invitation.
To unsubscribe: We rely on feedback from guests to ensure that your stay will
meet and exceed your expectations. If, however, you would not like to receive a
survey invitation in the future, please click this link:
https://survey10.medallia.com/?e36ndz7ffd94wn22m9crht&amp;reject=begin, to
unsubscribe to our guest satisfaction surveys.
Should you need help accessing or completing this survey, please visit:
surveysupport.medallia.com
</t>
  </si>
  <si>
    <t xml:space="preserve">INVOICE: Ashworth by the Sea | 105515
Thank you for staying at Ashworth by the Sea. Your invoice is attached.
</t>
  </si>
  <si>
    <t>I have tried multiple times unsuccessfully to reach someone at the phone number you provided to discuss. Please contact me at 617-605-1530</t>
  </si>
  <si>
    <t>Hi Steven,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</si>
  <si>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 xml:space="preserve">Sorry I should included my name Shaun Gerry
</t>
  </si>
  <si>
    <t>Dear Gabriel,
This is Ashworth By The Sea Hotel. Make sure to complete the pre-arrival check-in for your upcoming stay:
https://mobility.stayntouch.com/checkin/url/linabs/canary. 
You can reach out to the front desk by responding to this message any time. Reply QUIT to stop.</t>
  </si>
  <si>
    <t>stsrt</t>
  </si>
  <si>
    <t>Dear Caesar,
This is Ashworth By The Sea Hotel. Make sure to complete the pre-arrival check-in for your upcoming stay:
https://mobility.stayntouch.com/checkin/url/linabs/canary. 
You can reach out to the front desk by responding to this message any time. Reply QUIT to stop.</t>
  </si>
  <si>
    <t>Hi BillieJo,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</si>
  <si>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No FreeText.</t>
  </si>
  <si>
    <t>Hi Hang,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</si>
  <si>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 xml:space="preserve">How was your stay at Ashworth By The Sea? 3 Minute Survey
Please share your feedback with Medallia
                    Thank you so much for your recent stay.
                      ‌ ‌ ‌ ‌ ‌ ‌ ‌ ‌ ‌ ‌ ‌ ‌ ‌ ‌ ‌ ‌ ‌ ‌ 
alt_text
Dear Mathew Dugre,
We hope you enjoyed your recent stay at Ashworth By The Sea, where you checked
out on July 26, 2026.
We genuinely care about your experience with us, and we'd really appreciate your
feedback — it will only take a few minutes.
How likely are you to recommend Ashworth By The Sea to a friend or colleague?
Not at all Likely                                               Extremely Likely
┌──────┬──────┬──────┬──────┬──────┬──────┬──────┬──────┬──────┬──────┬────────┐
│  0   │  1   │  2   │  3   │  4   │  5   │  6   │  7   │  8   │  9   │   10   │
└──────┴──────┴──────┴──────┴──────┴──────┴──────┴──────┴──────┴──────┴────────┘
By completing this survey, you may be contacted by the hotel to help improve the
quality of service provided.
We appreciate your opinion and look forward to welcoming you again soon.
Kind Regards,
Andrew Fare
General Manager
Ashworth By The Sea
                              Powered by Medallia
Please do not “Reply” to this invitation.
To unsubscribe: We rely on feedback from guests to ensure that your stay will
meet and exceed your expectations. If, however, you would not like to receive a
survey invitation in the future, please click this link:
https://survey10.medallia.com/?e929k37ffd94wn22m9crht&amp;reject=begin, to
unsubscribe to our guest satisfaction surveys.
Should you need help accessing or completing this survey, please visit:
surveysupport.medallia.com
</t>
  </si>
  <si>
    <t>Hi Ana,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</si>
  <si>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 xml:space="preserve">Complete pre-arrival check-in - Ashworth By The Sea Hotel
Contactless Check-In
Hello Ritzie,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+16039266762
Canary Technologies logo Powered by Canary Technologies • Unsubscribe • Privacy
                                     Policy
</t>
  </si>
  <si>
    <t>Dear Anniah,
This is Ashworth By The Sea Hotel. Make sure to complete the pre-arrival check-in for your upcoming stay:
https://mobility.stayntouch.com/checkin/url/linabs/canary. 
You can reach out to the front desk by responding to this message any time. Reply QUIT to stop.</t>
  </si>
  <si>
    <t>Hi Bella,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</si>
  <si>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 xml:space="preserve">Pre-check in for your stay at Ashworth by the Sea
                                   Hi Brian,
  Use the link below to check in before your arrival to speed up the process!
                      Upgrades and more may be available!
                                  Pre Check-In
 When you arrive, please present your photo ID and credit card. See you soon -
                                 safe travels!
            This is an automated message from Ashworth by the Sea -
                         frontdesk@ashworthbythesea.com
                         ©2026  |  All Rights Reserved
              295 Ocean Blvd. , Hampton, NH, 03842, United States
                            Call us at  603-926-6762
                            Privacy Policy  |  FAQs
</t>
  </si>
  <si>
    <t>Would you be able to accommodate an early check-in Friday? We will be arriving around noon.</t>
  </si>
  <si>
    <t xml:space="preserve">How was your stay at Ashworth By The Sea? 3 Minute Survey
Please share your feedback with Medallia
                    Thank you so much for your recent stay.
                      ‌ ‌ ‌ ‌ ‌ ‌ ‌ ‌ ‌ ‌ ‌ ‌ ‌ ‌ ‌ ‌ ‌ ‌ 
alt_text
Dear Jennifer Lee,
We hope you enjoyed your recent stay at Ashworth By The Sea, where you checked
out on July 26, 2026.
We genuinely care about your experience with us, and we'd really appreciate your
feedback — it will only take a few minutes.
How likely are you to recommend Ashworth By The Sea to a friend or colleague?
Not at all Likely                                               Extremely Likely
┌──────┬──────┬──────┬──────┬──────┬──────┬──────┬──────┬──────┬──────┬────────┐
│  0   │  1   │  2   │  3   │  4   │  5   │  6   │  7   │  8   │  9   │   10   │
└──────┴──────┴──────┴──────┴──────┴──────┴──────┴──────┴──────┴──────┴────────┘
By completing this survey, you may be contacted by the hotel to help improve the
quality of service provided.
We appreciate your opinion and look forward to welcoming you again soon.
Kind Regards,
Andrew Fare
General Manager
Ashworth By The Sea
                              Powered by Medallia
Please do not “Reply” to this invitation.
To unsubscribe: We rely on feedback from guests to ensure that your stay will
meet and exceed your expectations. If, however, you would not like to receive a
survey invitation in the future, please click this link:
https://survey10.medallia.com/?e9h5m37ffd94wn22m9crht&amp;reject=begin, to
unsubscribe to our guest satisfaction surveys.
Should you need help accessing or completing this survey, please visit:
surveysupport.medallia.com
</t>
  </si>
  <si>
    <t>Hi Savannah,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</si>
  <si>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I am just checking to make sure our request for early check in went though</t>
  </si>
  <si>
    <t>Dear jeffrey,
This is Ashworth By The Sea Hotel. Make sure to complete the pre-arrival check-in for your upcoming stay:
https://mobility.stayntouch.com/checkin/url/linabs/canary. 
You can reach out to the front desk by responding to this message any time. Reply QUIT to stop.</t>
  </si>
  <si>
    <t xml:space="preserve">How was your stay at Ashworth By The Sea? 3 Minute Survey
Please share your feedback with Medallia
                    Thank you so much for your recent stay.
                      ‌ ‌ ‌ ‌ ‌ ‌ ‌ ‌ ‌ ‌ ‌ ‌ ‌ ‌ ‌ ‌ ‌ ‌ 
alt_text
Dear Nicole Simcoe,
We hope you enjoyed your recent stay at Ashworth By The Sea, where you checked
out on July 19, 2026.
We genuinely care about your experience with us, and we'd really appreciate your
feedback — it will only take a few minutes.
How likely are you to recommend Ashworth By The Sea to a friend or colleague?
Not at all Likely                                               Extremely Likely
┌──────┬──────┬──────┬──────┬──────┬──────┬──────┬──────┬──────┬──────┬────────┐
│  0   │  1   │  2   │  3   │  4   │  5   │  6   │  7   │  8   │  9   │   10   │
└──────┴──────┴──────┴──────┴──────┴──────┴──────┴──────┴──────┴──────┴────────┘
By completing this survey, you may be contacted by the hotel to help improve the
quality of service provided.
We appreciate your opinion and look forward to welcoming you again soon.
Kind Regards,
Andrew Fare
General Manager
Ashworth By The Sea
                              Powered by Medallia
Please do not “Reply” to this invitation.
To unsubscribe: We rely on feedback from guests to ensure that your stay will
meet and exceed your expectations. If, however, you would not like to receive a
survey invitation in the future, please click this link:
https://survey10.medallia.com/?ecr4xdykfd94wn22m9crht&amp;reject=begin, to
unsubscribe to our guest satisfaction surveys.
Should you need help accessing or completing this survey, please visit:
surveysupport.medallia.com
</t>
  </si>
  <si>
    <t>Dear Gerald,
This is Ashworth By The Sea Hotel. Make sure to complete the pre-arrival check-in for your upcoming stay:
https://mobility.stayntouch.com/checkin/url/linabs/canary. 
You can reach out to the front desk by responding to this message any time. Reply QUIT to stop.</t>
  </si>
  <si>
    <t>Dear Maxine L.,
This is Ashworth By The Sea Hotel. Make sure to complete the pre-arrival check-in for your upcoming stay:
https://mobility.stayntouch.com/checkin/url/linabs/canary. 
You can reach out to the front desk by responding to this message any time. Reply QUIT to stop.</t>
  </si>
  <si>
    <t>Dear Harry,
This is Ashworth By The Sea Hotel. Make sure to complete the pre-arrival check-in for your upcoming stay:
https://mobility.stayntouch.com/checkin/url/linabs/canary. 
You can reach out to the front desk by responding to this message any time. Reply QUIT to stop.</t>
  </si>
  <si>
    <t xml:space="preserve">How was your stay at Ashworth By The Sea? 3 Minute Survey
Please share your feedback with Medallia
                    Thank you so much for your recent stay.
                      ‌ ‌ ‌ ‌ ‌ ‌ ‌ ‌ ‌ ‌ ‌ ‌ ‌ ‌ ‌ ‌ ‌ ‌ 
alt_text
Dear Andrea Donahue,
We hope you enjoyed your recent stay at Ashworth By The Sea, where you checked
out on July 24, 2026.
We genuinely care about your experience with us, and we'd really appreciate your
feedback — it will only take a few minutes.
How likely are you to recommend Ashworth By The Sea to a friend or colleague?
Not at all Likely                                               Extremely Likely
┌──────┬──────┬──────┬──────┬──────┬──────┬──────┬──────┬──────┬──────┬────────┐
│  0   │  1   │  2   │  3   │  4   │  5   │  6   │  7   │  8   │  9   │   10   │
└──────┴──────┴──────┴──────┴──────┴──────┴──────┴──────┴──────┴──────┴────────┘
By completing this survey, you may be contacted by the hotel to help improve the
quality of service provided.
We appreciate your opinion and look forward to welcoming you again soon.
Kind Regards,
Andrew Fare
General Manager
Ashworth By The Sea
                              Powered by Medallia
Please do not “Reply” to this invitation.
To unsubscribe: We rely on feedback from guests to ensure that your stay will
meet and exceed your expectations. If, however, you would not like to receive a
survey invitation in the future, please click this link:
https://survey10.medallia.com/?e68ddz7ffd94wn22m9crht&amp;reject=begin, to
unsubscribe to our guest satisfaction surveys.
Should you need help accessing or completing this survey, please visit:
surveysupport.medallia.com
</t>
  </si>
  <si>
    <t xml:space="preserve">Complete pre-arrival check-in - Ashworth By The Sea Hotel
Contactless Check-In
Hello Phanieeve,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Canary Technologies logo Powered by Canary Technologies • Unsubscribe • Privacy
Policy
</t>
  </si>
  <si>
    <t xml:space="preserve">Complete pre-arrival check-in - Ashworth By The Sea Hotel
Contactless Check-In
Hello Alan,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Canary Technologies logo Powered by Canary Technologies • Unsubscribe • Privacy
                                     Policy
</t>
  </si>
  <si>
    <t xml:space="preserve">Complete pre-arrival check-in - Ashworth By The Sea Hotel
Contactless Check-In
Hello Karys,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+16039266762
Canary Technologies logo Powered by Canary Technologies • Unsubscribe • Privacy
                                     Policy
</t>
  </si>
  <si>
    <t>Highest floor please. Thank you.</t>
  </si>
  <si>
    <t>I'd like to request check-in at 08:00 - 09:00. Is this ok?</t>
  </si>
  <si>
    <t>So how did I end up in a side balcony room when I reserved a regular balcony?</t>
  </si>
  <si>
    <t>Hi Kathy,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</si>
  <si>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Hi. We do accept small dogs. The fee per night is $50.</t>
  </si>
  <si>
    <t>Probably won’t arrive until between 10 pm and midnight</t>
  </si>
  <si>
    <t xml:space="preserve">Pre-check in for your stay at Ashworth by the Sea
                                  Hi Jonathan,
  Use the link below to check in before your arrival to speed up the process!
                      Upgrades and more may be available!
                                  Pre Check-In
 When you arrive, please present your photo ID and credit card. See you soon -
                                 safe travels!
            This is an automated message from Ashworth by the Sea -
                         frontdesk@ashworthbythesea.com
                         ©2026  |  All Rights Reserved
              295 Ocean Blvd. , Hampton, NH, 03842, United States
                            Call us at  603-926-6762
                            Privacy Policy  |  FAQs
</t>
  </si>
  <si>
    <t>Hi Michaël,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</si>
  <si>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Hi jeffrey,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</si>
  <si>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 xml:space="preserve">Pre-check in for your stay at Ashworth by the Sea
Hi Penny,
Use the link below to check in before your arrival to speed up the process!
Upgrades and more may be available!
Pre Check-In
When you arrive, please present your photo ID and credit card. See you soon -
safe travels!
This is an automated message from Ashworth by the Sea -
frontdesk@ashworthbythesea.com
©2026  |  All Rights Reserved
295 Ocean Blvd. , Hampton, NH, 03842, United States
Call us at  603-926-6762
Privacy Policy  |  FAQs
</t>
  </si>
  <si>
    <t>Dear Ron,
This is Ashworth By The Sea Hotel. Make sure to complete the pre-arrival check-in for your upcoming stay:
https://mobility.stayntouch.com/checkin/url/linabs/canary. 
You can reach out to the front desk by responding to this message any time. Reply QUIT to stop.</t>
  </si>
  <si>
    <t>Hi Marie-Louise,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</si>
  <si>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Hi Harold,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</si>
  <si>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Dear Fedora,
This is Ashworth By The Sea Hotel. Make sure to complete the pre-arrival check-in for your upcoming stay:
https://mobility.stayntouch.com/checkin/url/linabs/canary. 
You can reach out to the front desk by responding to this message any time. Reply QUIT to stop.</t>
  </si>
  <si>
    <t xml:space="preserve">Complete pre-arrival check-in - Ashworth By The Sea Hotel
Contactless Check-In
Hello Anna,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Canary Technologies logo Powered by Canary Technologies • Unsubscribe • Privacy
                                     Policy
</t>
  </si>
  <si>
    <t>Dear Suzanne,
This is Ashworth By The Sea Hotel. Make sure to complete the pre-arrival check-in for your upcoming stay:
https://mobility.stayntouch.com/checkin/url/linabs/canary. 
You can reach out to the front desk by responding to this message any time. Reply QUIT to stop.</t>
  </si>
  <si>
    <t xml:space="preserve">INVOICE: Ashworth by the Sea | 101269
Thank you for staying at Ashworth by the Sea. Your invoice is attached.
</t>
  </si>
  <si>
    <t>Hello, you booked this reservation through Expedia so you will need to reach out to Expedia directly to adjust the dates - Ashworth by the Sea</t>
  </si>
  <si>
    <t xml:space="preserve">Complete pre-arrival check-in - Ashworth By The Sea Hotel
Contactless Check-In
Hello Terra,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Canary Technologies logo Powered by Canary Technologies • Unsubscribe • Privacy
                                     Policy
</t>
  </si>
  <si>
    <t xml:space="preserve">Pre-check in for your stay at Ashworth by the Sea
                                   Hi Andrew,
  Use the link below to check in before your arrival to speed up the process!
                      Upgrades and more may be available!
                                  Pre Check-In
 When you arrive, please present your photo ID and credit card. See you soon -
                                 safe travels!
            This is an automated message from Ashworth by the Sea -
                         frontdesk@ashworthbythesea.com
                         ©2026  |  All Rights Reserved
              295 Ocean Blvd. , Hampton, NH, 03842, United States
                            Call us at  603-926-6762
                            Privacy Policy  |  FAQs
</t>
  </si>
  <si>
    <t>Hi Layla,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</si>
  <si>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I just got off the phone with them. They said they will help you out! Hope to see you in the future!</t>
  </si>
  <si>
    <t>Hello, Mrs. Lowell. You are absolutely right; we did only charge for one night's worth of fees, which include the $25 parking fee, the $25 resort fee, and $ 2.13, which are taxes.</t>
  </si>
  <si>
    <t>From Booking.com: This guest wants to modify their booking. Because of the way this request was sent, please respond via the extranet. Note: Replies sent through any other channel will not be recorded.
"I'd like to request: 
Check-in: 2026-07-22
Check-out: 2026-07-24
My previous dates: 
Check-in: 2026-07-22
Check-out: 2026-07-25
The price will change from US$1,231.38 to US$785.64."</t>
  </si>
  <si>
    <t>https://www.google.com/search?udm=50&amp;oi=ddle&amp;noiga=1&amp;ct=529356412&amp;ictx=1&amp;sa=X&amp;ved=2ahUKEwjm-Mft7rGVAxXqhIkEHTDXGRwQoo4PegYIAggBEAc&amp;biw=402&amp;bih=714&amp;dpr=3&amp;atvm=2</t>
  </si>
  <si>
    <t>Dear Sherri,
This is Ashworth By The Sea Hotel. Make sure to complete the pre-arrival check-in for your upcoming stay:
https://mobility.stayntouch.com/checkin/url/linabs/canary. 
You can reach out to the front desk by responding to this message any time. Reply QUIT to stop.</t>
  </si>
  <si>
    <t>Dear Monet,
This is Ashworth By The Sea Hotel. Make sure to complete the pre-arrival check-in for your upcoming stay:
https://mobility.stayntouch.com/checkin/url/linabs/canary. 
You can reach out to the front desk by responding to this message any time. Reply QUIT to stop.</t>
  </si>
  <si>
    <t>Will do!</t>
  </si>
  <si>
    <t xml:space="preserve">Ashworth By The Sea Hotel - Set checkout time now
Contactless Checkout
Hello Jennifer,
Your departure is coming up. Use the link below to set your checkout time.
https://mobility.stayntouch.com/checkout/ashworthbythesea
We hope you enjoyed your stay.
Sincerely,
Ashworth By The Sea Hotel
       Ashworth By The Sea Hotel | 295 Ocean Blvd, Hampton, NH 03842-3629
Canary Technologies logo Powered by Canary Technologies • Unsubscribe • Privacy
                                     Policy
</t>
  </si>
  <si>
    <t>https://m.youtube.com/watch?v=uxk76TR-_8Y&amp;pp=0gcJCUECo7VqN5tD&amp;ra=m</t>
  </si>
  <si>
    <t>Hi Penny,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</si>
  <si>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Hello, my receipt says I paid for a balcony room, not a side balcony.   We received a side balcony, on the first floor, right next to the restaurant.  We chose the regular balcony specifically to avoid this.  I was told there are no front balconies available which is very disappointing.    Is there any way to get a discount?  I am really unhappy with this room.</t>
  </si>
  <si>
    <t>This trip was cancelled months ago</t>
  </si>
  <si>
    <t>Good morning Mark,
We are sorry to inform you that our hotel has overbooked for the dates of August 7th and August 8th 2026. We would like you to rebook with us on another date or cancel with a full refund. Please reach out to the hotel at 603 926 6762.
Thank you The Ashworth by the Sea</t>
  </si>
  <si>
    <t>Dear rebecca,
This is Ashworth By The Sea Hotel. Make sure to complete the pre-arrival check-in for your upcoming stay:
https://mobility.stayntouch.com/checkin/url/linabs/canary. 
You can reach out to the front desk by responding to this message any time. Reply QUIT to stop.</t>
  </si>
  <si>
    <t xml:space="preserve">Complete pre-arrival check-in - Ashworth By The Sea Hotel
Contactless Check-In
Hello Marci,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+16039266762
Canary Technologies logo Powered by Canary Technologies • Unsubscribe • Privacy
                                     Policy
</t>
  </si>
  <si>
    <t xml:space="preserve">How was your stay at Ashworth By The Sea? 3 Minute Survey
Please share your feedback with Medallia
                    Thank you so much for your recent stay.
                      ‌ ‌ ‌ ‌ ‌ ‌ ‌ ‌ ‌ ‌ ‌ ‌ ‌ ‌ ‌ ‌ ‌ ‌ 
alt_text
Dear Shauna Brinton,
We hope you enjoyed your recent stay at Ashworth By The Sea, where you checked
out on July 26, 2026.
We genuinely care about your experience with us, and we'd really appreciate your
feedback — it will only take a few minutes.
How likely are you to recommend Ashworth By The Sea to a friend or colleague?
Not at all Likely                                               Extremely Likely
┌──────┬──────┬──────┬──────┬──────┬──────┬──────┬──────┬──────┬──────┬────────┐
│  0   │  1   │  2   │  3   │  4   │  5   │  6   │  7   │  8   │  9   │   10   │
└──────┴──────┴──────┴──────┴──────┴──────┴──────┴──────┴──────┴──────┴────────┘
By completing this survey, you may be contacted by the hotel to help improve the
quality of service provided.
We appreciate your opinion and look forward to welcoming you again soon.
Kind Regards,
Andrew Fare
General Manager
Ashworth By The Sea
                              Powered by Medallia
Please do not “Reply” to this invitation.
To unsubscribe: We rely on feedback from guests to ensure that your stay will
meet and exceed your expectations. If, however, you would not like to receive a
survey invitation in the future, please click this link:
https://survey10.medallia.com/?ehwzk37ffd94wn22m9crht&amp;reject=begin, to
unsubscribe to our guest satisfaction surveys.
Should you need help accessing or completing this survey, please visit:
surveysupport.medallia.com
</t>
  </si>
  <si>
    <t>Good Morning Kerri, We have your deposit on file. The only balance owed is $52.13 ($25 for parking and $27.13 for the resort fee plus tax). We look forward to seeing you later today.</t>
  </si>
  <si>
    <t>Dear Tony,
This is Ashworth By The Sea Hotel. Make sure to complete the pre-arrival check-in for your upcoming stay:
https://mobility.stayntouch.com/checkin/url/linabs/canary. 
You can reach out to the front desk by responding to this message any time. Reply QUIT to stop.</t>
  </si>
  <si>
    <t>Hi Mclaughlin,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</si>
  <si>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 xml:space="preserve">Complete pre-arrival check-in - Ashworth By The Sea Hotel
Contactless Check-In
Hello Jeremy,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+16039266762
Canary Technologies logo Powered by Canary Technologies • Unsubscribe • Privacy
                                     Policy
</t>
  </si>
  <si>
    <t>Dear Jarrad,
This is Ashworth By The Sea Hotel. Make sure to complete the pre-arrival check-in for your upcoming stay:
https://mobility.stayntouch.com/checkin/url/linabs/canary. 
You can reach out to the front desk by responding to this message any time. Reply QUIT to stop.</t>
  </si>
  <si>
    <t xml:space="preserve">Ashworth By The Sea Hotel - Set checkout time now
Contactless Checkout
Hello Anna,
Your departure is coming up. Use the link below to set your checkout time.
https://mobility.stayntouch.com/checkout/ashworthbythesea
We hope you enjoyed your stay.
Sincerely,
Ashworth By The Sea Hotel
       Ashworth By The Sea Hotel | 295 Ocean Blvd, Hampton, NH 03842-3629
Canary Technologies logo Powered by Canary Technologies • Unsubscribe • Privacy
                                     Policy
</t>
  </si>
  <si>
    <t>Hi Martha,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</si>
  <si>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If there’s any chance of early check-in, we would be most grateful</t>
  </si>
  <si>
    <t>Hi Katelynn,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</si>
  <si>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Please add [Alyson/Maxwell ]as an accompanying guest for this reservation.</t>
  </si>
  <si>
    <t xml:space="preserve">Pre-check in for your stay at Ashworth by the Sea
                                  Hi Szecskas,
  Use the link below to check in before your arrival to speed up the process!
                      Upgrades and more may be available!
                                  Pre Check-In
 When you arrive, please present your photo ID and credit card. See you soon -
                                 safe travels!
            This is an automated message from Ashworth by the Sea -
                         frontdesk@ashworthbythesea.com
                         ©2026  |  All Rights Reserved
              295 Ocean Blvd. , Hampton, NH, 03842, United States
                            Call us at  603-926-6762
                            Privacy Policy  |  FAQs
</t>
  </si>
  <si>
    <t xml:space="preserve">Complete pre-arrival check-in - Ashworth By The Sea Hotel
Contactless Check-In
Hello Steven,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Canary Technologies logo Powered by Canary Technologies • Unsubscribe • Privacy
                                     Policy
</t>
  </si>
  <si>
    <t xml:space="preserve">INVOICE: Ashworth by the Sea | 106330
Thank you for staying at Ashworth by the Sea. Your invoice is attached.
</t>
  </si>
  <si>
    <t>I’m trying to do pre-check in but won’t allow me with multiple rooms booked</t>
  </si>
  <si>
    <t xml:space="preserve">Pre-check in for your stay at Ashworth by the Sea
                                   Hi Karen,
  Use the link below to check in before your arrival to speed up the process!
                      Upgrades and more may be available!
                                  Pre Check-In
 When you arrive, please present your photo ID and credit card. See you soon -
                                 safe travels!
            This is an automated message from Ashworth by the Sea -
                         frontdesk@ashworthbythesea.com
                         ©2026  |  All Rights Reserved
              295 Ocean Blvd. , Hampton, NH, 03842, United States
                            Call us at  603-926-6762
                            Privacy Policy  |  FAQs
</t>
  </si>
  <si>
    <t>Dear Kevin H,
This is Ashworth By The Sea Hotel. Make sure to complete the pre-arrival check-in for your upcoming stay:
https://mobility.stayntouch.com/checkin/url/linabs/canary. 
You can reach out to the front desk by responding to this message any time. Reply QUIT to stop.</t>
  </si>
  <si>
    <t xml:space="preserve">Complete pre-arrival check-in - Ashworth By The Sea Hotel
Contactless Check-In
Hello Shauna,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Canary Technologies logo Powered by Canary Technologies • Unsubscribe • Privacy
                                     Policy
</t>
  </si>
  <si>
    <t>Hi Ron,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</si>
  <si>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Hi Lillian,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</si>
  <si>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Hi monica,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</si>
  <si>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 xml:space="preserve">Pre-check in for your stay at Ashworth by the Sea
                                   Hi JAMES,
  Use the link below to check in before your arrival to speed up the process!
                      Upgrades and more may be available!
                                  Pre Check-In
 When you arrive, please present your photo ID and credit card. See you soon -
                                 safe travels!
            This is an automated message from Ashworth by the Sea -
                         frontdesk@ashworthbythesea.com
                         ©2026  |  All Rights Reserved
              295 Ocean Blvd. , Hampton, NH, 03842, United States
                            Call us at  603-926-6762
                            Privacy Policy  |  FAQs
</t>
  </si>
  <si>
    <t>Hi Vicky,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</si>
  <si>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Good morning Kelly,
We are sorry to inform you that our hotel has overbooked for the dates of August 7th and August 8th 2026. We would like you to rebook with us on another date or cancel with a full refund. Please reach out to the hotel at 603 926 6762.
Thank you The Ashworth by the Sea</t>
  </si>
  <si>
    <t xml:space="preserve">Hi, I am suppose to arrive this Wednesday but I have Mantel Cell Lymphoma and have to meet tomorrow with doctors as my health has changed and they want me there tomorrow. I am hoping under these circumstances that you would able me to cancel and be refunded.
</t>
  </si>
  <si>
    <t xml:space="preserve">Complete pre-arrival check-in - Ashworth By The Sea Hotel
Contactless Check-In
Hello Jessica,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+16039266762
Canary Technologies logo Powered by Canary Technologies • Unsubscribe • Privacy
                                     Policy
</t>
  </si>
  <si>
    <t>From Booking.com: This guest wants to modify their booking. Because of the way this request was sent, please respond via the extranet. Note: Replies sent through any other channel will not be recorded.
"Request approved"</t>
  </si>
  <si>
    <t>Dear Penny,
This is Ashworth By The Sea Hotel. Make sure to complete the pre-arrival check-in for your upcoming stay:
https://mobility.stayntouch.com/checkin/url/linabs/canary. 
You can reach out to the front desk by responding to this message any time. Reply QUIT to stop.</t>
  </si>
  <si>
    <t xml:space="preserve">Ashworth By The Sea Hotel - Set checkout time now
Contactless Checkout
Hello andrea,
Your departure is coming up. Use the link below to set your checkout time.
https://mobility.stayntouch.com/checkout/ashworthbythesea
We hope you enjoyed your stay.
Sincerely,
Ashworth By The Sea Hotel
       Ashworth By The Sea Hotel | 295 Ocean Blvd, Hampton, NH 03842-3629
Canary Technologies logo Powered by Canary Technologies • Unsubscribe • Privacy
                                     Policy
</t>
  </si>
  <si>
    <t>I unfortuantelydo not have any double beds available but the room you have now has a king with a pullout sofa!</t>
  </si>
  <si>
    <t>Dear Hold,
This is Ashworth By The Sea Hotel. Make sure to complete the pre-arrival check-in for your upcoming stay:
https://mobility.stayntouch.com/checkin/url/linabs/canary. 
You can reach out to the front desk by responding to this message any time. Reply QUIT to stop.</t>
  </si>
  <si>
    <t xml:space="preserve">Ashworth By The Sea Hotel - Set checkout time now
Contactless Checkout
Hello Ian,
Your departure is coming up. Use the link below to set your checkout time.
https://mobility.stayntouch.com/checkout/ashworthbythesea
We hope you enjoyed your stay.
Sincerely,
Ashworth By The Sea Hotel
Ashworth By The Sea Hotel | 295 Ocean Blvd, Hampton, NH 03842-3629
Canary Technologies logo Powered by Canary Technologies • Unsubscribe • Privacy
Policy
</t>
  </si>
  <si>
    <t xml:space="preserve">Enjoy Your Stay at The Ashworth by the Sea
Hi Anna,
We hope you're enjoying your stay at The Ashworth by the Sea!
Have you taken advantage of our complimentary guest amenities yet? Stop by the
front desk to borrow a beach chair and umbrella, or explore the area on one of
our complimentary bikes.
Don't forget to visit The Sandbar Rooftop Restaurant, now open for drinks,
dining, and stunning ocean views. View the current hours and menu using the link
below:
https://www.ashworthhotel.com/dining/the-sandbar-rooftop-lounge
If there's anything we can do to make your stay even more enjoyable, please
don't hesitate to let us know. We're here to help!
We hope you continue to have a wonderful stay.
Warm regards,
The Ashworth by the Sea Team
       Ashworth By The Sea Hotel | 295 Ocean Blvd, Hampton, NH 03842-3629
Canary Technologies logo Powered by Canary Technologies • Unsubscribe • Privacy
                                     Policy
</t>
  </si>
  <si>
    <t xml:space="preserve">Reminder : How was your stay at Ashworth By The Sea? 3 Minute Survey
Please share your feedback with Medallia
                    Thank you so much for your recent stay.
                      ‌ ‌ ‌ ‌ ‌ ‌ ‌ ‌ ‌ ‌ ‌ ‌ ‌ ‌ ‌ ‌ ‌ ‌ 
alt_text
Dear Jesse Rouse,
A few days ago, we sent you an invitation for you to provide us with valuable
feedback regarding your recent stay with us at Ashworth By The Sea, where you
checked out on July 13, 2026.
We would still like to hear about your stay and understand if we met your
expectations. It's easy and will only take a few minutes.
How likely are you to recommend Ashworth By The Sea to a friend or colleague?
Not at all Likely                                               Extremely Likely
┌──────┬──────┬──────┬──────┬──────┬──────┬──────┬──────┬──────┬──────┬────────┐
│  0   │  1   │  2   │  3   │  4   │  5   │  6   │  7   │  8   │  9   │   10   │
└──────┴──────┴──────┴──────┴──────┴──────┴──────┴──────┴──────┴──────┴────────┘
This is the only reminder you will receive from us. If you have already
completed this online form, please disregard this email and thank you for
sharing your opinions with us.
Sincerely,
Andrew Fare
General Manager
Ashworth By The Sea
                              Powered by Medallia
Please do not “Reply” to this invitation.
To unsubscribe: We rely on feedback from guests to ensure that your stay will
meet and exceed your expectations. If, however, you would not like to receive a
survey invitation in the future, please click this link:
https://survey10.medallia.com/?e734fyykfd94wn22m9crht&amp;reject=begin, to
unsubscribe to our guest satisfaction surveys.
Should you need help accessing or completing this survey, please visit:
surveysupport.medallia.com
</t>
  </si>
  <si>
    <t>Hi Heidi,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</si>
  <si>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Hi! Just to be clear the booking was moved to September right?</t>
  </si>
  <si>
    <t>Hi lise,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</si>
  <si>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Dear Molly,
This is Ashworth By The Sea Hotel. Make sure to complete the pre-arrival check-in for your upcoming stay:
https://mobility.stayntouch.com/checkin/url/linabs/canary. 
You can reach out to the front desk by responding to this message any time. Reply QUIT to stop.</t>
  </si>
  <si>
    <t>Dear bridget,
This is Ashworth By The Sea Hotel. Make sure to complete the pre-arrival check-in for your upcoming stay:
https://mobility.stayntouch.com/checkin/url/linabs/canary. 
You can reach out to the front desk by responding to this message any time. Reply QUIT to stop.</t>
  </si>
  <si>
    <t>I booked two nights in a row by accident on separate reservations. my girlfriend called to verify that you would combine it into one reservation and would not have to check in and check out could you send me the link for that reservation</t>
  </si>
  <si>
    <t>Thanks I misread the receipt.</t>
  </si>
  <si>
    <t xml:space="preserve">INVOICE: Ashworth by the Sea | 104591
Thank you for staying at Ashworth by the Sea. Your invoice is attached.
</t>
  </si>
  <si>
    <t>Good morning Mark, I am reaching out to you regarding your reservation, I apologize, but we will have to cancel this with a full refund. We can re-book for another day. Please call us at the hotel if you would like us to do so.</t>
  </si>
  <si>
    <t>Dear Katelynn,
This is Ashworth By The Sea Hotel. Make sure to complete the pre-arrival check-in for your upcoming stay:
https://mobility.stayntouch.com/checkin/url/linabs/canary. 
You can reach out to the front desk by responding to this message any time. Reply QUIT to stop.</t>
  </si>
  <si>
    <t>Hi Tony,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</si>
  <si>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Probably arriving around 2 am.</t>
  </si>
  <si>
    <t xml:space="preserve">Pre-check in for your stay at Ashworth by the Sea
                                   Hi Penny,
  Use the link below to check in before your arrival to speed up the process!
                      Upgrades and more may be available!
                                  Pre Check-In
 When you arrive, please present your photo ID and credit card. See you soon -
                                 safe travels!
            This is an automated message from Ashworth by the Sea -
                         frontdesk@ashworthbythesea.com
                         ©2026  |  All Rights Reserved
              295 Ocean Blvd. , Hampton, NH, 03842, United States
                            Call us at  603-926-6762
                            Privacy Policy  |  FAQs
</t>
  </si>
  <si>
    <t>Hi Harry,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</si>
  <si>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 xml:space="preserve">Pre-check in for your stay at Ashworth by the Sea
                                  Hi Brittany,
  Use the link below to check in before your arrival to speed up the process!
                      Upgrades and more may be available!
                                  Pre Check-In
 When you arrive, please present your photo ID and credit card. See you soon -
                                 safe travels!
            This is an automated message from Ashworth by the Sea -
                         frontdesk@ashworthbythesea.com
                         ©2026  |  All Rights Reserved
              295 Ocean Blvd. , Hampton, NH, 03842, United States
                            Call us at  603-926-6762
                            Privacy Policy  |  FAQs
</t>
  </si>
  <si>
    <t>Dear Miranda,
This is Ashworth By The Sea Hotel. Make sure to complete the pre-arrival check-in for your upcoming stay:
https://mobility.stayntouch.com/checkin/url/linabs/canary. 
You can reach out to the front desk by responding to this message any time. Reply QUIT to stop.</t>
  </si>
  <si>
    <t xml:space="preserve">Complete pre-arrival check-in - Ashworth By The Sea Hotel
Contactless Check-In
Hello Jon,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Canary Technologies logo Powered by Canary Technologies • Unsubscribe • Privacy
Policy
</t>
  </si>
  <si>
    <t>Hi Louis,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</si>
  <si>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 xml:space="preserve">How was your stay at Ashworth By The Sea? 3 Minute Survey
Please share your feedback with Medallia
                    Thank you so much for your recent stay.
                      ‌ ‌ ‌ ‌ ‌ ‌ ‌ ‌ ‌ ‌ ‌ ‌ ‌ ‌ ‌ ‌ ‌ ‌ 
alt_text
Dear Richard Bonenfant,
We hope you enjoyed your recent stay at Ashworth By The Sea, where you checked
out on July 20, 2026.
We genuinely care about your experience with us, and we'd really appreciate your
feedback — it will only take a few minutes.
How likely are you to recommend Ashworth By The Sea to a friend or colleague?
Not at all Likely                                               Extremely Likely
┌──────┬──────┬──────┬──────┬──────┬──────┬──────┬──────┬──────┬──────┬────────┐
│  0   │  1   │  2   │  3   │  4   │  5   │  6   │  7   │  8   │  9   │   10   │
└──────┴──────┴──────┴──────┴──────┴──────┴──────┴──────┴──────┴──────┴────────┘
By completing this survey, you may be contacted by the hotel to help improve the
quality of service provided.
We appreciate your opinion and look forward to welcoming you again soon.
Kind Regards,
Andrew Fare
General Manager
Ashworth By The Sea
                              Powered by Medallia
Please do not “Reply” to this invitation.
To unsubscribe: We rely on feedback from guests to ensure that your stay will
meet and exceed your expectations. If, however, you would not like to receive a
survey invitation in the future, please click this link:
https://survey10.medallia.com/?ev22cmykfd94wn22m9crht&amp;reject=begin, to
unsubscribe to our guest satisfaction surveys.
Should you need help accessing or completing this survey, please visit:
surveysupport.medallia.com
</t>
  </si>
  <si>
    <t xml:space="preserve">How was your stay at Ashworth By The Sea? 3 Minute Survey
Please share your feedback with Medallia
Thank you so much for your recent stay.
‌ ‌ ‌ ‌ ‌ ‌ ‌ ‌ ‌ ‌ ‌ ‌ ‌ ‌ ‌ ‌ ‌ ‌ 
alt_text
Dear Ian Thomas,
We hope you enjoyed your recent stay at Ashworth By The Sea, where you checked
out on July 12, 2026.
We genuinely care about your experience with us, and we'd really appreciate your
feedback — it will only take a few minutes.
How likely are you to recommend Ashworth By The Sea to a friend or colleague?
Not at all Likely                        Extremely Likely
0       1       2      3      4      5      6      7      8      9      10
By completing this survey, you may be contacted by the hotel to help improve the
quality of service provided.
We appreciate your opinion and look forward to welcoming you again soon.
Kind Regards,
Andrew Fare
General Manager
Ashworth By The Sea
Powered by Medallia
Please do not “Reply” to this invitation.
To unsubscribe: We rely on feedback from guests to ensure that your stay will
meet and exceed your expectations. If, however, you would not like to receive a
survey invitation in the future, please click this link:
https://survey10.medallia.com/?efhych2kfd94wn22m9crht&amp;reject=begin, to
unsubscribe to our guest satisfaction surveys.
Should you need help accessing or completing this survey, please visit:
surveysupport.medallia.com
</t>
  </si>
  <si>
    <t>Hi Naomi,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</si>
  <si>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Dear Phillip,
This is Ashworth By The Sea Hotel. Make sure to complete the pre-arrival check-in for your upcoming stay:
https://mobility.stayntouch.com/checkin/url/linabs/canary. 
You can reach out to the front desk by responding to this message any time. Reply QUIT to stop.</t>
  </si>
  <si>
    <t>I need to change the dates of this reservation</t>
  </si>
  <si>
    <t>Dear Jordan,
This is Ashworth By The Sea Hotel. Make sure to complete the pre-arrival check-in for your upcoming stay:
https://mobility.stayntouch.com/checkin/url/linabs/canary. 
You can reach out to the front desk by responding to this message any time. Reply QUIT to stop.</t>
  </si>
  <si>
    <t>Dear Jeffrey,
This is Ashworth By The Sea Hotel. Make sure to complete the pre-arrival check-in for your upcoming stay:
https://mobility.stayntouch.com/checkin/url/linabs/canary. 
You can reach out to the front desk by responding to this message any time. Reply QUIT to stop.</t>
  </si>
  <si>
    <t xml:space="preserve">Pre-check in for your stay at Ashworth by the Sea
                                   Hi KARYS,
  Use the link below to check in before your arrival to speed up the process!
                      Upgrades and more may be available!
                                  Pre Check-In
 When you arrive, please present your photo ID and credit card. See you soon -
                                 safe travels!
            This is an automated message from Ashworth by the Sea -
                         frontdesk@ashworthbythesea.com
                         ©2026  |  All Rights Reserved
              295 Ocean Blvd. , Hampton, NH, 03842, United States
                            Call us at  603-926-6762
                            Privacy Policy  |  FAQs
</t>
  </si>
  <si>
    <t xml:space="preserve">Ashworth By The Sea Hotel - Set checkout time now
Contactless Checkout
Hello Patricia,
Your departure is coming up. Use the link below to set your checkout time.
https://mobility.stayntouch.com/checkout/ashworthbythesea
We hope you enjoyed your stay.
Sincerely,
Ashworth By The Sea Hotel
       Ashworth By The Sea Hotel | 295 Ocean Blvd, Hampton, NH 03842-3629
Canary Technologies logo Powered by Canary Technologies • Unsubscribe • Privacy
                                     Policy
</t>
  </si>
  <si>
    <t>Dear Michaël,
This is Ashworth By The Sea Hotel. Make sure to complete the pre-arrival check-in for your upcoming stay:
https://mobility.stayntouch.com/checkin/url/linabs/canary. 
You can reach out to the front desk by responding to this message any time. Reply QUIT to stop.</t>
  </si>
  <si>
    <t>I have added this request to your reservation. We look forward to seeing you in September!</t>
  </si>
  <si>
    <t xml:space="preserve">How was your stay at Ashworth By The Sea? 3 Minute Survey
Please share your feedback with Medallia
Thank you so much for your recent stay.
‌ ‌ ‌ ‌ ‌ ‌ ‌ ‌ ‌ ‌ ‌ ‌ ‌ ‌ ‌ ‌ ‌ ‌ 
alt_text
Dear Josselyn Bautista,
We hope you enjoyed your recent stay at Ashworth By The Sea, where you checked
out on July 12, 2026.
We genuinely care about your experience with us, and we'd really appreciate your
feedback — it will only take a few minutes.
How likely are you to recommend Ashworth By The Sea to a friend or colleague?
Not at all Likely                        Extremely Likely
0       1       2      3      4      5      6      7      8      9      10
By completing this survey, you may be contacted by the hotel to help improve the
quality of service provided.
We appreciate your opinion and look forward to welcoming you again soon.
Kind Regards,
Andrew Fare
General Manager
Ashworth By The Sea
Powered by Medallia
Please do not “Reply” to this invitation.
To unsubscribe: We rely on feedback from guests to ensure that your stay will
meet and exceed your expectations. If, however, you would not like to receive a
survey invitation in the future, please click this link:
https://survey10.medallia.com/?etw7ch2kfd94wn22m9crht&amp;reject=begin, to
unsubscribe to our guest satisfaction surveys.
Should you need help accessing or completing this survey, please visit:
surveysupport.medallia.com
</t>
  </si>
  <si>
    <t xml:space="preserve">Hotel.com said I had to reach out to you for the approval and if you would agree to issue a refund under the circumstances. Thank you for your time and consideration, Shaun
</t>
  </si>
  <si>
    <t>Hi Jarrad,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</si>
  <si>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 xml:space="preserve">Complete pre-arrival check-in - Ashworth By The Sea Hotel
Contactless Check-In
Hello Susie,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Canary Technologies logo Powered by Canary Technologies • Unsubscribe • Privacy
                                     Policy
</t>
  </si>
  <si>
    <t>Hi q,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</si>
  <si>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Hi aubrey,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</si>
  <si>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 xml:space="preserve">Complete pre-arrival check-in - Ashworth By The Sea Hotel
Contactless Check-In
Hello Kyla,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+16039266762
Canary Technologies logo Powered by Canary Technologies • Unsubscribe • Privacy
                                     Policy
</t>
  </si>
  <si>
    <t>Dear Harald,
This is Ashworth By The Sea Hotel. Make sure to complete the pre-arrival check-in for your upcoming stay:
https://mobility.stayntouch.com/checkin/url/linabs/canary. 
You can reach out to the front desk by responding to this message any time. Reply QUIT to stop.</t>
  </si>
  <si>
    <t>START</t>
  </si>
  <si>
    <t>Thank you for reaching out and sharing your concerns. We sincerely apologize that the room location and balcony type did not meet your expectations. After reviewing your reservation, we see that the room was booked through Expedia. Because the reservation was made through a third-party provider, any adjustments or discounts would need to be addressed through Expedia. Unfortunately, we are unable to offer a discount directly on this reservation.</t>
  </si>
  <si>
    <t>Running the Smuttynose Half!</t>
  </si>
  <si>
    <t>Hi Karen,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</si>
  <si>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Hi there, Expedia sent me an email about 30 minutes ago saying “the Ashworth by the Sea hasn't responded yet to your request to cancel with a refund,”</t>
  </si>
  <si>
    <t xml:space="preserve">Complete pre-arrival check-in - Ashworth By The Sea Hotel
Contactless Check-In
Hello Davis,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Canary Technologies logo Powered by Canary Technologies • Unsubscribe • Privacy
                                     Policy
</t>
  </si>
  <si>
    <t>Dear Sofia,
This is Ashworth By The Sea Hotel. Make sure to complete the pre-arrival check-in for your upcoming stay:
https://mobility.stayntouch.com/checkin/url/linabs/canary. 
You can reach out to the front desk by responding to this message any time. Reply QUIT to stop.</t>
  </si>
  <si>
    <t>Hi Monet,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</si>
  <si>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Hi Bonita,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</si>
  <si>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Hi Jarurat,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</si>
  <si>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Hi Matt. Thank you for your note. Your reservation is confirmed. Our records indicate that you are checking in tomorrow and checking out Sunday, and that you booked a standard room with one king-size bed and a balcony. If you have any further questions regarding your reservation, please let us know.</t>
  </si>
  <si>
    <t>Hi Dominic,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</si>
  <si>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 xml:space="preserve">Ashworth By The Sea Hotel - Set checkout time now
Contactless Checkout
Hello Josselyn,
Your departure is coming up. Use the link below to set your checkout time.
https://mobility.stayntouch.com/checkout/ashworthbythesea
We hope you enjoyed your stay.
Sincerely,
Ashworth By The Sea Hotel
Ashworth By The Sea Hotel | 295 Ocean Blvd, Hampton, NH 03842-3629
Canary Technologies logo Powered by Canary Technologies • Unsubscribe • Privacy
Policy
</t>
  </si>
  <si>
    <t xml:space="preserve">Complete pre-arrival check-in - Ashworth By The Sea Hotel
Contactless Check-In
Hello Brian,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Canary Technologies logo Powered by Canary Technologies • Unsubscribe • Privacy
                                     Policy
</t>
  </si>
  <si>
    <t xml:space="preserve">Complete pre-arrival check-in - Ashworth By The Sea Hotel
Contactless Check-In
Hello Kathleen,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Canary Technologies logo Powered by Canary Technologies • Unsubscribe • Privacy
                                     Policy
</t>
  </si>
  <si>
    <t xml:space="preserve">Complete pre-arrival check-in - Ashworth By The Sea Hotel
Contactless Check-In
Hello Ian,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Canary Technologies logo Powered by Canary Technologies • Unsubscribe • Privacy
Policy
</t>
  </si>
  <si>
    <t xml:space="preserve">INVOICE: Ashworth by the Sea | 102490
Thank you for staying at Ashworth by the Sea. Your invoice is attached.
</t>
  </si>
  <si>
    <t>Expedia doesn’t let me adjust w/o cancellation. And cancellation fee is actually the booking itself. So in reality,  I had been unable to change dates</t>
  </si>
  <si>
    <t>Dear Susie,
This is Ashworth By The Sea Hotel. Make sure to complete the pre-arrival check-in for your upcoming stay:
https://mobility.stayntouch.com/checkin/url/linabs/canary. 
You can reach out to the front desk by responding to this message any time. Reply QUIT to stop.</t>
  </si>
  <si>
    <t>Yes, our hotel is pet-friendly. Please note that we charge a pet fee of $50 per pet per night.</t>
  </si>
  <si>
    <t>Loved “You have successfully been unsubscribed. You will not receive any more messages from this number. Reply START to resubscribe.”</t>
  </si>
  <si>
    <t>Dear Bella,
This is Ashworth By The Sea Hotel. Make sure to complete the pre-arrival check-in for your upcoming stay:
https://mobility.stayntouch.com/checkin/url/linabs/canary. 
You can reach out to the front desk by responding to this message any time. Reply QUIT to stop.</t>
  </si>
  <si>
    <t xml:space="preserve">Complete pre-arrival check-in - Ashworth By The Sea Hotel
Contactless Check-In
Hello Shima,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Canary Technologies logo Powered by Canary Technologies • Unsubscribe • Privacy
                                     Policy
</t>
  </si>
  <si>
    <t xml:space="preserve">Hi, 
I booked this couple days ago was still waiting on a confirmation from you I
guess? 
Thanks, 
Matt dugre
</t>
  </si>
  <si>
    <t>Hi Nhung,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</si>
  <si>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 xml:space="preserve">Complete pre-arrival check-in - Ashworth By The Sea Hotel
Contactless Check-In
Hello Ronald,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Canary Technologies logo Powered by Canary Technologies • Unsubscribe • Privacy
                                     Policy
</t>
  </si>
  <si>
    <t>kmyp718z</t>
  </si>
  <si>
    <t>Dear monica,
This is Ashworth By The Sea Hotel. Make sure to complete the pre-arrival check-in for your upcoming stay:
https://mobility.stayntouch.com/checkin/url/linabs/canary. 
You can reach out to the front desk by responding to this message any time. Reply QUIT to stop.</t>
  </si>
  <si>
    <t xml:space="preserve">Ashworth By The Sea Hotel - Set checkout time now
Contactless Checkout
Hello Szecskas,
Your departure is coming up. Use the link below to set your checkout time.
https://mobility.stayntouch.com/checkout/ashworthbythesea
We hope you enjoyed your stay.
Sincerely,
Ashworth By The Sea Hotel
       Ashworth By The Sea Hotel | 295 Ocean Blvd, Hampton, NH 03842-3629
Canary Technologies logo Powered by Canary Technologies • Unsubscribe • Privacy
                                     Policy
</t>
  </si>
  <si>
    <t xml:space="preserve">thank you.  Hotel.com said under the circumstances that they will help get this resolved. Also, they did try to reach out to the manager at the hotel. I appreciate all your help in this situation and for all your understanding sincerely, Shaun Gerry.
</t>
  </si>
  <si>
    <t>Dear Ana,
This is Ashworth By The Sea Hotel. Make sure to complete the pre-arrival check-in for your upcoming stay:
https://mobility.stayntouch.com/checkin/url/linabs/canary. 
You can reach out to the front desk by responding to this message any time. Reply QUIT to stop.</t>
  </si>
  <si>
    <t>Dear Hollie,
This is Ashworth By The Sea Hotel. Make sure to complete the pre-arrival check-in for your upcoming stay:
https://mobility.stayntouch.com/checkin/url/linabs/canary. 
You can reach out to the front desk by responding to this message any time. Reply QUIT to stop.</t>
  </si>
  <si>
    <t>Hi Lawrencee,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</si>
  <si>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 xml:space="preserve">Complete pre-arrival check-in - Ashworth By The Sea Hotel
Contactless Check-In
Hello Greg,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Canary Technologies logo Powered by Canary Technologies • Unsubscribe • Privacy
                                     Policy
</t>
  </si>
  <si>
    <t xml:space="preserve">Complete pre-arrival check-in - Ashworth By The Sea Hotel
Contactless Check-In
Hello Priscilla,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Canary Technologies logo Powered by Canary Technologies • Unsubscribe • Privacy
Policy
</t>
  </si>
  <si>
    <t xml:space="preserve">Ashworth By The Sea Hotel - Set checkout time now
Contactless Checkout
Hello James,
Your departure is coming up. Use the link below to set your checkout time.
https://mobility.stayntouch.com/checkout/ashworthbythesea
We hope you enjoyed your stay.
Sincerely,
Ashworth By The Sea Hotel
Ashworth By The Sea Hotel | 295 Ocean Blvd, Hampton, NH 03842-3629
Canary Technologies logo Powered by Canary Technologies • Unsubscribe • Privacy
Policy
</t>
  </si>
  <si>
    <t xml:space="preserve">i had to cancel because i went the hospital, is there anyway i can get a new date?
</t>
  </si>
  <si>
    <t xml:space="preserve">INVOICE: Ashworth by the Sea | 106179
Thank you for staying at Ashworth by the Sea. Your invoice is attached.
</t>
  </si>
  <si>
    <t>We are looking forward to our stay. 
I’m unable to open the link to complete pre check in. 
We will see you tomorrow. 
Nancy</t>
  </si>
  <si>
    <t xml:space="preserve">Ashworth By The Sea Hotel - Set checkout time now
Contactless Checkout
Hello Joseph,
Your departure is coming up. Use the link below to set your checkout time.
https://mobility.stayntouch.com/checkout/ashworthbythesea
We hope you enjoyed your stay.
Sincerely,
Ashworth By The Sea Hotel
       Ashworth By The Sea Hotel | 295 Ocean Blvd, Hampton, NH 03842-3629
Canary Technologies logo Powered by Canary Technologies • Unsubscribe • Privacy
                                     Policy
</t>
  </si>
  <si>
    <t>Hi Michele, your departure is coming up at Ashworth By The Sea Hotel. Use the link below to let us know when you're leaving.
https://mobility.stayntouch.com/checkout/ashworthbythesea
We hope you enjoyed your stay and would love to welcome you back in the future!  Use code WELCOME at ashworthhotel.com to save up to 25% on your next visit.  Code expires two weeks from today.  Not valid with any other offers.</t>
  </si>
  <si>
    <t xml:space="preserve">Complete pre-arrival check-in - Ashworth By The Sea Hotel
Contactless Check-In
Hello James,
Your stay at Ashworth By The Sea Hotel is coming up soon, we can't wait to
welcome you!
Make sure to complete pre-arrival check-in for your upcoming stay using the link
below:
https://mobility.stayntouch.com/checkin/url/linabs/canary
If there is anything we can do to make your stay more enjoyable, please give us
a call at (603) 926-6762.
Sincerely,
Ashworth By The Sea Hotel
       Ashworth By The Sea Hotel | 295 Ocean Blvd, Hampton, NH 03842-3629
                                  +16039266762
Canary Technologies logo Powered by Canary Technologies • Unsubscribe • Privacy
                                     Policy
</t>
  </si>
  <si>
    <t>Will there be a cot available for the child?</t>
  </si>
  <si>
    <t xml:space="preserve">Ashworth By The Sea Hotel - Set checkout time now
Contactless Checkout
Hello Jon,
Your departure is coming up. Use the link below to set your checkout time.
https://mobility.stayntouch.com/checkout/ashworthbythesea
We hope you enjoyed your stay.
Sincerely,
Ashworth By The Sea Hotel
       Ashworth By The Sea Hotel | 295 Ocean Blvd, Hampton, NH 03842-3629
Canary Technologies logo Powered by Canary Technologies • Unsubscribe • Privacy
                                     Policy
</t>
  </si>
  <si>
    <t>My husband and son will be checking into this room. I was not able to put their names as additional authorized persons. will this be a problem?</t>
  </si>
  <si>
    <t>Hi Mona, your departure is coming up at Ashworth By The Sea Hotel. Use the link below to let us know when you're leaving.
https://mobility.stayntouch.com/checkout/ashworthbythesea/find-reservation
We hope you enjoyed your stay and would love to welcome you back in the future!  Use code WELCOME at ashworthhotel.com to save up to 25% on your next visit.  Code expires two weeks from today.  Not valid with any other offers.</t>
  </si>
  <si>
    <t>Dear Jose Jordan,
This is Ashworth By The Sea Hotel. Make sure to complete the pre-arrival check-in for your upcoming stay:
https://mobility.stayntouch.com/checkin/url/linabs/canary. 
You can reach out to the front desk by responding to this message any time. Reply QUIT to stop.</t>
  </si>
  <si>
    <t>Dear aubrey,
This is Ashworth By The Sea Hotel. Make sure to complete the pre-arrival check-in for your upcoming stay:
https://mobility.stayntouch.com/checkin/url/linabs/canary. 
You can reach out to the front desk by responding to this message any time. Reply QUIT to stop.</t>
  </si>
  <si>
    <t>In response to my review your hotel wrote that I received the room I reserved and should ask for OCEANFRONT next time.  I suggest you don’t list your rooms as Balcony and SIDE BALCONY separately.  This hotel was the biggest disappointment I’ve ever had on vacation .</t>
  </si>
  <si>
    <t xml:space="preserve">Ashworth By The Sea Hotel - Set checkout time now
Contactless Checkout
Hello Kathleen,
Your departure is coming up. Use the link below to set your checkout time.
https://mobility.stayntouch.com/checkout/ashworthbythesea
We hope you enjoyed your stay.
Sincerely,
Ashworth By The Sea Hotel
       Ashworth By The Sea Hotel | 295 Ocean Blvd, Hampton, NH 03842-3629
Canary Technologies logo Powered by Canary Technologies • Unsubscribe • Privacy
                                     Policy
</t>
  </si>
</sst>
</file>

<file path=xl/styles.xml><?xml version="1.0" encoding="utf-8"?>
<styleSheet xmlns="http://schemas.openxmlformats.org/spreadsheetml/2006/main" xmlns:x14ac="http://schemas.microsoft.com/office/spreadsheetml/2009/9/ac" xmlns:mc="http://schemas.openxmlformats.org/markup-compatibility/2006">
  <numFmts count="11">
    <numFmt numFmtId="164" formatCode="mm-dd-yyyy"/>
    <numFmt numFmtId="165" formatCode="mmmm yyyy"/>
    <numFmt numFmtId="166" formatCode="m/d/yyyy"/>
    <numFmt numFmtId="167" formatCode="0.0%"/>
    <numFmt numFmtId="168" formatCode="yyyy-mm-dd"/>
    <numFmt numFmtId="169" formatCode="mm/dd/yyyy"/>
    <numFmt numFmtId="170" formatCode="_(&quot;$&quot;* #,##0.00_);_(&quot;$&quot;* \(#,##0.00\);_(&quot;$&quot;* &quot;-&quot;??_);_(@_)"/>
    <numFmt numFmtId="171" formatCode="m/d/yyyy h:mm"/>
    <numFmt numFmtId="172" formatCode="0.0"/>
    <numFmt numFmtId="173" formatCode="$#,##0.00;$(#,##0.00);$-"/>
    <numFmt numFmtId="174" formatCode="yyyy-mm-dd h:mm:ss"/>
  </numFmts>
  <fonts count="16">
    <font>
      <sz val="10.0"/>
      <color rgb="FF000000"/>
      <name val="Arial"/>
      <scheme val="minor"/>
    </font>
    <font>
      <b/>
      <sz val="16.0"/>
      <color rgb="FFFFFFFF"/>
      <name val="Arial"/>
    </font>
    <font>
      <color theme="1"/>
      <name val="Arial"/>
      <scheme val="minor"/>
    </font>
    <font>
      <b/>
      <color theme="1"/>
      <name val="Arial"/>
    </font>
    <font>
      <color theme="1"/>
      <name val="Arial"/>
    </font>
    <font>
      <b/>
      <color rgb="FFFFFFFF"/>
      <name val="Arial"/>
    </font>
    <font>
      <b/>
      <sz val="11.0"/>
      <color rgb="FFFFFFFF"/>
      <name val="Calibri"/>
    </font>
    <font>
      <b/>
      <sz val="13.0"/>
      <color theme="0"/>
      <name val="Calibri"/>
    </font>
    <font>
      <sz val="11.0"/>
      <color theme="1"/>
      <name val="Calibri"/>
    </font>
    <font>
      <color theme="1"/>
      <name val="Calibri"/>
    </font>
    <font>
      <sz val="10.0"/>
      <color rgb="FF000000"/>
      <name val="Calibri"/>
    </font>
    <font>
      <sz val="10.0"/>
      <color theme="1"/>
      <name val="Calibri"/>
    </font>
    <font>
      <sz val="11.0"/>
      <color rgb="FF000000"/>
      <name val="Calibri"/>
    </font>
    <font>
      <b/>
      <color rgb="FFFFFFFF"/>
      <name val="Arial"/>
      <scheme val="minor"/>
    </font>
    <font>
      <b/>
      <color rgb="FF000000"/>
      <name val="Arial"/>
      <scheme val="minor"/>
    </font>
    <font>
      <u/>
      <color rgb="FF0000FF"/>
    </font>
  </fonts>
  <fills count="15">
    <fill>
      <patternFill patternType="none"/>
    </fill>
    <fill>
      <patternFill patternType="lightGray"/>
    </fill>
    <fill>
      <patternFill patternType="solid">
        <fgColor rgb="FF1F4E78"/>
        <bgColor rgb="FF1F4E78"/>
      </patternFill>
    </fill>
    <fill>
      <patternFill patternType="solid">
        <fgColor rgb="FFD9EAF7"/>
        <bgColor rgb="FFD9EAF7"/>
      </patternFill>
    </fill>
    <fill>
      <patternFill patternType="solid">
        <fgColor rgb="FFFFF2CC"/>
        <bgColor rgb="FFFFF2CC"/>
      </patternFill>
    </fill>
    <fill>
      <patternFill patternType="solid">
        <fgColor rgb="FFFFFFFF"/>
        <bgColor rgb="FFFFFFFF"/>
      </patternFill>
    </fill>
    <fill>
      <patternFill patternType="solid">
        <fgColor rgb="FF4472C4"/>
        <bgColor rgb="FF4472C4"/>
      </patternFill>
    </fill>
    <fill>
      <patternFill patternType="solid">
        <fgColor rgb="FF1155CC"/>
        <bgColor rgb="FF1155CC"/>
      </patternFill>
    </fill>
    <fill>
      <patternFill patternType="solid">
        <fgColor rgb="FF980000"/>
        <bgColor rgb="FF980000"/>
      </patternFill>
    </fill>
    <fill>
      <patternFill patternType="solid">
        <fgColor rgb="FF1C4587"/>
        <bgColor rgb="FF1C4587"/>
      </patternFill>
    </fill>
    <fill>
      <patternFill patternType="solid">
        <fgColor rgb="FFCCCCCC"/>
        <bgColor rgb="FFCCCCCC"/>
      </patternFill>
    </fill>
    <fill>
      <patternFill patternType="solid">
        <fgColor rgb="FFEFEFEF"/>
        <bgColor rgb="FFEFEFEF"/>
      </patternFill>
    </fill>
    <fill>
      <patternFill patternType="solid">
        <fgColor rgb="FFF3F3F3"/>
        <bgColor rgb="FFF3F3F3"/>
      </patternFill>
    </fill>
    <fill>
      <patternFill patternType="solid">
        <fgColor rgb="FFB6D7A8"/>
        <bgColor rgb="FFB6D7A8"/>
      </patternFill>
    </fill>
    <fill>
      <patternFill patternType="solid">
        <fgColor rgb="FFEA9999"/>
        <bgColor rgb="FFEA9999"/>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7">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0" fontId="2" numFmtId="0" xfId="0" applyAlignment="1" applyFont="1">
      <alignment readingOrder="0"/>
    </xf>
    <xf borderId="0" fillId="3" fontId="3" numFmtId="0" xfId="0" applyAlignment="1" applyFill="1" applyFont="1">
      <alignment readingOrder="0" vertical="center"/>
    </xf>
    <xf borderId="0" fillId="3" fontId="3" numFmtId="0" xfId="0" applyAlignment="1" applyFill="1" applyFont="1">
      <alignment vertical="center"/>
    </xf>
    <xf borderId="0" fillId="0" fontId="4" numFmtId="0" xfId="0" applyAlignment="1" applyFont="1">
      <alignment readingOrder="0" vertical="center"/>
    </xf>
    <xf borderId="0" fillId="0" fontId="2" numFmtId="164" xfId="0" applyAlignment="1" applyFont="1" applyNumberFormat="1">
      <alignment readingOrder="0"/>
    </xf>
    <xf borderId="0" fillId="4" fontId="4" numFmtId="0" xfId="0" applyAlignment="1" applyFill="1" applyFont="1">
      <alignment readingOrder="0" vertical="center"/>
    </xf>
    <xf borderId="0" fillId="0" fontId="4" numFmtId="0" xfId="0" applyAlignment="1" applyFont="1">
      <alignment vertical="center"/>
    </xf>
    <xf borderId="0" fillId="4" fontId="4" numFmtId="165" xfId="0" applyAlignment="1" applyFill="1" applyFont="1" applyNumberFormat="1">
      <alignment readingOrder="0" vertical="center"/>
    </xf>
    <xf borderId="0" fillId="4" fontId="4" numFmtId="0" xfId="0" applyAlignment="1" applyFill="1" applyFont="1">
      <alignment readingOrder="0" shrinkToFit="0" vertical="center" wrapText="0"/>
    </xf>
    <xf borderId="0" fillId="0" fontId="4" numFmtId="165" xfId="0" applyAlignment="1" applyFont="1" applyNumberFormat="1">
      <alignment vertical="center"/>
    </xf>
    <xf borderId="0" fillId="5" fontId="4" numFmtId="0" xfId="0" applyAlignment="1" applyFill="1" applyFont="1">
      <alignment readingOrder="0" vertical="center"/>
    </xf>
    <xf borderId="0" fillId="6" fontId="5" numFmtId="0" xfId="0" applyAlignment="1" applyFill="1" applyFont="1">
      <alignment horizontal="center" readingOrder="0" shrinkToFit="0" wrapText="1"/>
    </xf>
    <xf borderId="0" fillId="5" fontId="4" numFmtId="0" xfId="0" applyAlignment="1" applyFill="1" applyFont="1">
      <alignment vertical="center"/>
    </xf>
    <xf borderId="0" fillId="0" fontId="4" numFmtId="0" xfId="0" applyAlignment="1" applyFont="1">
      <alignment readingOrder="0"/>
    </xf>
    <xf borderId="0" fillId="0" fontId="4" numFmtId="0" xfId="0" applyFont="1"/>
    <xf borderId="0" fillId="4" fontId="4" numFmtId="10" xfId="0" applyAlignment="1" applyFill="1" applyFont="1" applyNumberFormat="1">
      <alignment readingOrder="0" vertical="center"/>
    </xf>
    <xf borderId="1" fillId="0" fontId="4" numFmtId="0" xfId="0" applyAlignment="1" applyBorder="1" applyFont="1">
      <alignment readingOrder="0" vertical="center"/>
    </xf>
    <xf borderId="1" fillId="4" fontId="4" numFmtId="166" xfId="0" applyAlignment="1" applyBorder="1" applyFill="1" applyFont="1" applyNumberFormat="1">
      <alignment readingOrder="0" vertical="center"/>
    </xf>
    <xf borderId="1" fillId="4" fontId="4" numFmtId="167" xfId="0" applyAlignment="1" applyBorder="1" applyFill="1" applyFont="1" applyNumberFormat="1">
      <alignment readingOrder="0" vertical="center"/>
    </xf>
    <xf borderId="1" fillId="4" fontId="4" numFmtId="166" xfId="0" applyAlignment="1" applyBorder="1" applyFill="1" applyFont="1" applyNumberFormat="1">
      <alignment vertical="center"/>
    </xf>
    <xf borderId="1" fillId="4" fontId="4" numFmtId="167" xfId="0" applyAlignment="1" applyBorder="1" applyFill="1" applyFont="1" applyNumberFormat="1">
      <alignment vertical="center"/>
    </xf>
    <xf borderId="0" fillId="5" fontId="3" numFmtId="0" xfId="0" applyAlignment="1" applyFill="1" applyFont="1">
      <alignment readingOrder="0" vertical="center"/>
    </xf>
    <xf borderId="0" fillId="5" fontId="2" numFmtId="0" xfId="0" applyAlignment="1" applyFill="1" applyFont="1">
      <alignment readingOrder="0"/>
    </xf>
    <xf borderId="0" fillId="5" fontId="2" numFmtId="0" xfId="0" applyFill="1" applyFont="1"/>
    <xf borderId="0" fillId="0" fontId="2" numFmtId="168" xfId="0" applyAlignment="1" applyFont="1" applyNumberFormat="1">
      <alignment readingOrder="0"/>
    </xf>
    <xf borderId="0" fillId="7" fontId="6" numFmtId="0" xfId="0" applyAlignment="1" applyFill="1" applyFont="1">
      <alignment horizontal="center" readingOrder="0" shrinkToFit="0" vertical="center" wrapText="0"/>
    </xf>
    <xf borderId="0" fillId="0" fontId="2" numFmtId="0" xfId="0" applyAlignment="1" applyFont="1">
      <alignment horizontal="center"/>
    </xf>
    <xf borderId="0" fillId="0" fontId="2" numFmtId="169" xfId="0" applyAlignment="1" applyFont="1" applyNumberFormat="1">
      <alignment readingOrder="0"/>
    </xf>
    <xf borderId="0" fillId="7" fontId="6" numFmtId="0" xfId="0" applyAlignment="1" applyFill="1" applyFont="1">
      <alignment horizontal="center" readingOrder="0" shrinkToFit="0" vertical="bottom" wrapText="0"/>
    </xf>
    <xf borderId="0" fillId="8" fontId="6" numFmtId="0" xfId="0" applyAlignment="1" applyFill="1" applyFont="1">
      <alignment horizontal="center" readingOrder="0" shrinkToFit="0" vertical="center" wrapText="0"/>
    </xf>
    <xf borderId="0" fillId="8" fontId="7" numFmtId="0" xfId="0" applyAlignment="1" applyFill="1" applyFont="1">
      <alignment horizontal="center" shrinkToFit="0" vertical="bottom" wrapText="0"/>
    </xf>
    <xf borderId="0" fillId="0" fontId="8" numFmtId="0" xfId="0" applyAlignment="1" applyFont="1">
      <alignment vertical="center"/>
    </xf>
    <xf borderId="0" fillId="9" fontId="6" numFmtId="0" xfId="0" applyAlignment="1" applyFill="1" applyFont="1">
      <alignment horizontal="center" readingOrder="0" shrinkToFit="0" vertical="center" wrapText="0"/>
    </xf>
    <xf borderId="0" fillId="10" fontId="9" numFmtId="0" xfId="0" applyAlignment="1" applyFill="1" applyFont="1">
      <alignment horizontal="center" readingOrder="0"/>
    </xf>
    <xf borderId="0" fillId="11" fontId="9" numFmtId="170" xfId="0" applyAlignment="1" applyFill="1" applyFont="1" applyNumberFormat="1">
      <alignment horizontal="center" readingOrder="0"/>
    </xf>
    <xf borderId="0" fillId="10" fontId="9" numFmtId="170" xfId="0" applyAlignment="1" applyFill="1" applyFont="1" applyNumberFormat="1">
      <alignment horizontal="center" readingOrder="0"/>
    </xf>
    <xf borderId="0" fillId="11" fontId="9" numFmtId="0" xfId="0" applyAlignment="1" applyFill="1" applyFont="1">
      <alignment horizontal="center" readingOrder="0"/>
    </xf>
    <xf borderId="0" fillId="0" fontId="8" numFmtId="0" xfId="0" applyAlignment="1" applyFont="1">
      <alignment readingOrder="0" vertical="center"/>
    </xf>
    <xf borderId="0" fillId="0" fontId="8" numFmtId="10" xfId="0" applyAlignment="1" applyFont="1" applyNumberFormat="1">
      <alignment readingOrder="0" vertical="center"/>
    </xf>
    <xf borderId="0" fillId="9" fontId="6" numFmtId="0" xfId="0" applyAlignment="1" applyFill="1" applyFont="1">
      <alignment horizontal="center" shrinkToFit="0" vertical="center" wrapText="0"/>
    </xf>
    <xf borderId="0" fillId="11" fontId="9" numFmtId="0" xfId="0" applyAlignment="1" applyFill="1" applyFont="1">
      <alignment horizontal="center"/>
    </xf>
    <xf borderId="0" fillId="11" fontId="9" numFmtId="170" xfId="0" applyAlignment="1" applyFill="1" applyFont="1" applyNumberFormat="1">
      <alignment horizontal="center"/>
    </xf>
    <xf borderId="0" fillId="7" fontId="6" numFmtId="0" xfId="0" applyAlignment="1" applyFill="1" applyFont="1">
      <alignment horizontal="center" vertical="bottom"/>
    </xf>
    <xf borderId="0" fillId="7" fontId="6" numFmtId="170" xfId="0" applyAlignment="1" applyFill="1" applyFont="1" applyNumberFormat="1">
      <alignment horizontal="center" vertical="bottom"/>
    </xf>
    <xf borderId="0" fillId="7" fontId="6" numFmtId="0" xfId="0" applyAlignment="1" applyFill="1" applyFont="1">
      <alignment horizontal="center" shrinkToFit="0" vertical="bottom" wrapText="0"/>
    </xf>
    <xf borderId="0" fillId="7" fontId="6" numFmtId="49" xfId="0" applyAlignment="1" applyFill="1" applyFont="1" applyNumberFormat="1">
      <alignment horizontal="center" readingOrder="0" shrinkToFit="0" vertical="bottom" wrapText="0"/>
    </xf>
    <xf borderId="0" fillId="9" fontId="6" numFmtId="0" xfId="0" applyAlignment="1" applyFill="1" applyFont="1">
      <alignment horizontal="center" shrinkToFit="0" vertical="bottom" wrapText="0"/>
    </xf>
    <xf borderId="0" fillId="12" fontId="8" numFmtId="0" xfId="0" applyAlignment="1" applyFill="1" applyFont="1">
      <alignment horizontal="center" readingOrder="0" vertical="center"/>
    </xf>
    <xf borderId="0" fillId="0" fontId="9" numFmtId="0" xfId="0" applyAlignment="1" applyFont="1">
      <alignment horizontal="center"/>
    </xf>
    <xf borderId="0" fillId="11" fontId="9" numFmtId="3" xfId="0" applyAlignment="1" applyFill="1" applyFont="1" applyNumberFormat="1">
      <alignment horizontal="center" readingOrder="0"/>
    </xf>
    <xf borderId="0" fillId="9" fontId="6" numFmtId="0" xfId="0" applyAlignment="1" applyFill="1" applyFont="1">
      <alignment horizontal="center" vertical="bottom"/>
    </xf>
    <xf borderId="0" fillId="7" fontId="6" numFmtId="0" xfId="0" applyAlignment="1" applyFill="1" applyFont="1">
      <alignment horizontal="center" vertical="bottom"/>
    </xf>
    <xf borderId="0" fillId="12" fontId="8" numFmtId="167" xfId="0" applyAlignment="1" applyFill="1" applyFont="1" applyNumberFormat="1">
      <alignment horizontal="center" readingOrder="0" vertical="center"/>
    </xf>
    <xf borderId="0" fillId="12" fontId="8" numFmtId="9" xfId="0" applyAlignment="1" applyFill="1" applyFont="1" applyNumberFormat="1">
      <alignment horizontal="center" readingOrder="0" vertical="center"/>
    </xf>
    <xf borderId="0" fillId="0" fontId="9" numFmtId="10" xfId="0" applyAlignment="1" applyFont="1" applyNumberFormat="1">
      <alignment horizontal="center"/>
    </xf>
    <xf borderId="0" fillId="12" fontId="8" numFmtId="0" xfId="0" applyAlignment="1" applyFill="1" applyFont="1">
      <alignment horizontal="center" vertical="bottom"/>
    </xf>
    <xf borderId="0" fillId="13" fontId="9" numFmtId="10" xfId="0" applyAlignment="1" applyFill="1" applyFont="1" applyNumberFormat="1">
      <alignment horizontal="center"/>
    </xf>
    <xf borderId="0" fillId="12" fontId="10" numFmtId="170" xfId="0" applyAlignment="1" applyFill="1" applyFont="1" applyNumberFormat="1">
      <alignment horizontal="center" readingOrder="0" shrinkToFit="0" vertical="center" wrapText="0"/>
    </xf>
    <xf borderId="0" fillId="0" fontId="2" numFmtId="166" xfId="0" applyAlignment="1" applyFont="1" applyNumberFormat="1">
      <alignment readingOrder="0"/>
    </xf>
    <xf borderId="0" fillId="12" fontId="10" numFmtId="170" xfId="0" applyAlignment="1" applyFill="1" applyFont="1" applyNumberFormat="1">
      <alignment horizontal="center" shrinkToFit="0" vertical="center" wrapText="0"/>
    </xf>
    <xf borderId="0" fillId="0" fontId="2" numFmtId="171" xfId="0" applyAlignment="1" applyFont="1" applyNumberFormat="1">
      <alignment readingOrder="0"/>
    </xf>
    <xf borderId="0" fillId="13" fontId="9" numFmtId="0" xfId="0" applyAlignment="1" applyFill="1" applyFont="1">
      <alignment horizontal="center"/>
    </xf>
    <xf borderId="0" fillId="12" fontId="11" numFmtId="170" xfId="0" applyAlignment="1" applyFill="1" applyFont="1" applyNumberFormat="1">
      <alignment horizontal="center" readingOrder="0" vertical="center"/>
    </xf>
    <xf borderId="0" fillId="14" fontId="9" numFmtId="0" xfId="0" applyAlignment="1" applyFill="1" applyFont="1">
      <alignment horizontal="center"/>
    </xf>
    <xf borderId="0" fillId="9" fontId="6" numFmtId="0" xfId="0" applyAlignment="1" applyFill="1" applyFont="1">
      <alignment horizontal="center" readingOrder="0" vertical="bottom"/>
    </xf>
    <xf borderId="0" fillId="7" fontId="6" numFmtId="0" xfId="0" applyAlignment="1" applyFill="1" applyFont="1">
      <alignment horizontal="center" readingOrder="0" vertical="bottom"/>
    </xf>
    <xf borderId="0" fillId="0" fontId="4" numFmtId="0" xfId="0" applyAlignment="1" applyFont="1">
      <alignment horizontal="right"/>
    </xf>
    <xf borderId="0" fillId="12" fontId="12" numFmtId="3" xfId="0" applyAlignment="1" applyFill="1" applyFont="1" applyNumberFormat="1">
      <alignment horizontal="center" readingOrder="0" shrinkToFit="0" vertical="center" wrapText="0"/>
    </xf>
    <xf borderId="0" fillId="0" fontId="8" numFmtId="166" xfId="0" applyAlignment="1" applyFont="1" applyNumberFormat="1">
      <alignment readingOrder="0" vertical="center"/>
    </xf>
    <xf borderId="0" fillId="12" fontId="11" numFmtId="170" xfId="0" applyAlignment="1" applyFill="1" applyFont="1" applyNumberFormat="1">
      <alignment horizontal="center" vertical="center"/>
    </xf>
    <xf borderId="0" fillId="0" fontId="2" numFmtId="0" xfId="0" applyAlignment="1" applyFont="1">
      <alignment readingOrder="0"/>
    </xf>
    <xf quotePrefix="1" borderId="0" fillId="0" fontId="2" numFmtId="0" xfId="0" applyAlignment="1" applyFont="1">
      <alignment readingOrder="0"/>
    </xf>
    <xf borderId="0" fillId="0" fontId="2" numFmtId="14" xfId="0" applyAlignment="1" applyFont="1" applyNumberFormat="1">
      <alignment readingOrder="0"/>
    </xf>
    <xf borderId="0" fillId="8" fontId="7" numFmtId="0" xfId="0" applyAlignment="1" applyFill="1" applyFont="1">
      <alignment horizontal="center" readingOrder="0" shrinkToFit="0" vertical="bottom" wrapText="0"/>
    </xf>
    <xf borderId="0" fillId="0" fontId="2" numFmtId="0" xfId="0" applyFont="1"/>
    <xf borderId="0" fillId="0" fontId="2" numFmtId="170" xfId="0" applyFont="1" applyNumberFormat="1"/>
    <xf borderId="0" fillId="7" fontId="6" numFmtId="170" xfId="0" applyAlignment="1" applyFill="1" applyFont="1" applyNumberFormat="1">
      <alignment horizontal="center" readingOrder="0" vertical="bottom"/>
    </xf>
    <xf borderId="0" fillId="11" fontId="9" numFmtId="0" xfId="0" applyAlignment="1" applyFill="1" applyFont="1">
      <alignment horizontal="center" readingOrder="0"/>
    </xf>
    <xf borderId="0" fillId="9" fontId="6" numFmtId="0" xfId="0" applyAlignment="1" applyFill="1" applyFont="1">
      <alignment horizontal="center" readingOrder="0" shrinkToFit="0" vertical="bottom" wrapText="0"/>
    </xf>
    <xf borderId="0" fillId="12" fontId="8" numFmtId="1" xfId="0" applyAlignment="1" applyFill="1" applyFont="1" applyNumberFormat="1">
      <alignment horizontal="center" readingOrder="0" vertical="center"/>
    </xf>
    <xf borderId="0" fillId="0" fontId="9" numFmtId="1" xfId="0" applyAlignment="1" applyFont="1" applyNumberFormat="1">
      <alignment horizontal="center" readingOrder="0"/>
    </xf>
    <xf borderId="0" fillId="12" fontId="8" numFmtId="167" xfId="0" applyAlignment="1" applyFill="1" applyFont="1" applyNumberFormat="1">
      <alignment horizontal="center" readingOrder="0" vertical="center"/>
    </xf>
    <xf borderId="0" fillId="0" fontId="9" numFmtId="167" xfId="0" applyAlignment="1" applyFont="1" applyNumberFormat="1">
      <alignment horizontal="center" readingOrder="0"/>
    </xf>
    <xf borderId="0" fillId="13" fontId="9" numFmtId="167" xfId="0" applyAlignment="1" applyFill="1" applyFont="1" applyNumberFormat="1">
      <alignment horizontal="center" readingOrder="0"/>
    </xf>
    <xf borderId="0" fillId="12" fontId="8" numFmtId="172" xfId="0" applyAlignment="1" applyFill="1" applyFont="1" applyNumberFormat="1">
      <alignment horizontal="center" readingOrder="0" vertical="center"/>
    </xf>
    <xf borderId="0" fillId="13" fontId="9" numFmtId="172" xfId="0" applyAlignment="1" applyFill="1" applyFont="1" applyNumberFormat="1">
      <alignment horizontal="center" readingOrder="0"/>
    </xf>
    <xf borderId="0" fillId="12" fontId="8" numFmtId="0" xfId="0" applyAlignment="1" applyFill="1" applyFont="1">
      <alignment horizontal="center" readingOrder="0" vertical="bottom"/>
    </xf>
    <xf borderId="0" fillId="14" fontId="9" numFmtId="172" xfId="0" applyAlignment="1" applyFill="1" applyFont="1" applyNumberFormat="1">
      <alignment horizontal="center" readingOrder="0"/>
    </xf>
    <xf borderId="0" fillId="0" fontId="2" numFmtId="3" xfId="0" applyFont="1" applyNumberFormat="1"/>
    <xf borderId="0" fillId="0" fontId="8" numFmtId="166" xfId="0" applyAlignment="1" applyFont="1" applyNumberFormat="1">
      <alignment readingOrder="0" vertical="center"/>
    </xf>
    <xf borderId="0" fillId="0" fontId="8" numFmtId="167" xfId="0" applyAlignment="1" applyFont="1" applyNumberFormat="1">
      <alignment readingOrder="0" vertical="center"/>
    </xf>
    <xf borderId="0" fillId="9" fontId="13" numFmtId="0" xfId="0" applyAlignment="1" applyFill="1" applyFont="1">
      <alignment horizontal="center" readingOrder="0"/>
    </xf>
    <xf borderId="0" fillId="14" fontId="14" numFmtId="173" xfId="0" applyAlignment="1" applyFill="1" applyFont="1" applyNumberFormat="1">
      <alignment readingOrder="0"/>
    </xf>
    <xf borderId="0" fillId="0" fontId="2" numFmtId="174" xfId="0" applyAlignment="1" applyFont="1" applyNumberFormat="1">
      <alignment readingOrder="0"/>
    </xf>
    <xf borderId="0" fillId="0" fontId="15" numFmtId="0" xfId="0" applyAlignment="1" applyFont="1">
      <alignment readingOrder="0"/>
    </xf>
  </cellXfs>
  <cellStyles count="1">
    <cellStyle xfId="0" name="Normal" builtinId="0"/>
  </cellStyles>
  <dxfs count="3">
    <dxf>
      <font>
        <color rgb="FF000000"/>
      </font>
      <fill>
        <patternFill patternType="solid">
          <fgColor rgb="FFB6D7A8"/>
          <bgColor rgb="FFB6D7A8"/>
        </patternFill>
      </fill>
      <border/>
    </dxf>
    <dxf>
      <font/>
      <fill>
        <patternFill patternType="solid">
          <fgColor rgb="FFEA9999"/>
          <bgColor rgb="FFEA9999"/>
        </patternFill>
      </fill>
      <border/>
    </dxf>
    <dxf>
      <font/>
      <fill>
        <patternFill patternType="solid">
          <fgColor rgb="FFB6D7A8"/>
          <bgColor rgb="FFB6D7A8"/>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Engagement Rate</a:t>
            </a:r>
          </a:p>
        </c:rich>
      </c:tx>
      <c:overlay val="0"/>
    </c:title>
    <c:plotArea>
      <c:layout/>
      <c:lineChart>
        <c:varyColors val="0"/>
        <c:ser>
          <c:idx val="0"/>
          <c:order val="0"/>
          <c:tx>
            <c:strRef>
              <c:f>'Report Template'!$N$30</c:f>
            </c:strRef>
          </c:tx>
          <c:spPr>
            <a:ln cmpd="sng">
              <a:solidFill>
                <a:srgbClr val="980000">
                  <a:alpha val="100000"/>
                </a:srgbClr>
              </a:solidFill>
            </a:ln>
          </c:spPr>
          <c:marker>
            <c:symbol val="none"/>
          </c:marker>
          <c:cat>
            <c:strRef>
              <c:f>'Report Template'!$M$31:$M$35</c:f>
            </c:strRef>
          </c:cat>
          <c:val>
            <c:numRef>
              <c:f>'Report Template'!$N$31:$N$35</c:f>
              <c:numCache/>
            </c:numRef>
          </c:val>
          <c:smooth val="1"/>
        </c:ser>
        <c:axId val="560394784"/>
        <c:axId val="899360921"/>
      </c:lineChart>
      <c:catAx>
        <c:axId val="56039478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899360921"/>
      </c:catAx>
      <c:valAx>
        <c:axId val="89936092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Engagement Rate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560394784"/>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Common Guest Conversation Topics</a:t>
            </a:r>
          </a:p>
        </c:rich>
      </c:tx>
      <c:overlay val="0"/>
    </c:title>
    <c:plotArea>
      <c:layout/>
      <c:pieChart>
        <c:varyColors val="1"/>
        <c:ser>
          <c:idx val="0"/>
          <c:order val="0"/>
          <c:tx>
            <c:strRef>
              <c:f>'Report Template'!$N$5</c:f>
            </c:strRef>
          </c:tx>
          <c:dPt>
            <c:idx val="0"/>
            <c:spPr>
              <a:solidFill>
                <a:srgbClr val="9FC5E8"/>
              </a:solidFill>
            </c:spPr>
          </c:dPt>
          <c:dPt>
            <c:idx val="1"/>
            <c:spPr>
              <a:solidFill>
                <a:srgbClr val="FFE599"/>
              </a:solidFill>
            </c:spPr>
          </c:dPt>
          <c:dPt>
            <c:idx val="2"/>
            <c:spPr>
              <a:solidFill>
                <a:srgbClr val="B6D7A8"/>
              </a:solidFill>
            </c:spPr>
          </c:dPt>
          <c:dPt>
            <c:idx val="3"/>
            <c:spPr>
              <a:solidFill>
                <a:srgbClr val="EA9999"/>
              </a:solidFill>
            </c:spPr>
          </c:dPt>
          <c:dPt>
            <c:idx val="4"/>
            <c:spPr>
              <a:solidFill>
                <a:srgbClr val="B4A7D6"/>
              </a:solidFill>
            </c:spPr>
          </c:dPt>
          <c:dPt>
            <c:idx val="5"/>
            <c:spPr>
              <a:solidFill>
                <a:srgbClr val="D5A6BD"/>
              </a:solidFill>
            </c:spPr>
          </c:dPt>
          <c:dPt>
            <c:idx val="6"/>
            <c:spPr>
              <a:solidFill>
                <a:srgbClr val="DD7E6B"/>
              </a:solidFill>
            </c:spPr>
          </c:dPt>
          <c:dPt>
            <c:idx val="7"/>
            <c:spPr>
              <a:solidFill>
                <a:srgbClr val="76A5AF"/>
              </a:solidFill>
            </c:spPr>
          </c:dPt>
          <c:dLbls>
            <c:showLegendKey val="0"/>
            <c:showVal val="0"/>
            <c:showCatName val="0"/>
            <c:showSerName val="0"/>
            <c:showPercent val="0"/>
            <c:showBubbleSize val="0"/>
            <c:showLeaderLines val="1"/>
          </c:dLbls>
          <c:cat>
            <c:strRef>
              <c:f>'Report Template'!$M$6:$M$13</c:f>
            </c:strRef>
          </c:cat>
          <c:val>
            <c:numRef>
              <c:f>'Report Template'!$N$6:$N$13</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Recurring Operational Concerns</a:t>
            </a:r>
          </a:p>
        </c:rich>
      </c:tx>
      <c:overlay val="0"/>
    </c:title>
    <c:plotArea>
      <c:layout/>
      <c:barChart>
        <c:barDir val="col"/>
        <c:ser>
          <c:idx val="0"/>
          <c:order val="0"/>
          <c:tx>
            <c:strRef>
              <c:f>'Report Template'!$N$39</c:f>
            </c:strRef>
          </c:tx>
          <c:spPr>
            <a:solidFill>
              <a:srgbClr val="980000"/>
            </a:solidFill>
            <a:ln cmpd="sng">
              <a:noFill/>
            </a:ln>
          </c:spPr>
          <c:cat>
            <c:strRef>
              <c:f>'Report Template'!$M$40:$M$44</c:f>
            </c:strRef>
          </c:cat>
          <c:val>
            <c:numRef>
              <c:f>'Report Template'!$N$40:$N$44</c:f>
              <c:numCache/>
            </c:numRef>
          </c:val>
        </c:ser>
        <c:axId val="2036564864"/>
        <c:axId val="173131474"/>
      </c:barChart>
      <c:catAx>
        <c:axId val="203656486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73131474"/>
      </c:catAx>
      <c:valAx>
        <c:axId val="17313147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036564864"/>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Engagement Rate</a:t>
            </a:r>
          </a:p>
        </c:rich>
      </c:tx>
      <c:overlay val="0"/>
    </c:title>
    <c:plotArea>
      <c:layout/>
      <c:lineChart>
        <c:varyColors val="0"/>
        <c:ser>
          <c:idx val="0"/>
          <c:order val="0"/>
          <c:tx>
            <c:strRef>
              <c:f>Report!$N$30</c:f>
            </c:strRef>
          </c:tx>
          <c:spPr>
            <a:ln cmpd="sng">
              <a:solidFill>
                <a:srgbClr val="980000">
                  <a:alpha val="100000"/>
                </a:srgbClr>
              </a:solidFill>
            </a:ln>
          </c:spPr>
          <c:marker>
            <c:symbol val="none"/>
          </c:marker>
          <c:cat>
            <c:strRef>
              <c:f>Report!$M$31:$M$35</c:f>
            </c:strRef>
          </c:cat>
          <c:val>
            <c:numRef>
              <c:f>Report!$N$31:$N$35</c:f>
              <c:numCache/>
            </c:numRef>
          </c:val>
          <c:smooth val="1"/>
        </c:ser>
        <c:axId val="1614952784"/>
        <c:axId val="232531691"/>
      </c:lineChart>
      <c:catAx>
        <c:axId val="161495278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32531691"/>
      </c:catAx>
      <c:valAx>
        <c:axId val="23253169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Engagement Rate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614952784"/>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Common Guest Conversation Topics</a:t>
            </a:r>
          </a:p>
        </c:rich>
      </c:tx>
      <c:overlay val="0"/>
    </c:title>
    <c:plotArea>
      <c:layout/>
      <c:pieChart>
        <c:varyColors val="1"/>
        <c:ser>
          <c:idx val="0"/>
          <c:order val="0"/>
          <c:dPt>
            <c:idx val="0"/>
            <c:spPr>
              <a:solidFill>
                <a:srgbClr val="9FC5E8"/>
              </a:solidFill>
            </c:spPr>
          </c:dPt>
          <c:dPt>
            <c:idx val="1"/>
          </c:dPt>
          <c:dPt>
            <c:idx val="2"/>
          </c:dPt>
          <c:dPt>
            <c:idx val="3"/>
          </c:dPt>
          <c:dPt>
            <c:idx val="4"/>
          </c:dPt>
          <c:dPt>
            <c:idx val="5"/>
          </c:dPt>
          <c:dPt>
            <c:idx val="6"/>
          </c:dPt>
          <c:dPt>
            <c:idx val="7"/>
          </c:dPt>
          <c:dPt>
            <c:idx val="8"/>
          </c:dPt>
          <c:dLbls>
            <c:showLegendKey val="0"/>
            <c:showVal val="0"/>
            <c:showCatName val="0"/>
            <c:showSerName val="0"/>
            <c:showPercent val="0"/>
            <c:showBubbleSize val="0"/>
            <c:showLeaderLines val="1"/>
          </c:dLbls>
          <c:cat>
            <c:strRef>
              <c:f>Report!$M$5:$M$13</c:f>
            </c:strRef>
          </c:cat>
          <c:val>
            <c:numRef>
              <c:f>Report!$N$5:$N$13</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4.xml"/><Relationship Id="rId2"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923925</xdr:colOff>
      <xdr:row>28</xdr:row>
      <xdr:rowOff>161925</xdr:rowOff>
    </xdr:from>
    <xdr:ext cx="7543800" cy="18954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11</xdr:col>
      <xdr:colOff>923925</xdr:colOff>
      <xdr:row>2</xdr:row>
      <xdr:rowOff>209550</xdr:rowOff>
    </xdr:from>
    <xdr:ext cx="7667625" cy="38385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12</xdr:col>
      <xdr:colOff>9525</xdr:colOff>
      <xdr:row>38</xdr:row>
      <xdr:rowOff>9525</xdr:rowOff>
    </xdr:from>
    <xdr:ext cx="7620000" cy="35337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923925</xdr:colOff>
      <xdr:row>28</xdr:row>
      <xdr:rowOff>161925</xdr:rowOff>
    </xdr:from>
    <xdr:ext cx="7543800" cy="1895475"/>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11</xdr:col>
      <xdr:colOff>923925</xdr:colOff>
      <xdr:row>2</xdr:row>
      <xdr:rowOff>209550</xdr:rowOff>
    </xdr:from>
    <xdr:ext cx="7667625" cy="3838575"/>
    <xdr:graphicFrame>
      <xdr:nvGraphicFramePr>
        <xdr:cNvPr id="5" name="Chart 5"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6.xml"/><Relationship Id="rId3"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7.xml"/><Relationship Id="rId3"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8.xml"/><Relationship Id="rId3"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9.xml"/><Relationship Id="rId3" Type="http://schemas.openxmlformats.org/officeDocument/2006/relationships/vmlDrawing" Target="../drawings/vmlDrawing5.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hyperlink" Target="https://www.google.com/maps/search/?api=1&amp;query=19+Cubles+Dr++Brimfield++MA+01010++USA" TargetMode="External"/><Relationship Id="rId3" Type="http://schemas.openxmlformats.org/officeDocument/2006/relationships/hyperlink" Target="https://www.google.com/search?udm=50&amp;oi=ddle&amp;noiga=1&amp;ct=529356412&amp;ictx=1&amp;sa=X&amp;ved=2ahUKEwjm-Mft7rGVAxXqhIkEHTDXGRwQoo4PegYIAggBEAc&amp;biw=402&amp;bih=714&amp;dpr=3&amp;atvm=2" TargetMode="External"/><Relationship Id="rId4" Type="http://schemas.openxmlformats.org/officeDocument/2006/relationships/hyperlink" Target="https://m.youtube.com/watch?v=uxk76TR-_8Y&amp;pp=0gcJCUECo7VqN5tD&amp;ra=m" TargetMode="External"/><Relationship Id="rId5" Type="http://schemas.openxmlformats.org/officeDocument/2006/relationships/drawing" Target="../drawings/drawing10.xml"/><Relationship Id="rId6" Type="http://schemas.openxmlformats.org/officeDocument/2006/relationships/vmlDrawing" Target="../drawings/vmlDrawing6.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0"/>
    <col customWidth="1" min="2" max="2" width="17.38"/>
    <col customWidth="1" min="3" max="3" width="16.75"/>
    <col customWidth="1" min="4" max="4" width="14.75"/>
    <col customWidth="1" min="5" max="5" width="15.0"/>
    <col customWidth="1" min="6" max="6" width="14.75"/>
    <col customWidth="1" min="7" max="7" width="35.75"/>
    <col customWidth="1" min="8" max="8" width="20.75"/>
    <col customWidth="1" min="9" max="9" width="16.0"/>
    <col customWidth="1" min="10" max="10" width="13.75"/>
    <col customWidth="1" min="13" max="13" width="32.75"/>
    <col customWidth="1" min="14" max="16" width="22.38"/>
  </cols>
  <sheetData>
    <row r="1" ht="18.75" customHeight="1">
      <c r="A1" s="27" t="s">
        <v>303</v>
      </c>
      <c r="F1" s="28"/>
      <c r="G1" s="28"/>
      <c r="H1" s="28"/>
      <c r="I1" s="28"/>
      <c r="J1" s="28"/>
      <c r="K1" s="28"/>
      <c r="L1" s="28"/>
      <c r="M1" s="30" t="s">
        <v>313</v>
      </c>
      <c r="Q1" s="28"/>
      <c r="R1" s="28"/>
      <c r="S1" s="28"/>
      <c r="T1" s="28"/>
      <c r="U1" s="28"/>
      <c r="V1" s="28"/>
      <c r="W1" s="28"/>
      <c r="X1" s="28"/>
      <c r="Y1" s="28"/>
      <c r="Z1" s="28"/>
      <c r="AA1" s="28"/>
    </row>
    <row r="2" ht="18.75" customHeight="1">
      <c r="A2" s="31">
        <v>2026.0</v>
      </c>
      <c r="F2" s="28"/>
      <c r="G2" s="28"/>
      <c r="H2" s="28"/>
      <c r="I2" s="28"/>
      <c r="J2" s="28"/>
      <c r="K2" s="28"/>
      <c r="L2" s="28"/>
      <c r="M2" s="32">
        <v>2026.0</v>
      </c>
      <c r="Q2" s="28"/>
      <c r="R2" s="28"/>
      <c r="S2" s="28"/>
      <c r="T2" s="28"/>
      <c r="U2" s="28"/>
      <c r="V2" s="28"/>
      <c r="W2" s="28"/>
      <c r="X2" s="28"/>
      <c r="Y2" s="28"/>
      <c r="Z2" s="28"/>
      <c r="AA2" s="28"/>
    </row>
    <row r="3" ht="18.75" customHeight="1">
      <c r="A3" s="27" t="s">
        <v>321</v>
      </c>
      <c r="C3" s="27" t="s">
        <v>282</v>
      </c>
      <c r="D3" s="27" t="s">
        <v>278</v>
      </c>
      <c r="E3" s="27" t="s">
        <v>279</v>
      </c>
      <c r="F3" s="28"/>
      <c r="G3" s="27" t="s">
        <v>321</v>
      </c>
      <c r="H3" s="27" t="s">
        <v>282</v>
      </c>
      <c r="I3" s="27" t="s">
        <v>278</v>
      </c>
      <c r="J3" s="27" t="s">
        <v>279</v>
      </c>
      <c r="L3" s="28"/>
      <c r="M3" s="33"/>
      <c r="N3" s="33"/>
      <c r="O3" s="33"/>
      <c r="P3" s="33"/>
      <c r="Q3" s="28"/>
      <c r="R3" s="28"/>
      <c r="S3" s="28"/>
      <c r="T3" s="28"/>
      <c r="U3" s="28"/>
      <c r="V3" s="28"/>
      <c r="W3" s="28"/>
      <c r="X3" s="28"/>
      <c r="Y3" s="28"/>
      <c r="Z3" s="28"/>
      <c r="AA3" s="28"/>
    </row>
    <row r="4" ht="18.75" customHeight="1">
      <c r="A4" s="34" t="s">
        <v>136</v>
      </c>
      <c r="C4" s="35"/>
      <c r="D4" s="36">
        <v>5320.0</v>
      </c>
      <c r="E4" s="37"/>
      <c r="F4" s="28"/>
      <c r="G4" s="34" t="s">
        <v>107</v>
      </c>
      <c r="H4" s="38">
        <v>2664.0</v>
      </c>
      <c r="I4" s="36">
        <v>65175.0</v>
      </c>
      <c r="J4" s="36">
        <v>24.47</v>
      </c>
      <c r="L4" s="28"/>
      <c r="M4" s="33"/>
      <c r="N4" s="33"/>
      <c r="O4" s="33"/>
      <c r="P4" s="33"/>
      <c r="Q4" s="28"/>
      <c r="R4" s="28"/>
      <c r="S4" s="28"/>
      <c r="T4" s="28"/>
      <c r="U4" s="28"/>
      <c r="V4" s="28"/>
      <c r="W4" s="28"/>
      <c r="X4" s="28"/>
      <c r="Y4" s="28"/>
      <c r="Z4" s="28"/>
      <c r="AA4" s="28"/>
    </row>
    <row r="5" ht="18.75" customHeight="1">
      <c r="A5" s="34" t="s">
        <v>228</v>
      </c>
      <c r="C5" s="38">
        <v>56.0</v>
      </c>
      <c r="D5" s="36">
        <v>2700.0</v>
      </c>
      <c r="E5" s="36">
        <v>48.21</v>
      </c>
      <c r="F5" s="28"/>
      <c r="G5" s="34" t="s">
        <v>113</v>
      </c>
      <c r="H5" s="38">
        <v>2464.0</v>
      </c>
      <c r="I5" s="36">
        <v>60022.87</v>
      </c>
      <c r="J5" s="36">
        <v>24.36</v>
      </c>
      <c r="L5" s="28"/>
      <c r="M5" s="39" t="s">
        <v>340</v>
      </c>
      <c r="N5" s="39" t="s">
        <v>342</v>
      </c>
      <c r="O5" s="39" t="s">
        <v>343</v>
      </c>
      <c r="P5" s="33"/>
      <c r="Q5" s="28"/>
      <c r="R5" s="28"/>
      <c r="S5" s="28"/>
      <c r="T5" s="28"/>
      <c r="U5" s="28"/>
      <c r="V5" s="28"/>
      <c r="W5" s="28"/>
      <c r="X5" s="28"/>
      <c r="Y5" s="28"/>
      <c r="Z5" s="28"/>
      <c r="AA5" s="28"/>
    </row>
    <row r="6" ht="18.75" customHeight="1">
      <c r="A6" s="34" t="s">
        <v>345</v>
      </c>
      <c r="C6" s="35"/>
      <c r="D6" s="36">
        <v>1065.0</v>
      </c>
      <c r="E6" s="37"/>
      <c r="F6" s="28"/>
      <c r="G6" s="34" t="s">
        <v>115</v>
      </c>
      <c r="H6" s="38">
        <v>426.0</v>
      </c>
      <c r="I6" s="36">
        <v>9899.94</v>
      </c>
      <c r="J6" s="36">
        <v>23.24</v>
      </c>
      <c r="L6" s="28"/>
      <c r="M6" s="39" t="s">
        <v>347</v>
      </c>
      <c r="N6" s="39">
        <v>123.0</v>
      </c>
      <c r="O6" s="40">
        <v>0.33</v>
      </c>
      <c r="P6" s="33"/>
      <c r="Q6" s="28"/>
      <c r="R6" s="28"/>
      <c r="S6" s="28"/>
      <c r="T6" s="28"/>
      <c r="U6" s="28"/>
      <c r="V6" s="28"/>
      <c r="W6" s="28"/>
      <c r="X6" s="28"/>
      <c r="Y6" s="28"/>
      <c r="Z6" s="28"/>
      <c r="AA6" s="28"/>
    </row>
    <row r="7" ht="18.75" customHeight="1">
      <c r="A7" s="34" t="s">
        <v>142</v>
      </c>
      <c r="C7" s="35"/>
      <c r="D7" s="36">
        <v>5045.0</v>
      </c>
      <c r="E7" s="37"/>
      <c r="F7" s="28"/>
      <c r="G7" s="34" t="s">
        <v>117</v>
      </c>
      <c r="H7" s="38">
        <v>19.0</v>
      </c>
      <c r="I7" s="36">
        <v>380.0</v>
      </c>
      <c r="J7" s="36">
        <v>20.0</v>
      </c>
      <c r="L7" s="28"/>
      <c r="M7" s="15" t="s">
        <v>351</v>
      </c>
      <c r="N7" s="39">
        <v>69.0</v>
      </c>
      <c r="O7" s="40">
        <v>0.185</v>
      </c>
      <c r="P7" s="33"/>
      <c r="Q7" s="28"/>
      <c r="R7" s="28"/>
      <c r="S7" s="28"/>
      <c r="T7" s="28"/>
      <c r="U7" s="28"/>
      <c r="V7" s="28"/>
      <c r="W7" s="28"/>
      <c r="X7" s="28"/>
      <c r="Y7" s="28"/>
      <c r="Z7" s="28"/>
      <c r="AA7" s="28"/>
    </row>
    <row r="8" ht="18.75" customHeight="1">
      <c r="A8" s="34" t="s">
        <v>352</v>
      </c>
      <c r="C8" s="35"/>
      <c r="D8" s="36">
        <v>625.0</v>
      </c>
      <c r="E8" s="37"/>
      <c r="F8" s="28"/>
      <c r="G8" s="34" t="s">
        <v>121</v>
      </c>
      <c r="H8" s="38">
        <v>16.0</v>
      </c>
      <c r="I8" s="36">
        <v>-50.0</v>
      </c>
      <c r="J8" s="36">
        <v>-3.13</v>
      </c>
      <c r="L8" s="28"/>
      <c r="M8" s="15" t="s">
        <v>353</v>
      </c>
      <c r="N8" s="39">
        <v>68.0</v>
      </c>
      <c r="O8" s="40">
        <v>0.182</v>
      </c>
      <c r="P8" s="33"/>
      <c r="Q8" s="28"/>
      <c r="R8" s="28"/>
      <c r="S8" s="28"/>
      <c r="T8" s="28"/>
      <c r="U8" s="28"/>
      <c r="V8" s="28"/>
      <c r="W8" s="28"/>
      <c r="X8" s="28"/>
      <c r="Y8" s="28"/>
      <c r="Z8" s="28"/>
      <c r="AA8" s="28"/>
    </row>
    <row r="9" ht="18.75" customHeight="1">
      <c r="A9" s="41" t="s">
        <v>356</v>
      </c>
      <c r="C9" s="42">
        <v>21.0</v>
      </c>
      <c r="D9" s="43">
        <v>630.0</v>
      </c>
      <c r="E9" s="36">
        <f>D9/C9</f>
        <v>30</v>
      </c>
      <c r="F9" s="28"/>
      <c r="G9" s="34" t="s">
        <v>123</v>
      </c>
      <c r="H9" s="38">
        <v>76.0</v>
      </c>
      <c r="I9" s="36">
        <v>-1900.0</v>
      </c>
      <c r="J9" s="36">
        <v>-25.0</v>
      </c>
      <c r="L9" s="28"/>
      <c r="M9" s="2" t="s">
        <v>360</v>
      </c>
      <c r="N9" s="39">
        <v>37.0</v>
      </c>
      <c r="O9" s="40">
        <v>0.099</v>
      </c>
      <c r="P9" s="33"/>
      <c r="Q9" s="28"/>
      <c r="R9" s="28"/>
      <c r="S9" s="28"/>
      <c r="T9" s="28"/>
      <c r="U9" s="28"/>
      <c r="V9" s="28"/>
      <c r="W9" s="28"/>
      <c r="X9" s="28"/>
      <c r="Y9" s="28"/>
      <c r="Z9" s="28"/>
      <c r="AA9" s="28"/>
    </row>
    <row r="10" ht="18.75" customHeight="1">
      <c r="A10" s="34" t="s">
        <v>231</v>
      </c>
      <c r="C10" s="38">
        <v>9.0</v>
      </c>
      <c r="D10" s="36">
        <v>375.0</v>
      </c>
      <c r="E10" s="36">
        <v>41.67</v>
      </c>
      <c r="F10" s="28"/>
      <c r="G10" s="34" t="s">
        <v>126</v>
      </c>
      <c r="H10" s="38">
        <v>128.0</v>
      </c>
      <c r="I10" s="36">
        <v>-3200.0</v>
      </c>
      <c r="J10" s="36">
        <v>-25.0</v>
      </c>
      <c r="L10" s="28"/>
      <c r="M10" s="2" t="s">
        <v>363</v>
      </c>
      <c r="N10" s="39">
        <v>30.0</v>
      </c>
      <c r="O10" s="40">
        <v>0.08</v>
      </c>
      <c r="P10" s="33"/>
      <c r="Q10" s="28"/>
      <c r="R10" s="28"/>
      <c r="S10" s="28"/>
      <c r="T10" s="28"/>
      <c r="U10" s="28"/>
      <c r="V10" s="28"/>
      <c r="W10" s="28"/>
      <c r="X10" s="28"/>
      <c r="Y10" s="28"/>
      <c r="Z10" s="28"/>
      <c r="AA10" s="28"/>
    </row>
    <row r="11" ht="18.75" customHeight="1">
      <c r="A11" s="41" t="s">
        <v>364</v>
      </c>
      <c r="C11" s="42">
        <v>9.0</v>
      </c>
      <c r="D11" s="43">
        <v>270.0</v>
      </c>
      <c r="E11" s="36">
        <f>D11/C11</f>
        <v>30</v>
      </c>
      <c r="F11" s="28"/>
      <c r="J11" s="28"/>
      <c r="L11" s="28"/>
      <c r="M11" s="39" t="s">
        <v>368</v>
      </c>
      <c r="N11" s="39">
        <v>22.0</v>
      </c>
      <c r="O11" s="40">
        <v>0.059</v>
      </c>
      <c r="P11" s="33"/>
      <c r="Q11" s="28"/>
      <c r="R11" s="28"/>
      <c r="S11" s="28"/>
      <c r="T11" s="28"/>
      <c r="U11" s="28"/>
      <c r="V11" s="28"/>
      <c r="W11" s="28"/>
      <c r="X11" s="28"/>
      <c r="Y11" s="28"/>
      <c r="Z11" s="28"/>
      <c r="AA11" s="28"/>
    </row>
    <row r="12" ht="18.75" customHeight="1">
      <c r="A12" s="34" t="s">
        <v>370</v>
      </c>
      <c r="C12" s="38">
        <v>12.0</v>
      </c>
      <c r="D12" s="36">
        <v>250.0</v>
      </c>
      <c r="E12" s="36">
        <v>20.83</v>
      </c>
      <c r="F12" s="28"/>
      <c r="J12" s="28"/>
      <c r="K12" s="28"/>
      <c r="L12" s="28"/>
      <c r="M12" s="39" t="s">
        <v>371</v>
      </c>
      <c r="N12" s="39">
        <v>14.0</v>
      </c>
      <c r="O12" s="40">
        <v>0.038</v>
      </c>
      <c r="P12" s="33"/>
      <c r="Q12" s="28"/>
      <c r="R12" s="28"/>
      <c r="S12" s="28"/>
      <c r="T12" s="28"/>
      <c r="U12" s="28"/>
      <c r="V12" s="28"/>
      <c r="W12" s="28"/>
      <c r="X12" s="28"/>
      <c r="Y12" s="28"/>
      <c r="Z12" s="28"/>
      <c r="AA12" s="28"/>
    </row>
    <row r="13" ht="18.75" customHeight="1">
      <c r="A13" s="41" t="s">
        <v>373</v>
      </c>
      <c r="C13" s="42">
        <v>4.0</v>
      </c>
      <c r="D13" s="43">
        <v>240.0</v>
      </c>
      <c r="E13" s="36">
        <f>D13/C13</f>
        <v>60</v>
      </c>
      <c r="F13" s="28"/>
      <c r="G13" s="44" t="s">
        <v>376</v>
      </c>
      <c r="H13" s="44" t="s">
        <v>379</v>
      </c>
      <c r="I13" s="45" t="s">
        <v>380</v>
      </c>
      <c r="J13" s="28"/>
      <c r="K13" s="28"/>
      <c r="L13" s="28"/>
      <c r="M13" s="39" t="s">
        <v>382</v>
      </c>
      <c r="N13" s="39">
        <v>11.0</v>
      </c>
      <c r="O13" s="40">
        <v>0.029</v>
      </c>
      <c r="P13" s="33"/>
      <c r="Q13" s="28"/>
      <c r="R13" s="28"/>
      <c r="S13" s="28"/>
      <c r="T13" s="28"/>
      <c r="U13" s="28"/>
      <c r="V13" s="28"/>
      <c r="W13" s="28"/>
      <c r="X13" s="28"/>
      <c r="Y13" s="28"/>
      <c r="Z13" s="28"/>
      <c r="AA13" s="28"/>
    </row>
    <row r="14" ht="18.75" customHeight="1">
      <c r="A14" s="34" t="s">
        <v>240</v>
      </c>
      <c r="C14" s="38">
        <v>5.0</v>
      </c>
      <c r="D14" s="36">
        <v>210.0</v>
      </c>
      <c r="E14" s="36">
        <v>42.0</v>
      </c>
      <c r="F14" s="28"/>
      <c r="G14" s="34" t="s">
        <v>39</v>
      </c>
      <c r="H14" s="42">
        <v>22.0</v>
      </c>
      <c r="I14" s="43">
        <v>900.0</v>
      </c>
      <c r="J14" s="28"/>
      <c r="K14" s="28"/>
      <c r="L14" s="28"/>
      <c r="M14" s="33"/>
      <c r="N14" s="33"/>
      <c r="O14" s="33"/>
      <c r="P14" s="33"/>
      <c r="Q14" s="28"/>
      <c r="R14" s="28"/>
      <c r="S14" s="28"/>
      <c r="T14" s="28"/>
      <c r="U14" s="28"/>
      <c r="V14" s="28"/>
      <c r="W14" s="28"/>
      <c r="X14" s="28"/>
      <c r="Y14" s="28"/>
      <c r="Z14" s="28"/>
      <c r="AA14" s="28"/>
    </row>
    <row r="15" ht="18.75" customHeight="1">
      <c r="A15" s="34" t="s">
        <v>387</v>
      </c>
      <c r="C15" s="38">
        <v>7.0</v>
      </c>
      <c r="D15" s="36">
        <v>210.0</v>
      </c>
      <c r="E15" s="36">
        <v>30.0</v>
      </c>
      <c r="F15" s="28"/>
      <c r="G15" s="41" t="s">
        <v>388</v>
      </c>
      <c r="H15" s="42">
        <v>4.0</v>
      </c>
      <c r="I15" s="43">
        <v>0.0</v>
      </c>
      <c r="J15" s="28"/>
      <c r="K15" s="28"/>
      <c r="L15" s="28"/>
      <c r="M15" s="33"/>
      <c r="N15" s="33"/>
      <c r="O15" s="33"/>
      <c r="P15" s="33"/>
      <c r="Q15" s="28"/>
      <c r="R15" s="28"/>
      <c r="S15" s="28"/>
      <c r="T15" s="28"/>
      <c r="U15" s="28"/>
      <c r="V15" s="28"/>
      <c r="W15" s="28"/>
      <c r="X15" s="28"/>
      <c r="Y15" s="28"/>
      <c r="Z15" s="28"/>
      <c r="AA15" s="28"/>
    </row>
    <row r="16" ht="18.75" customHeight="1">
      <c r="A16" s="41" t="s">
        <v>393</v>
      </c>
      <c r="C16" s="42">
        <v>3.0</v>
      </c>
      <c r="D16" s="43">
        <v>210.0</v>
      </c>
      <c r="E16" s="36">
        <f>D16/C16</f>
        <v>70</v>
      </c>
      <c r="F16" s="28"/>
      <c r="G16" s="41" t="s">
        <v>397</v>
      </c>
      <c r="H16" s="42">
        <v>2.0</v>
      </c>
      <c r="I16" s="43">
        <v>30.0</v>
      </c>
      <c r="J16" s="28"/>
      <c r="K16" s="28"/>
      <c r="L16" s="28"/>
      <c r="M16" s="33"/>
      <c r="N16" s="33"/>
      <c r="O16" s="33"/>
      <c r="P16" s="33"/>
      <c r="Q16" s="28"/>
      <c r="R16" s="28"/>
      <c r="S16" s="28"/>
      <c r="T16" s="28"/>
      <c r="U16" s="28"/>
      <c r="V16" s="28"/>
      <c r="W16" s="28"/>
      <c r="X16" s="28"/>
      <c r="Y16" s="28"/>
      <c r="Z16" s="28"/>
      <c r="AA16" s="28"/>
    </row>
    <row r="17" ht="18.75" customHeight="1">
      <c r="A17" s="34" t="s">
        <v>399</v>
      </c>
      <c r="C17" s="38">
        <v>5.0</v>
      </c>
      <c r="D17" s="36">
        <v>184.0</v>
      </c>
      <c r="E17" s="36">
        <v>36.8</v>
      </c>
      <c r="F17" s="28"/>
      <c r="G17" s="41" t="s">
        <v>401</v>
      </c>
      <c r="H17" s="42">
        <v>5.0</v>
      </c>
      <c r="I17" s="43">
        <v>0.0</v>
      </c>
      <c r="J17" s="28"/>
      <c r="K17" s="28"/>
      <c r="L17" s="28"/>
      <c r="M17" s="33"/>
      <c r="N17" s="33"/>
      <c r="O17" s="33"/>
      <c r="P17" s="33"/>
      <c r="Q17" s="28"/>
      <c r="R17" s="28"/>
      <c r="S17" s="28"/>
      <c r="T17" s="28"/>
      <c r="U17" s="28"/>
      <c r="V17" s="28"/>
      <c r="W17" s="28"/>
      <c r="X17" s="28"/>
      <c r="Y17" s="28"/>
      <c r="Z17" s="28"/>
      <c r="AA17" s="28"/>
    </row>
    <row r="18" ht="18.75" customHeight="1">
      <c r="A18" s="34" t="s">
        <v>403</v>
      </c>
      <c r="C18" s="38">
        <v>4.0</v>
      </c>
      <c r="D18" s="36">
        <v>168.0</v>
      </c>
      <c r="E18" s="36">
        <v>42.0</v>
      </c>
      <c r="F18" s="28"/>
      <c r="G18" s="41" t="s">
        <v>404</v>
      </c>
      <c r="H18" s="42">
        <v>28.0</v>
      </c>
      <c r="I18" s="43">
        <v>0.0</v>
      </c>
      <c r="J18" s="28"/>
      <c r="K18" s="28"/>
      <c r="L18" s="28"/>
      <c r="M18" s="33"/>
      <c r="N18" s="33"/>
      <c r="O18" s="33"/>
      <c r="P18" s="33"/>
      <c r="Q18" s="28"/>
      <c r="R18" s="28"/>
      <c r="S18" s="28"/>
      <c r="T18" s="28"/>
      <c r="U18" s="28"/>
      <c r="V18" s="28"/>
      <c r="W18" s="28"/>
      <c r="X18" s="28"/>
      <c r="Y18" s="28"/>
      <c r="Z18" s="28"/>
      <c r="AA18" s="28"/>
    </row>
    <row r="19" ht="18.75" customHeight="1">
      <c r="A19" s="34" t="s">
        <v>149</v>
      </c>
      <c r="C19" s="38">
        <v>89.0</v>
      </c>
      <c r="D19" s="36">
        <v>165.0</v>
      </c>
      <c r="E19" s="36">
        <v>1.85</v>
      </c>
      <c r="F19" s="28"/>
      <c r="G19" s="41" t="s">
        <v>408</v>
      </c>
      <c r="H19" s="42">
        <v>1.0</v>
      </c>
      <c r="I19" s="43">
        <v>0.0</v>
      </c>
      <c r="J19" s="28"/>
      <c r="K19" s="28"/>
      <c r="L19" s="28"/>
      <c r="M19" s="33"/>
      <c r="N19" s="33"/>
      <c r="O19" s="33"/>
      <c r="P19" s="33"/>
      <c r="Q19" s="28"/>
      <c r="R19" s="28"/>
      <c r="S19" s="28"/>
      <c r="T19" s="28"/>
      <c r="U19" s="28"/>
      <c r="V19" s="28"/>
      <c r="W19" s="28"/>
      <c r="X19" s="28"/>
      <c r="Y19" s="28"/>
      <c r="Z19" s="28"/>
      <c r="AA19" s="28"/>
    </row>
    <row r="20" ht="18.75" customHeight="1">
      <c r="A20" s="41" t="s">
        <v>410</v>
      </c>
      <c r="C20" s="42">
        <v>2.0</v>
      </c>
      <c r="D20" s="43">
        <v>150.0</v>
      </c>
      <c r="E20" s="36">
        <f>D20/C20</f>
        <v>75</v>
      </c>
      <c r="F20" s="28"/>
      <c r="G20" s="41" t="s">
        <v>413</v>
      </c>
      <c r="H20" s="42">
        <v>7.0</v>
      </c>
      <c r="I20" s="43">
        <v>180.0</v>
      </c>
      <c r="J20" s="28"/>
      <c r="K20" s="28"/>
      <c r="L20" s="28"/>
      <c r="M20" s="33"/>
      <c r="N20" s="33"/>
      <c r="O20" s="33"/>
      <c r="P20" s="33"/>
      <c r="Q20" s="28"/>
      <c r="R20" s="28"/>
      <c r="S20" s="28"/>
      <c r="T20" s="28"/>
      <c r="U20" s="28"/>
      <c r="V20" s="28"/>
      <c r="W20" s="28"/>
      <c r="X20" s="28"/>
      <c r="Y20" s="28"/>
      <c r="Z20" s="28"/>
      <c r="AA20" s="28"/>
    </row>
    <row r="21" ht="18.75" customHeight="1">
      <c r="A21" s="34" t="s">
        <v>236</v>
      </c>
      <c r="C21" s="38">
        <v>8.0</v>
      </c>
      <c r="D21" s="36">
        <v>128.0</v>
      </c>
      <c r="E21" s="36">
        <v>16.0</v>
      </c>
      <c r="F21" s="28"/>
      <c r="G21" s="41" t="s">
        <v>417</v>
      </c>
      <c r="H21" s="42">
        <v>5.0</v>
      </c>
      <c r="I21" s="43">
        <v>150.0</v>
      </c>
      <c r="J21" s="28"/>
      <c r="K21" s="28"/>
      <c r="L21" s="28"/>
      <c r="M21" s="46"/>
      <c r="N21" s="47" t="s">
        <v>419</v>
      </c>
      <c r="O21" s="46" t="s">
        <v>422</v>
      </c>
      <c r="P21" s="46" t="s">
        <v>423</v>
      </c>
      <c r="Q21" s="28"/>
      <c r="R21" s="28"/>
      <c r="S21" s="28"/>
      <c r="T21" s="28"/>
      <c r="U21" s="28"/>
      <c r="V21" s="28"/>
      <c r="W21" s="28"/>
      <c r="X21" s="28"/>
      <c r="Y21" s="28"/>
      <c r="Z21" s="28"/>
      <c r="AA21" s="28"/>
    </row>
    <row r="22" ht="18.75" customHeight="1">
      <c r="A22" s="41" t="s">
        <v>424</v>
      </c>
      <c r="C22" s="42">
        <v>1.0</v>
      </c>
      <c r="D22" s="43">
        <v>60.0</v>
      </c>
      <c r="E22" s="36">
        <f>D22/C22</f>
        <v>60</v>
      </c>
      <c r="F22" s="28"/>
      <c r="G22" s="41" t="s">
        <v>428</v>
      </c>
      <c r="H22" s="42">
        <v>4.0</v>
      </c>
      <c r="I22" s="43">
        <v>300.0</v>
      </c>
      <c r="J22" s="28"/>
      <c r="K22" s="28"/>
      <c r="L22" s="28"/>
      <c r="M22" s="48" t="s">
        <v>104</v>
      </c>
      <c r="N22" s="49">
        <v>3394.0</v>
      </c>
      <c r="O22" s="49">
        <v>4472.0</v>
      </c>
      <c r="P22" s="50">
        <f t="shared" ref="P22:P28" si="1">N22-O22</f>
        <v>-1078</v>
      </c>
      <c r="Q22" s="28"/>
      <c r="R22" s="28"/>
      <c r="S22" s="28"/>
      <c r="T22" s="28"/>
      <c r="U22" s="28"/>
      <c r="V22" s="28"/>
      <c r="W22" s="28"/>
      <c r="X22" s="28"/>
      <c r="Y22" s="28"/>
      <c r="Z22" s="28"/>
      <c r="AA22" s="28"/>
    </row>
    <row r="23" ht="18.75" customHeight="1">
      <c r="A23" s="34" t="s">
        <v>434</v>
      </c>
      <c r="C23" s="38">
        <v>1.0</v>
      </c>
      <c r="D23" s="36">
        <v>25.0</v>
      </c>
      <c r="E23" s="36">
        <v>25.0</v>
      </c>
      <c r="F23" s="28"/>
      <c r="J23" s="28"/>
      <c r="K23" s="28"/>
      <c r="L23" s="28"/>
      <c r="M23" s="48" t="s">
        <v>436</v>
      </c>
      <c r="N23" s="49">
        <v>370.0</v>
      </c>
      <c r="O23" s="49">
        <v>252.0</v>
      </c>
      <c r="P23" s="50">
        <f t="shared" si="1"/>
        <v>118</v>
      </c>
      <c r="Q23" s="28"/>
      <c r="R23" s="28"/>
      <c r="S23" s="28"/>
      <c r="T23" s="28"/>
      <c r="U23" s="28"/>
      <c r="V23" s="28"/>
      <c r="W23" s="28"/>
      <c r="X23" s="28"/>
      <c r="Y23" s="28"/>
      <c r="Z23" s="28"/>
      <c r="AA23" s="28"/>
    </row>
    <row r="24" ht="18.75" customHeight="1">
      <c r="A24" s="34" t="s">
        <v>439</v>
      </c>
      <c r="C24" s="51">
        <f t="shared" ref="C24:D24" si="2">SUM(C4:C23)</f>
        <v>236</v>
      </c>
      <c r="D24" s="36">
        <f t="shared" si="2"/>
        <v>18030</v>
      </c>
      <c r="E24" s="36">
        <f>AVERAGE(E4:E22)</f>
        <v>40.29066667</v>
      </c>
      <c r="F24" s="28"/>
      <c r="I24" s="28"/>
      <c r="J24" s="28"/>
      <c r="K24" s="28"/>
      <c r="L24" s="28"/>
      <c r="M24" s="48" t="s">
        <v>448</v>
      </c>
      <c r="N24" s="49">
        <v>123.0</v>
      </c>
      <c r="O24" s="49">
        <v>247.0</v>
      </c>
      <c r="P24" s="50">
        <f t="shared" si="1"/>
        <v>-124</v>
      </c>
      <c r="Q24" s="28"/>
      <c r="R24" s="28"/>
      <c r="S24" s="28"/>
      <c r="T24" s="28"/>
      <c r="U24" s="28"/>
      <c r="V24" s="28"/>
      <c r="W24" s="28"/>
      <c r="X24" s="28"/>
      <c r="Y24" s="28"/>
      <c r="Z24" s="28"/>
      <c r="AA24" s="28"/>
    </row>
    <row r="25" ht="18.75" customHeight="1">
      <c r="A25" s="31" t="s">
        <v>422</v>
      </c>
      <c r="F25" s="28"/>
      <c r="G25" s="52" t="s">
        <v>451</v>
      </c>
      <c r="H25" s="53" t="s">
        <v>454</v>
      </c>
      <c r="I25" s="28"/>
      <c r="K25" s="28"/>
      <c r="L25" s="28"/>
      <c r="M25" s="48" t="s">
        <v>456</v>
      </c>
      <c r="N25" s="54">
        <v>0.097</v>
      </c>
      <c r="O25" s="55">
        <v>0.094</v>
      </c>
      <c r="P25" s="56">
        <f t="shared" si="1"/>
        <v>0.003</v>
      </c>
      <c r="Q25" s="28"/>
      <c r="R25" s="28"/>
      <c r="S25" s="28"/>
      <c r="T25" s="28"/>
      <c r="U25" s="28"/>
      <c r="V25" s="28"/>
      <c r="W25" s="28"/>
      <c r="X25" s="28"/>
      <c r="Y25" s="28"/>
      <c r="Z25" s="28"/>
      <c r="AA25" s="28"/>
    </row>
    <row r="26" ht="18.75" customHeight="1">
      <c r="A26" s="27" t="s">
        <v>321</v>
      </c>
      <c r="B26" s="27" t="s">
        <v>461</v>
      </c>
      <c r="C26" s="27" t="s">
        <v>462</v>
      </c>
      <c r="D26" s="27" t="s">
        <v>463</v>
      </c>
      <c r="E26" s="27" t="s">
        <v>464</v>
      </c>
      <c r="F26" s="28"/>
      <c r="G26" s="52" t="s">
        <v>465</v>
      </c>
      <c r="H26" s="57">
        <v>72.0</v>
      </c>
      <c r="I26" s="28"/>
      <c r="K26" s="28"/>
      <c r="L26" s="28"/>
      <c r="M26" s="48" t="s">
        <v>118</v>
      </c>
      <c r="N26" s="54">
        <v>0.398</v>
      </c>
      <c r="O26" s="55">
        <v>0.671</v>
      </c>
      <c r="P26" s="58">
        <f t="shared" si="1"/>
        <v>-0.273</v>
      </c>
      <c r="Q26" s="28"/>
      <c r="R26" s="28"/>
      <c r="S26" s="28"/>
      <c r="T26" s="28"/>
      <c r="U26" s="28"/>
      <c r="V26" s="28"/>
      <c r="W26" s="28"/>
      <c r="X26" s="28"/>
      <c r="Y26" s="28"/>
      <c r="Z26" s="28"/>
      <c r="AA26" s="28"/>
    </row>
    <row r="27" ht="18.75" customHeight="1">
      <c r="A27" s="41" t="s">
        <v>229</v>
      </c>
      <c r="B27" s="59">
        <f t="shared" ref="B27:B42" si="3">sum(C27:E27)</f>
        <v>1400</v>
      </c>
      <c r="C27" s="61">
        <v>1400.0</v>
      </c>
      <c r="D27" s="59">
        <v>0.0</v>
      </c>
      <c r="E27" s="59">
        <v>0.0</v>
      </c>
      <c r="F27" s="28"/>
      <c r="G27" s="52" t="s">
        <v>478</v>
      </c>
      <c r="H27" s="57">
        <v>6.0</v>
      </c>
      <c r="I27" s="28"/>
      <c r="K27" s="28"/>
      <c r="L27" s="28"/>
      <c r="M27" s="48" t="s">
        <v>479</v>
      </c>
      <c r="N27" s="49">
        <v>33.5</v>
      </c>
      <c r="O27" s="49">
        <v>9.5</v>
      </c>
      <c r="P27" s="63">
        <f t="shared" si="1"/>
        <v>24</v>
      </c>
      <c r="Q27" s="28"/>
      <c r="R27" s="28"/>
      <c r="S27" s="28"/>
      <c r="T27" s="28"/>
      <c r="U27" s="28"/>
      <c r="V27" s="28"/>
      <c r="W27" s="28"/>
      <c r="X27" s="28"/>
      <c r="Y27" s="28"/>
      <c r="Z27" s="28"/>
      <c r="AA27" s="28"/>
    </row>
    <row r="28" ht="18.75" customHeight="1">
      <c r="A28" s="41" t="s">
        <v>143</v>
      </c>
      <c r="B28" s="59">
        <f t="shared" si="3"/>
        <v>1350</v>
      </c>
      <c r="C28" s="61">
        <v>1350.0</v>
      </c>
      <c r="D28" s="64">
        <v>0.0</v>
      </c>
      <c r="E28" s="64">
        <v>0.0</v>
      </c>
      <c r="F28" s="28"/>
      <c r="G28" s="28"/>
      <c r="H28" s="28"/>
      <c r="I28" s="28"/>
      <c r="J28" s="28"/>
      <c r="K28" s="28"/>
      <c r="L28" s="28"/>
      <c r="M28" s="48" t="s">
        <v>499</v>
      </c>
      <c r="N28" s="49">
        <v>16.8</v>
      </c>
      <c r="O28" s="49">
        <v>4.2</v>
      </c>
      <c r="P28" s="65">
        <f t="shared" si="1"/>
        <v>12.6</v>
      </c>
      <c r="Q28" s="28"/>
      <c r="R28" s="28"/>
      <c r="S28" s="28"/>
      <c r="T28" s="28"/>
      <c r="U28" s="28"/>
      <c r="V28" s="28"/>
      <c r="W28" s="28"/>
      <c r="X28" s="28"/>
      <c r="Y28" s="28"/>
      <c r="Z28" s="28"/>
      <c r="AA28" s="28"/>
    </row>
    <row r="29" ht="18.75" customHeight="1">
      <c r="A29" s="41" t="s">
        <v>502</v>
      </c>
      <c r="B29" s="59">
        <f t="shared" si="3"/>
        <v>960</v>
      </c>
      <c r="C29" s="61">
        <v>960.0</v>
      </c>
      <c r="D29" s="64">
        <v>0.0</v>
      </c>
      <c r="E29" s="64">
        <v>0.0</v>
      </c>
      <c r="F29" s="28"/>
      <c r="G29" s="28"/>
      <c r="H29" s="28"/>
      <c r="I29" s="28"/>
      <c r="J29" s="28"/>
      <c r="K29" s="28"/>
      <c r="L29" s="28"/>
      <c r="M29" s="33"/>
      <c r="N29" s="33"/>
      <c r="O29" s="33"/>
      <c r="P29" s="33"/>
      <c r="Q29" s="28"/>
      <c r="R29" s="28"/>
      <c r="S29" s="28"/>
      <c r="T29" s="28"/>
      <c r="U29" s="28"/>
      <c r="V29" s="28"/>
      <c r="W29" s="28"/>
      <c r="X29" s="28"/>
      <c r="Y29" s="28"/>
      <c r="Z29" s="28"/>
      <c r="AA29" s="28"/>
    </row>
    <row r="30" ht="18.75" customHeight="1">
      <c r="A30" s="41" t="s">
        <v>505</v>
      </c>
      <c r="B30" s="59">
        <f t="shared" si="3"/>
        <v>520</v>
      </c>
      <c r="C30" s="61">
        <v>520.0</v>
      </c>
      <c r="D30" s="64">
        <v>0.0</v>
      </c>
      <c r="E30" s="64">
        <v>0.0</v>
      </c>
      <c r="F30" s="28"/>
      <c r="G30" s="66" t="s">
        <v>376</v>
      </c>
      <c r="H30" s="67" t="s">
        <v>508</v>
      </c>
      <c r="I30" s="28"/>
      <c r="K30" s="28"/>
      <c r="L30" s="28"/>
      <c r="M30" s="68" t="s">
        <v>1</v>
      </c>
      <c r="N30" s="68" t="s">
        <v>510</v>
      </c>
      <c r="O30" s="33"/>
      <c r="P30" s="33"/>
      <c r="Q30" s="28"/>
      <c r="R30" s="28"/>
      <c r="S30" s="28"/>
      <c r="T30" s="28"/>
      <c r="U30" s="28"/>
      <c r="V30" s="28"/>
      <c r="W30" s="28"/>
      <c r="X30" s="28"/>
      <c r="Y30" s="28"/>
      <c r="Z30" s="28"/>
      <c r="AA30" s="28"/>
    </row>
    <row r="31" ht="18.75" customHeight="1">
      <c r="A31" s="41" t="s">
        <v>511</v>
      </c>
      <c r="B31" s="59">
        <f t="shared" si="3"/>
        <v>390</v>
      </c>
      <c r="C31" s="61">
        <v>390.0</v>
      </c>
      <c r="D31" s="64">
        <v>0.0</v>
      </c>
      <c r="E31" s="64">
        <v>0.0</v>
      </c>
      <c r="F31" s="28"/>
      <c r="G31" s="34" t="s">
        <v>513</v>
      </c>
      <c r="H31" s="69">
        <v>591.0</v>
      </c>
      <c r="I31" s="28"/>
      <c r="K31" s="28"/>
      <c r="L31" s="28"/>
      <c r="M31" s="70">
        <v>46202.0</v>
      </c>
      <c r="N31" s="40">
        <v>0.06</v>
      </c>
      <c r="O31" s="33"/>
      <c r="P31" s="33"/>
      <c r="Q31" s="28"/>
      <c r="R31" s="28"/>
      <c r="S31" s="28"/>
      <c r="T31" s="28"/>
      <c r="U31" s="28"/>
      <c r="V31" s="28"/>
      <c r="W31" s="28"/>
      <c r="X31" s="28"/>
      <c r="Y31" s="28"/>
      <c r="Z31" s="28"/>
      <c r="AA31" s="28"/>
    </row>
    <row r="32" ht="18.75" customHeight="1">
      <c r="A32" s="41" t="s">
        <v>140</v>
      </c>
      <c r="B32" s="59">
        <f t="shared" si="3"/>
        <v>200</v>
      </c>
      <c r="C32" s="61">
        <v>200.0</v>
      </c>
      <c r="D32" s="64">
        <v>0.0</v>
      </c>
      <c r="E32" s="64">
        <v>0.0</v>
      </c>
      <c r="F32" s="28"/>
      <c r="G32" s="34" t="s">
        <v>417</v>
      </c>
      <c r="H32" s="69">
        <v>41.0</v>
      </c>
      <c r="I32" s="28"/>
      <c r="K32" s="28"/>
      <c r="L32" s="28"/>
      <c r="M32" s="70">
        <v>46209.0</v>
      </c>
      <c r="N32" s="40">
        <v>0.12</v>
      </c>
      <c r="O32" s="33"/>
      <c r="P32" s="33"/>
      <c r="Q32" s="28"/>
      <c r="R32" s="28"/>
      <c r="S32" s="28"/>
      <c r="T32" s="28"/>
      <c r="U32" s="28"/>
      <c r="V32" s="28"/>
      <c r="W32" s="28"/>
      <c r="X32" s="28"/>
      <c r="Y32" s="28"/>
      <c r="Z32" s="28"/>
      <c r="AA32" s="28"/>
    </row>
    <row r="33" ht="18.75" customHeight="1">
      <c r="A33" s="41" t="s">
        <v>232</v>
      </c>
      <c r="B33" s="59">
        <f t="shared" si="3"/>
        <v>105</v>
      </c>
      <c r="C33" s="61">
        <v>105.0</v>
      </c>
      <c r="D33" s="64">
        <v>0.0</v>
      </c>
      <c r="E33" s="64">
        <v>0.0</v>
      </c>
      <c r="F33" s="28"/>
      <c r="G33" s="34" t="s">
        <v>404</v>
      </c>
      <c r="H33" s="69">
        <v>35.0</v>
      </c>
      <c r="I33" s="28"/>
      <c r="J33" s="28"/>
      <c r="K33" s="28"/>
      <c r="L33" s="28"/>
      <c r="M33" s="70">
        <v>46216.0</v>
      </c>
      <c r="N33" s="40">
        <v>0.1</v>
      </c>
      <c r="O33" s="33"/>
      <c r="P33" s="33"/>
      <c r="Q33" s="28"/>
      <c r="R33" s="28"/>
      <c r="S33" s="28"/>
      <c r="T33" s="28"/>
      <c r="U33" s="28"/>
      <c r="V33" s="28"/>
      <c r="W33" s="28"/>
      <c r="X33" s="28"/>
      <c r="Y33" s="28"/>
      <c r="Z33" s="28"/>
      <c r="AA33" s="28"/>
    </row>
    <row r="34" ht="18.75" customHeight="1">
      <c r="A34" s="41" t="s">
        <v>240</v>
      </c>
      <c r="B34" s="59">
        <f t="shared" si="3"/>
        <v>84</v>
      </c>
      <c r="C34" s="61">
        <v>84.0</v>
      </c>
      <c r="D34" s="64">
        <v>0.0</v>
      </c>
      <c r="E34" s="64">
        <v>0.0</v>
      </c>
      <c r="F34" s="28"/>
      <c r="G34" s="34" t="s">
        <v>401</v>
      </c>
      <c r="H34" s="69">
        <v>29.0</v>
      </c>
      <c r="J34" s="28"/>
      <c r="K34" s="28"/>
      <c r="L34" s="28"/>
      <c r="M34" s="70">
        <v>46223.0</v>
      </c>
      <c r="N34" s="40">
        <v>0.11</v>
      </c>
      <c r="O34" s="33"/>
      <c r="P34" s="33"/>
      <c r="Q34" s="28"/>
      <c r="R34" s="28"/>
      <c r="S34" s="28"/>
      <c r="T34" s="28"/>
      <c r="U34" s="28"/>
      <c r="V34" s="28"/>
      <c r="W34" s="28"/>
      <c r="X34" s="28"/>
      <c r="Y34" s="28"/>
      <c r="Z34" s="28"/>
      <c r="AA34" s="28"/>
    </row>
    <row r="35" ht="18.75" customHeight="1">
      <c r="A35" s="41" t="s">
        <v>238</v>
      </c>
      <c r="B35" s="59">
        <f t="shared" si="3"/>
        <v>112</v>
      </c>
      <c r="C35" s="61">
        <v>80.0</v>
      </c>
      <c r="D35" s="71">
        <v>32.0</v>
      </c>
      <c r="E35" s="64">
        <v>0.0</v>
      </c>
      <c r="F35" s="28"/>
      <c r="G35" s="34" t="s">
        <v>413</v>
      </c>
      <c r="H35" s="69">
        <v>10.0</v>
      </c>
      <c r="J35" s="28"/>
      <c r="K35" s="28"/>
      <c r="L35" s="28"/>
      <c r="M35" s="70">
        <v>46230.0</v>
      </c>
      <c r="N35" s="40">
        <v>0.07</v>
      </c>
      <c r="O35" s="33"/>
      <c r="P35" s="33"/>
      <c r="Q35" s="28"/>
      <c r="R35" s="28"/>
      <c r="S35" s="28"/>
      <c r="T35" s="28"/>
      <c r="U35" s="28"/>
      <c r="V35" s="28"/>
      <c r="W35" s="28"/>
      <c r="X35" s="28"/>
      <c r="Y35" s="28"/>
      <c r="Z35" s="28"/>
      <c r="AA35" s="28"/>
    </row>
    <row r="36" ht="18.75" customHeight="1">
      <c r="A36" s="41" t="s">
        <v>525</v>
      </c>
      <c r="B36" s="59">
        <f t="shared" si="3"/>
        <v>3825</v>
      </c>
      <c r="C36" s="61">
        <v>75.0</v>
      </c>
      <c r="D36" s="71">
        <v>3750.0</v>
      </c>
      <c r="E36" s="64">
        <v>0.0</v>
      </c>
      <c r="F36" s="28"/>
      <c r="G36" s="34" t="s">
        <v>527</v>
      </c>
      <c r="H36" s="69">
        <v>6.0</v>
      </c>
      <c r="K36" s="28"/>
      <c r="L36" s="28"/>
      <c r="M36" s="70"/>
      <c r="N36" s="40"/>
      <c r="O36" s="33"/>
      <c r="P36" s="33"/>
      <c r="Q36" s="28"/>
      <c r="R36" s="28"/>
      <c r="S36" s="28"/>
      <c r="T36" s="28"/>
      <c r="U36" s="28"/>
      <c r="V36" s="28"/>
      <c r="W36" s="28"/>
      <c r="X36" s="28"/>
      <c r="Y36" s="28"/>
      <c r="Z36" s="28"/>
      <c r="AA36" s="28"/>
    </row>
    <row r="37" ht="18.75" customHeight="1">
      <c r="A37" s="41" t="s">
        <v>242</v>
      </c>
      <c r="B37" s="59">
        <f t="shared" si="3"/>
        <v>100</v>
      </c>
      <c r="C37" s="61">
        <v>50.0</v>
      </c>
      <c r="D37" s="71">
        <v>50.0</v>
      </c>
      <c r="E37" s="64">
        <v>0.0</v>
      </c>
      <c r="F37" s="28"/>
      <c r="G37" s="34" t="s">
        <v>529</v>
      </c>
      <c r="H37" s="69">
        <v>1.0</v>
      </c>
      <c r="J37" s="28"/>
      <c r="K37" s="28"/>
      <c r="L37" s="28"/>
      <c r="M37" s="70"/>
      <c r="N37" s="40"/>
      <c r="O37" s="33"/>
      <c r="P37" s="33"/>
      <c r="Q37" s="28"/>
      <c r="R37" s="28"/>
      <c r="S37" s="28"/>
      <c r="T37" s="28"/>
      <c r="U37" s="28"/>
      <c r="V37" s="28"/>
      <c r="W37" s="28"/>
      <c r="X37" s="28"/>
      <c r="Y37" s="28"/>
      <c r="Z37" s="28"/>
      <c r="AA37" s="28"/>
    </row>
    <row r="38" ht="18.75" customHeight="1">
      <c r="A38" s="41" t="s">
        <v>531</v>
      </c>
      <c r="B38" s="59">
        <f t="shared" si="3"/>
        <v>1200</v>
      </c>
      <c r="C38" s="59">
        <v>0.0</v>
      </c>
      <c r="D38" s="71">
        <v>1200.0</v>
      </c>
      <c r="E38" s="64">
        <v>0.0</v>
      </c>
      <c r="F38" s="28"/>
      <c r="G38" s="34" t="s">
        <v>388</v>
      </c>
      <c r="H38" s="69">
        <v>1.0</v>
      </c>
      <c r="J38" s="28"/>
      <c r="K38" s="28"/>
      <c r="L38" s="28"/>
      <c r="M38" s="70"/>
      <c r="N38" s="40"/>
      <c r="O38" s="33"/>
      <c r="P38" s="33"/>
      <c r="Q38" s="28"/>
      <c r="R38" s="28"/>
      <c r="S38" s="28"/>
      <c r="T38" s="28"/>
      <c r="U38" s="28"/>
      <c r="V38" s="28"/>
      <c r="W38" s="28"/>
      <c r="X38" s="28"/>
      <c r="Y38" s="28"/>
      <c r="Z38" s="28"/>
      <c r="AA38" s="28"/>
    </row>
    <row r="39" ht="18.75" customHeight="1">
      <c r="A39" s="41" t="s">
        <v>534</v>
      </c>
      <c r="B39" s="59">
        <f t="shared" si="3"/>
        <v>1275</v>
      </c>
      <c r="C39" s="59">
        <v>0.0</v>
      </c>
      <c r="D39" s="71">
        <v>1275.0</v>
      </c>
      <c r="E39" s="64">
        <v>0.0</v>
      </c>
      <c r="F39" s="28"/>
      <c r="J39" s="28"/>
      <c r="K39" s="28"/>
      <c r="L39" s="28"/>
      <c r="M39" s="39" t="s">
        <v>536</v>
      </c>
      <c r="N39" s="39" t="s">
        <v>342</v>
      </c>
      <c r="O39" s="39" t="s">
        <v>343</v>
      </c>
      <c r="P39" s="33"/>
      <c r="Q39" s="28"/>
      <c r="R39" s="28"/>
      <c r="S39" s="28"/>
      <c r="T39" s="28"/>
      <c r="U39" s="28"/>
      <c r="V39" s="28"/>
      <c r="W39" s="28"/>
      <c r="X39" s="28"/>
      <c r="Y39" s="28"/>
      <c r="Z39" s="28"/>
      <c r="AA39" s="28"/>
    </row>
    <row r="40" ht="18.75" customHeight="1">
      <c r="A40" s="41" t="s">
        <v>537</v>
      </c>
      <c r="B40" s="59">
        <f t="shared" si="3"/>
        <v>75</v>
      </c>
      <c r="C40" s="59">
        <v>0.0</v>
      </c>
      <c r="D40" s="71">
        <v>75.0</v>
      </c>
      <c r="E40" s="64">
        <v>0.0</v>
      </c>
      <c r="F40" s="28"/>
      <c r="J40" s="28"/>
      <c r="K40" s="28"/>
      <c r="L40" s="28"/>
      <c r="M40" s="39" t="s">
        <v>538</v>
      </c>
      <c r="N40" s="39">
        <v>24.0</v>
      </c>
      <c r="O40" s="40">
        <v>0.064</v>
      </c>
      <c r="P40" s="33"/>
      <c r="Q40" s="28"/>
      <c r="R40" s="28"/>
      <c r="S40" s="28"/>
      <c r="T40" s="28"/>
      <c r="U40" s="28"/>
      <c r="V40" s="28"/>
      <c r="W40" s="28"/>
      <c r="X40" s="28"/>
      <c r="Y40" s="28"/>
      <c r="Z40" s="28"/>
      <c r="AA40" s="28"/>
    </row>
    <row r="41" ht="18.75" customHeight="1">
      <c r="A41" s="41" t="s">
        <v>540</v>
      </c>
      <c r="B41" s="59">
        <f t="shared" si="3"/>
        <v>650</v>
      </c>
      <c r="C41" s="59">
        <v>0.0</v>
      </c>
      <c r="D41" s="71">
        <v>650.0</v>
      </c>
      <c r="E41" s="64">
        <v>0.0</v>
      </c>
      <c r="F41" s="28"/>
      <c r="J41" s="28"/>
      <c r="K41" s="28"/>
      <c r="L41" s="28"/>
      <c r="M41" s="39" t="s">
        <v>542</v>
      </c>
      <c r="N41" s="39">
        <v>13.0</v>
      </c>
      <c r="O41" s="40">
        <v>0.035</v>
      </c>
      <c r="P41" s="33"/>
      <c r="Q41" s="28"/>
      <c r="R41" s="28"/>
      <c r="S41" s="28"/>
      <c r="T41" s="28"/>
      <c r="U41" s="28"/>
      <c r="V41" s="28"/>
      <c r="W41" s="28"/>
      <c r="X41" s="28"/>
      <c r="Y41" s="28"/>
      <c r="Z41" s="28"/>
      <c r="AA41" s="28"/>
    </row>
    <row r="42" ht="18.75" customHeight="1">
      <c r="A42" s="41" t="s">
        <v>248</v>
      </c>
      <c r="B42" s="59">
        <f t="shared" si="3"/>
        <v>75</v>
      </c>
      <c r="C42" s="59">
        <v>0.0</v>
      </c>
      <c r="D42" s="71">
        <v>75.0</v>
      </c>
      <c r="E42" s="64">
        <v>0.0</v>
      </c>
      <c r="F42" s="28"/>
      <c r="I42" s="28"/>
      <c r="J42" s="28"/>
      <c r="K42" s="28"/>
      <c r="L42" s="28"/>
      <c r="M42" s="39" t="s">
        <v>544</v>
      </c>
      <c r="N42" s="39">
        <v>8.0</v>
      </c>
      <c r="O42" s="40">
        <v>0.021</v>
      </c>
      <c r="P42" s="33"/>
      <c r="Q42" s="28"/>
      <c r="R42" s="28"/>
      <c r="S42" s="28"/>
      <c r="T42" s="28"/>
      <c r="U42" s="28"/>
      <c r="V42" s="28"/>
      <c r="W42" s="28"/>
      <c r="X42" s="28"/>
      <c r="Y42" s="28"/>
      <c r="Z42" s="28"/>
      <c r="AA42" s="28"/>
    </row>
    <row r="43" ht="18.75" customHeight="1">
      <c r="A43" s="34" t="s">
        <v>439</v>
      </c>
      <c r="B43" s="59">
        <f t="shared" ref="B43:E43" si="4">SUM(B27:B39)</f>
        <v>11521</v>
      </c>
      <c r="C43" s="59">
        <f t="shared" si="4"/>
        <v>5214</v>
      </c>
      <c r="D43" s="59">
        <f t="shared" si="4"/>
        <v>6307</v>
      </c>
      <c r="E43" s="59">
        <f t="shared" si="4"/>
        <v>0</v>
      </c>
      <c r="F43" s="28"/>
      <c r="G43" s="28"/>
      <c r="H43" s="28"/>
      <c r="I43" s="28"/>
      <c r="J43" s="28"/>
      <c r="K43" s="28"/>
      <c r="L43" s="28"/>
      <c r="M43" s="39" t="s">
        <v>549</v>
      </c>
      <c r="N43" s="39">
        <v>6.0</v>
      </c>
      <c r="O43" s="40">
        <v>0.016</v>
      </c>
      <c r="P43" s="33"/>
      <c r="Q43" s="28"/>
      <c r="R43" s="28"/>
      <c r="S43" s="28"/>
      <c r="T43" s="28"/>
      <c r="U43" s="28"/>
      <c r="V43" s="28"/>
      <c r="W43" s="28"/>
      <c r="X43" s="28"/>
      <c r="Y43" s="28"/>
      <c r="Z43" s="28"/>
      <c r="AA43" s="28"/>
    </row>
    <row r="44" ht="18.75" customHeight="1">
      <c r="A44" s="31" t="s">
        <v>551</v>
      </c>
      <c r="F44" s="28"/>
      <c r="G44" s="28"/>
      <c r="H44" s="28"/>
      <c r="I44" s="28"/>
      <c r="J44" s="28"/>
      <c r="K44" s="28"/>
      <c r="L44" s="28"/>
      <c r="M44" s="39" t="s">
        <v>553</v>
      </c>
      <c r="N44" s="39">
        <v>5.0</v>
      </c>
      <c r="O44" s="40">
        <v>0.013</v>
      </c>
      <c r="P44" s="33"/>
      <c r="Q44" s="28"/>
      <c r="R44" s="28"/>
      <c r="S44" s="28"/>
      <c r="T44" s="28"/>
      <c r="U44" s="28"/>
      <c r="V44" s="28"/>
      <c r="W44" s="28"/>
      <c r="X44" s="28"/>
      <c r="Y44" s="28"/>
      <c r="Z44" s="28"/>
      <c r="AA44" s="28"/>
    </row>
    <row r="45" ht="18.75" customHeight="1">
      <c r="A45" s="27" t="s">
        <v>321</v>
      </c>
      <c r="B45" s="27" t="s">
        <v>278</v>
      </c>
      <c r="F45" s="28"/>
      <c r="G45" s="28"/>
      <c r="H45" s="28"/>
      <c r="I45" s="28"/>
      <c r="J45" s="28"/>
      <c r="K45" s="28"/>
      <c r="L45" s="28"/>
      <c r="M45" s="33"/>
      <c r="N45" s="33"/>
      <c r="O45" s="33"/>
      <c r="P45" s="33"/>
      <c r="Q45" s="28"/>
      <c r="R45" s="28"/>
      <c r="S45" s="28"/>
      <c r="T45" s="28"/>
      <c r="U45" s="28"/>
      <c r="V45" s="28"/>
      <c r="W45" s="28"/>
      <c r="X45" s="28"/>
      <c r="Y45" s="28"/>
      <c r="Z45" s="28"/>
      <c r="AA45" s="28"/>
    </row>
    <row r="46" ht="18.75" customHeight="1">
      <c r="A46" s="34" t="s">
        <v>136</v>
      </c>
      <c r="B46" s="43">
        <f>D4+D7-C37</f>
        <v>10315</v>
      </c>
      <c r="F46" s="28"/>
      <c r="G46" s="28"/>
      <c r="H46" s="28"/>
      <c r="I46" s="28"/>
      <c r="J46" s="28"/>
      <c r="K46" s="28"/>
      <c r="L46" s="28"/>
      <c r="M46" s="33"/>
      <c r="N46" s="33"/>
      <c r="O46" s="33"/>
      <c r="P46" s="33"/>
      <c r="Q46" s="28"/>
      <c r="R46" s="28"/>
      <c r="S46" s="28"/>
      <c r="T46" s="28"/>
      <c r="U46" s="28"/>
      <c r="V46" s="28"/>
      <c r="W46" s="28"/>
      <c r="X46" s="28"/>
      <c r="Y46" s="28"/>
      <c r="Z46" s="28"/>
      <c r="AA46" s="28"/>
    </row>
    <row r="47" ht="18.75" customHeight="1">
      <c r="A47" s="34" t="s">
        <v>228</v>
      </c>
      <c r="B47" s="43">
        <f>D5-C27</f>
        <v>1300</v>
      </c>
      <c r="F47" s="28"/>
      <c r="G47" s="28"/>
      <c r="H47" s="28"/>
      <c r="I47" s="28"/>
      <c r="J47" s="28"/>
      <c r="K47" s="28"/>
      <c r="L47" s="28"/>
      <c r="M47" s="33"/>
      <c r="N47" s="33"/>
      <c r="O47" s="33"/>
      <c r="P47" s="33"/>
      <c r="Q47" s="28"/>
      <c r="R47" s="28"/>
      <c r="S47" s="28"/>
      <c r="T47" s="28"/>
      <c r="U47" s="28"/>
      <c r="V47" s="28"/>
      <c r="W47" s="28"/>
      <c r="X47" s="28"/>
      <c r="Y47" s="28"/>
      <c r="Z47" s="28"/>
      <c r="AA47" s="28"/>
    </row>
    <row r="48" ht="18.75" customHeight="1">
      <c r="A48" s="34" t="s">
        <v>345</v>
      </c>
      <c r="B48" s="43">
        <f>D6-C28-C32</f>
        <v>-485</v>
      </c>
      <c r="F48" s="28"/>
      <c r="G48" s="28"/>
      <c r="H48" s="28"/>
      <c r="I48" s="28"/>
      <c r="J48" s="28"/>
      <c r="K48" s="28"/>
      <c r="L48" s="28"/>
      <c r="M48" s="33"/>
      <c r="N48" s="33"/>
      <c r="O48" s="33"/>
      <c r="P48" s="33"/>
      <c r="Q48" s="28"/>
      <c r="R48" s="28"/>
      <c r="S48" s="28"/>
      <c r="T48" s="28"/>
      <c r="U48" s="28"/>
      <c r="V48" s="28"/>
      <c r="W48" s="28"/>
      <c r="X48" s="28"/>
      <c r="Y48" s="28"/>
      <c r="Z48" s="28"/>
      <c r="AA48" s="28"/>
    </row>
    <row r="49" ht="18.75" customHeight="1">
      <c r="A49" s="34" t="s">
        <v>352</v>
      </c>
      <c r="B49" s="43">
        <f>D8</f>
        <v>625</v>
      </c>
      <c r="F49" s="28"/>
      <c r="G49" s="28"/>
      <c r="H49" s="28"/>
      <c r="I49" s="28"/>
      <c r="J49" s="28"/>
      <c r="K49" s="28"/>
      <c r="L49" s="28"/>
      <c r="M49" s="33"/>
      <c r="N49" s="33"/>
      <c r="O49" s="33"/>
      <c r="P49" s="33"/>
      <c r="Q49" s="28"/>
      <c r="R49" s="28"/>
      <c r="S49" s="28"/>
      <c r="T49" s="28"/>
      <c r="U49" s="28"/>
      <c r="V49" s="28"/>
      <c r="W49" s="28"/>
      <c r="X49" s="28"/>
      <c r="Y49" s="28"/>
      <c r="Z49" s="28"/>
      <c r="AA49" s="28"/>
    </row>
    <row r="50" ht="18.75" customHeight="1">
      <c r="A50" s="41" t="s">
        <v>356</v>
      </c>
      <c r="B50" s="43">
        <f>D9-C38</f>
        <v>630</v>
      </c>
      <c r="F50" s="28"/>
      <c r="G50" s="28"/>
      <c r="H50" s="28"/>
      <c r="I50" s="28"/>
      <c r="J50" s="28"/>
      <c r="K50" s="28"/>
      <c r="L50" s="28"/>
      <c r="M50" s="33"/>
      <c r="N50" s="33"/>
      <c r="O50" s="33"/>
      <c r="P50" s="33"/>
      <c r="Q50" s="28"/>
      <c r="R50" s="28"/>
      <c r="S50" s="28"/>
      <c r="T50" s="28"/>
      <c r="U50" s="28"/>
      <c r="V50" s="28"/>
      <c r="W50" s="28"/>
      <c r="X50" s="28"/>
      <c r="Y50" s="28"/>
      <c r="Z50" s="28"/>
      <c r="AA50" s="28"/>
    </row>
    <row r="51" ht="18.75" customHeight="1">
      <c r="A51" s="34" t="s">
        <v>231</v>
      </c>
      <c r="B51" s="43">
        <f>D10-C33</f>
        <v>270</v>
      </c>
      <c r="F51" s="28"/>
      <c r="G51" s="28"/>
      <c r="H51" s="28"/>
      <c r="I51" s="28"/>
      <c r="J51" s="28"/>
      <c r="K51" s="28"/>
      <c r="L51" s="28"/>
      <c r="M51" s="33"/>
      <c r="N51" s="33"/>
      <c r="O51" s="33"/>
      <c r="P51" s="33"/>
      <c r="Q51" s="28"/>
      <c r="R51" s="28"/>
      <c r="S51" s="28"/>
      <c r="T51" s="28"/>
      <c r="U51" s="28"/>
      <c r="V51" s="28"/>
      <c r="W51" s="28"/>
      <c r="X51" s="28"/>
      <c r="Y51" s="28"/>
      <c r="Z51" s="28"/>
      <c r="AA51" s="28"/>
    </row>
    <row r="52" ht="18.75" customHeight="1">
      <c r="A52" s="41" t="s">
        <v>364</v>
      </c>
      <c r="B52" s="43">
        <f t="shared" ref="B52:B54" si="5">D11</f>
        <v>270</v>
      </c>
      <c r="F52" s="28"/>
      <c r="G52" s="28"/>
      <c r="H52" s="28"/>
      <c r="I52" s="28"/>
      <c r="J52" s="28"/>
      <c r="K52" s="28"/>
      <c r="L52" s="28"/>
      <c r="M52" s="33"/>
      <c r="N52" s="33"/>
      <c r="O52" s="33"/>
      <c r="P52" s="33"/>
      <c r="Q52" s="28"/>
      <c r="R52" s="28"/>
      <c r="S52" s="28"/>
      <c r="T52" s="28"/>
      <c r="U52" s="28"/>
      <c r="V52" s="28"/>
      <c r="W52" s="28"/>
      <c r="X52" s="28"/>
      <c r="Y52" s="28"/>
      <c r="Z52" s="28"/>
      <c r="AA52" s="28"/>
    </row>
    <row r="53" ht="18.75" customHeight="1">
      <c r="A53" s="34" t="s">
        <v>370</v>
      </c>
      <c r="B53" s="43">
        <f t="shared" si="5"/>
        <v>250</v>
      </c>
      <c r="F53" s="28"/>
      <c r="G53" s="28"/>
      <c r="H53" s="28"/>
      <c r="I53" s="28"/>
      <c r="J53" s="28"/>
      <c r="K53" s="28"/>
      <c r="L53" s="28"/>
      <c r="M53" s="33"/>
      <c r="N53" s="33"/>
      <c r="O53" s="33"/>
      <c r="P53" s="33"/>
      <c r="Q53" s="28"/>
      <c r="R53" s="28"/>
      <c r="S53" s="28"/>
      <c r="T53" s="28"/>
      <c r="U53" s="28"/>
      <c r="V53" s="28"/>
      <c r="W53" s="28"/>
      <c r="X53" s="28"/>
      <c r="Y53" s="28"/>
      <c r="Z53" s="28"/>
      <c r="AA53" s="28"/>
    </row>
    <row r="54" ht="18.75" customHeight="1">
      <c r="A54" s="41" t="s">
        <v>373</v>
      </c>
      <c r="B54" s="43">
        <f t="shared" si="5"/>
        <v>240</v>
      </c>
      <c r="F54" s="28"/>
      <c r="G54" s="28"/>
      <c r="H54" s="28"/>
      <c r="I54" s="28"/>
      <c r="J54" s="28"/>
      <c r="K54" s="28"/>
      <c r="L54" s="28"/>
      <c r="M54" s="33"/>
      <c r="N54" s="33"/>
      <c r="O54" s="33"/>
      <c r="P54" s="33"/>
      <c r="Q54" s="28"/>
      <c r="R54" s="28"/>
      <c r="S54" s="28"/>
      <c r="T54" s="28"/>
      <c r="U54" s="28"/>
      <c r="V54" s="28"/>
      <c r="W54" s="28"/>
      <c r="X54" s="28"/>
      <c r="Y54" s="28"/>
      <c r="Z54" s="28"/>
      <c r="AA54" s="28"/>
    </row>
    <row r="55" ht="18.75" customHeight="1">
      <c r="A55" s="34" t="s">
        <v>240</v>
      </c>
      <c r="B55" s="43">
        <f>D14-C34</f>
        <v>126</v>
      </c>
      <c r="F55" s="28"/>
      <c r="G55" s="28"/>
      <c r="H55" s="28"/>
      <c r="I55" s="28"/>
      <c r="J55" s="28"/>
      <c r="K55" s="28"/>
      <c r="L55" s="28"/>
      <c r="M55" s="33"/>
      <c r="N55" s="33"/>
      <c r="O55" s="33"/>
      <c r="P55" s="33"/>
      <c r="Q55" s="28"/>
      <c r="R55" s="28"/>
      <c r="S55" s="28"/>
      <c r="T55" s="28"/>
      <c r="U55" s="28"/>
      <c r="V55" s="28"/>
      <c r="W55" s="28"/>
      <c r="X55" s="28"/>
      <c r="Y55" s="28"/>
      <c r="Z55" s="28"/>
      <c r="AA55" s="28"/>
    </row>
    <row r="56" ht="18.75" customHeight="1">
      <c r="A56" s="34" t="s">
        <v>387</v>
      </c>
      <c r="B56" s="43">
        <f>D15</f>
        <v>210</v>
      </c>
      <c r="F56" s="28"/>
      <c r="G56" s="28"/>
      <c r="H56" s="28"/>
      <c r="I56" s="28"/>
      <c r="J56" s="28"/>
      <c r="K56" s="28"/>
      <c r="L56" s="28"/>
      <c r="M56" s="33"/>
      <c r="N56" s="33"/>
      <c r="O56" s="33"/>
      <c r="P56" s="33"/>
      <c r="Q56" s="28"/>
      <c r="R56" s="28"/>
      <c r="S56" s="28"/>
      <c r="T56" s="28"/>
      <c r="U56" s="28"/>
      <c r="V56" s="28"/>
      <c r="W56" s="28"/>
      <c r="X56" s="28"/>
      <c r="Y56" s="28"/>
      <c r="Z56" s="28"/>
      <c r="AA56" s="28"/>
    </row>
    <row r="57" ht="18.75" customHeight="1">
      <c r="A57" s="41" t="s">
        <v>393</v>
      </c>
      <c r="B57" s="43">
        <f>D16-C38</f>
        <v>210</v>
      </c>
      <c r="F57" s="28"/>
      <c r="G57" s="28"/>
      <c r="H57" s="28"/>
      <c r="I57" s="28"/>
      <c r="J57" s="28"/>
      <c r="K57" s="28"/>
      <c r="L57" s="28"/>
      <c r="M57" s="33"/>
      <c r="N57" s="33"/>
      <c r="O57" s="33"/>
      <c r="P57" s="33"/>
      <c r="Q57" s="28"/>
      <c r="R57" s="28"/>
      <c r="S57" s="28"/>
      <c r="T57" s="28"/>
      <c r="U57" s="28"/>
      <c r="V57" s="28"/>
      <c r="W57" s="28"/>
      <c r="X57" s="28"/>
      <c r="Y57" s="28"/>
      <c r="Z57" s="28"/>
      <c r="AA57" s="28"/>
    </row>
    <row r="58" ht="18.75" customHeight="1">
      <c r="A58" s="34" t="s">
        <v>399</v>
      </c>
      <c r="B58" s="43">
        <f t="shared" ref="B58:B60" si="6">D17</f>
        <v>184</v>
      </c>
      <c r="F58" s="28"/>
      <c r="G58" s="28"/>
      <c r="H58" s="28"/>
      <c r="I58" s="28"/>
      <c r="J58" s="28"/>
      <c r="K58" s="28"/>
      <c r="L58" s="28"/>
      <c r="M58" s="33"/>
      <c r="N58" s="33"/>
      <c r="O58" s="33"/>
      <c r="P58" s="33"/>
      <c r="Q58" s="28"/>
      <c r="R58" s="28"/>
      <c r="S58" s="28"/>
      <c r="T58" s="28"/>
      <c r="U58" s="28"/>
      <c r="V58" s="28"/>
      <c r="W58" s="28"/>
      <c r="X58" s="28"/>
      <c r="Y58" s="28"/>
      <c r="Z58" s="28"/>
      <c r="AA58" s="28"/>
    </row>
    <row r="59" ht="18.75" customHeight="1">
      <c r="A59" s="34" t="s">
        <v>403</v>
      </c>
      <c r="B59" s="43">
        <f t="shared" si="6"/>
        <v>168</v>
      </c>
      <c r="F59" s="28"/>
      <c r="G59" s="28"/>
      <c r="H59" s="28"/>
      <c r="I59" s="28"/>
      <c r="J59" s="28"/>
      <c r="K59" s="28"/>
      <c r="L59" s="28"/>
      <c r="M59" s="33"/>
      <c r="N59" s="33"/>
      <c r="O59" s="33"/>
      <c r="P59" s="33"/>
      <c r="Q59" s="28"/>
      <c r="R59" s="28"/>
      <c r="S59" s="28"/>
      <c r="T59" s="28"/>
      <c r="U59" s="28"/>
      <c r="V59" s="28"/>
      <c r="W59" s="28"/>
      <c r="X59" s="28"/>
      <c r="Y59" s="28"/>
      <c r="Z59" s="28"/>
      <c r="AA59" s="28"/>
    </row>
    <row r="60" ht="18.75" customHeight="1">
      <c r="A60" s="34" t="s">
        <v>149</v>
      </c>
      <c r="B60" s="43">
        <f t="shared" si="6"/>
        <v>165</v>
      </c>
      <c r="F60" s="28"/>
      <c r="G60" s="28"/>
      <c r="H60" s="28"/>
      <c r="I60" s="28"/>
      <c r="J60" s="28"/>
      <c r="K60" s="28"/>
      <c r="L60" s="28"/>
      <c r="M60" s="33"/>
      <c r="N60" s="33"/>
      <c r="O60" s="33"/>
      <c r="P60" s="33"/>
      <c r="Q60" s="28"/>
      <c r="R60" s="28"/>
      <c r="S60" s="28"/>
      <c r="T60" s="28"/>
      <c r="U60" s="28"/>
      <c r="V60" s="28"/>
      <c r="W60" s="28"/>
      <c r="X60" s="28"/>
      <c r="Y60" s="28"/>
      <c r="Z60" s="28"/>
      <c r="AA60" s="28"/>
    </row>
    <row r="61" ht="18.75" customHeight="1">
      <c r="A61" s="41" t="s">
        <v>410</v>
      </c>
      <c r="B61" s="43">
        <f>D20-C39</f>
        <v>150</v>
      </c>
      <c r="F61" s="28"/>
      <c r="G61" s="28"/>
      <c r="H61" s="28"/>
      <c r="I61" s="28"/>
      <c r="J61" s="28"/>
      <c r="K61" s="28"/>
      <c r="L61" s="28"/>
      <c r="M61" s="33"/>
      <c r="N61" s="33"/>
      <c r="O61" s="33"/>
      <c r="P61" s="33"/>
      <c r="Q61" s="28"/>
      <c r="R61" s="28"/>
      <c r="S61" s="28"/>
      <c r="T61" s="28"/>
      <c r="U61" s="28"/>
      <c r="V61" s="28"/>
      <c r="W61" s="28"/>
      <c r="X61" s="28"/>
      <c r="Y61" s="28"/>
      <c r="Z61" s="28"/>
      <c r="AA61" s="28"/>
    </row>
    <row r="62" ht="18.75" customHeight="1">
      <c r="A62" s="34" t="s">
        <v>236</v>
      </c>
      <c r="B62" s="43">
        <f t="shared" ref="B62:B63" si="7">D21-C35</f>
        <v>48</v>
      </c>
      <c r="F62" s="28"/>
      <c r="G62" s="28"/>
      <c r="H62" s="28"/>
      <c r="I62" s="28"/>
      <c r="J62" s="28"/>
      <c r="K62" s="28"/>
      <c r="L62" s="28"/>
      <c r="M62" s="33"/>
      <c r="N62" s="33"/>
      <c r="O62" s="33"/>
      <c r="P62" s="33"/>
      <c r="Q62" s="28"/>
      <c r="R62" s="28"/>
      <c r="S62" s="28"/>
      <c r="T62" s="28"/>
      <c r="U62" s="28"/>
      <c r="V62" s="28"/>
      <c r="W62" s="28"/>
      <c r="X62" s="28"/>
      <c r="Y62" s="28"/>
      <c r="Z62" s="28"/>
      <c r="AA62" s="28"/>
    </row>
    <row r="63" ht="18.75" customHeight="1">
      <c r="A63" s="41" t="s">
        <v>424</v>
      </c>
      <c r="B63" s="43">
        <f t="shared" si="7"/>
        <v>-15</v>
      </c>
      <c r="F63" s="28"/>
      <c r="G63" s="28"/>
      <c r="H63" s="28"/>
      <c r="I63" s="28"/>
      <c r="J63" s="28"/>
      <c r="K63" s="28"/>
      <c r="L63" s="28"/>
      <c r="M63" s="33"/>
      <c r="N63" s="33"/>
      <c r="O63" s="33"/>
      <c r="P63" s="33"/>
      <c r="Q63" s="28"/>
      <c r="R63" s="28"/>
      <c r="S63" s="28"/>
      <c r="T63" s="28"/>
      <c r="U63" s="28"/>
      <c r="V63" s="28"/>
      <c r="W63" s="28"/>
      <c r="X63" s="28"/>
      <c r="Y63" s="28"/>
      <c r="Z63" s="28"/>
      <c r="AA63" s="28"/>
    </row>
    <row r="64" ht="18.75" customHeight="1">
      <c r="A64" s="34" t="s">
        <v>434</v>
      </c>
      <c r="B64" s="43">
        <f>D23</f>
        <v>25</v>
      </c>
      <c r="F64" s="28"/>
      <c r="G64" s="28"/>
      <c r="H64" s="28"/>
      <c r="I64" s="28"/>
      <c r="J64" s="28"/>
      <c r="K64" s="28"/>
      <c r="L64" s="28"/>
      <c r="M64" s="33"/>
      <c r="N64" s="33"/>
      <c r="O64" s="33"/>
      <c r="P64" s="33"/>
      <c r="Q64" s="28"/>
      <c r="R64" s="28"/>
      <c r="S64" s="28"/>
      <c r="T64" s="28"/>
      <c r="U64" s="28"/>
      <c r="V64" s="28"/>
      <c r="W64" s="28"/>
      <c r="X64" s="28"/>
      <c r="Y64" s="28"/>
      <c r="Z64" s="28"/>
      <c r="AA64" s="28"/>
    </row>
    <row r="65" ht="18.75" customHeight="1">
      <c r="A65" s="41" t="s">
        <v>502</v>
      </c>
      <c r="B65" s="36">
        <f t="shared" ref="B65:B67" si="8">C29*-1</f>
        <v>-960</v>
      </c>
      <c r="F65" s="28"/>
      <c r="G65" s="28"/>
      <c r="H65" s="28"/>
      <c r="I65" s="28"/>
      <c r="J65" s="28"/>
      <c r="K65" s="28"/>
      <c r="L65" s="28"/>
      <c r="M65" s="33"/>
      <c r="N65" s="33"/>
      <c r="O65" s="33"/>
      <c r="P65" s="33"/>
      <c r="Q65" s="28"/>
      <c r="R65" s="28"/>
      <c r="S65" s="28"/>
      <c r="T65" s="28"/>
      <c r="U65" s="28"/>
      <c r="V65" s="28"/>
      <c r="W65" s="28"/>
      <c r="X65" s="28"/>
      <c r="Y65" s="28"/>
      <c r="Z65" s="28"/>
      <c r="AA65" s="28"/>
    </row>
    <row r="66" ht="18.75" customHeight="1">
      <c r="A66" s="41" t="s">
        <v>505</v>
      </c>
      <c r="B66" s="36">
        <f t="shared" si="8"/>
        <v>-520</v>
      </c>
      <c r="F66" s="28"/>
      <c r="G66" s="28"/>
      <c r="H66" s="28"/>
      <c r="I66" s="28"/>
      <c r="J66" s="28"/>
      <c r="K66" s="28"/>
      <c r="L66" s="28"/>
      <c r="M66" s="33"/>
      <c r="N66" s="33"/>
      <c r="O66" s="33"/>
      <c r="P66" s="33"/>
      <c r="Q66" s="28"/>
      <c r="R66" s="28"/>
      <c r="S66" s="28"/>
      <c r="T66" s="28"/>
      <c r="U66" s="28"/>
      <c r="V66" s="28"/>
      <c r="W66" s="28"/>
      <c r="X66" s="28"/>
      <c r="Y66" s="28"/>
      <c r="Z66" s="28"/>
      <c r="AA66" s="28"/>
    </row>
    <row r="67" ht="18.75" customHeight="1">
      <c r="A67" s="41" t="s">
        <v>511</v>
      </c>
      <c r="B67" s="36">
        <f t="shared" si="8"/>
        <v>-390</v>
      </c>
      <c r="F67" s="28"/>
      <c r="G67" s="28"/>
      <c r="H67" s="28"/>
      <c r="I67" s="28"/>
      <c r="J67" s="28"/>
      <c r="K67" s="28"/>
      <c r="L67" s="28"/>
      <c r="M67" s="33"/>
      <c r="N67" s="33"/>
      <c r="O67" s="33"/>
      <c r="P67" s="33"/>
      <c r="Q67" s="28"/>
      <c r="R67" s="28"/>
      <c r="S67" s="28"/>
      <c r="T67" s="28"/>
      <c r="U67" s="28"/>
      <c r="V67" s="28"/>
      <c r="W67" s="28"/>
      <c r="X67" s="28"/>
      <c r="Y67" s="28"/>
      <c r="Z67" s="28"/>
      <c r="AA67" s="28"/>
    </row>
    <row r="68" ht="18.75" customHeight="1">
      <c r="A68" s="34" t="s">
        <v>439</v>
      </c>
      <c r="B68" s="43">
        <f>SUM(B46:E67)</f>
        <v>12816</v>
      </c>
      <c r="F68" s="28"/>
      <c r="G68" s="28"/>
      <c r="H68" s="28"/>
      <c r="I68" s="28"/>
      <c r="J68" s="28"/>
      <c r="K68" s="28"/>
      <c r="L68" s="28"/>
      <c r="M68" s="33"/>
      <c r="N68" s="33"/>
      <c r="O68" s="33"/>
      <c r="P68" s="33"/>
      <c r="Q68" s="28"/>
      <c r="R68" s="28"/>
      <c r="S68" s="28"/>
      <c r="T68" s="28"/>
      <c r="U68" s="28"/>
      <c r="V68" s="28"/>
      <c r="W68" s="28"/>
      <c r="X68" s="28"/>
      <c r="Y68" s="28"/>
      <c r="Z68" s="28"/>
      <c r="AA68" s="28"/>
    </row>
    <row r="69" ht="18.75" customHeight="1">
      <c r="F69" s="28"/>
      <c r="G69" s="28"/>
      <c r="H69" s="28"/>
      <c r="I69" s="28"/>
      <c r="J69" s="28"/>
      <c r="K69" s="28"/>
      <c r="L69" s="28"/>
      <c r="M69" s="33"/>
      <c r="N69" s="33"/>
      <c r="O69" s="33"/>
      <c r="P69" s="33"/>
      <c r="Q69" s="28"/>
      <c r="R69" s="28"/>
      <c r="S69" s="28"/>
      <c r="T69" s="28"/>
      <c r="U69" s="28"/>
      <c r="V69" s="28"/>
      <c r="W69" s="28"/>
      <c r="X69" s="28"/>
      <c r="Y69" s="28"/>
      <c r="Z69" s="28"/>
      <c r="AA69" s="28"/>
    </row>
    <row r="70" ht="18.75" customHeight="1">
      <c r="F70" s="28"/>
      <c r="H70" s="28"/>
      <c r="I70" s="28"/>
      <c r="J70" s="28"/>
      <c r="K70" s="28"/>
      <c r="L70" s="28"/>
      <c r="M70" s="33"/>
      <c r="N70" s="33"/>
      <c r="O70" s="33"/>
      <c r="P70" s="33"/>
      <c r="Q70" s="28"/>
      <c r="R70" s="28"/>
      <c r="S70" s="28"/>
      <c r="T70" s="28"/>
      <c r="U70" s="28"/>
      <c r="V70" s="28"/>
      <c r="W70" s="28"/>
      <c r="X70" s="28"/>
      <c r="Y70" s="28"/>
      <c r="Z70" s="28"/>
      <c r="AA70" s="28"/>
    </row>
    <row r="71" ht="18.75" customHeight="1">
      <c r="F71" s="28"/>
      <c r="G71" s="28"/>
      <c r="H71" s="28"/>
      <c r="I71" s="28"/>
      <c r="J71" s="28"/>
      <c r="K71" s="28"/>
      <c r="L71" s="28"/>
      <c r="M71" s="33"/>
      <c r="N71" s="33"/>
      <c r="O71" s="33"/>
      <c r="P71" s="33"/>
      <c r="Q71" s="28"/>
      <c r="R71" s="28"/>
      <c r="S71" s="28"/>
      <c r="T71" s="28"/>
      <c r="U71" s="28"/>
      <c r="V71" s="28"/>
      <c r="W71" s="28"/>
      <c r="X71" s="28"/>
      <c r="Y71" s="28"/>
      <c r="Z71" s="28"/>
      <c r="AA71" s="28"/>
    </row>
    <row r="72" ht="18.75" customHeight="1">
      <c r="A72" s="31">
        <v>2026.0</v>
      </c>
      <c r="F72" s="28"/>
      <c r="G72" s="28"/>
      <c r="H72" s="28"/>
      <c r="I72" s="28"/>
      <c r="J72" s="28"/>
      <c r="K72" s="28"/>
      <c r="L72" s="28"/>
      <c r="M72" s="33"/>
      <c r="N72" s="33"/>
      <c r="O72" s="33"/>
      <c r="P72" s="33"/>
      <c r="Q72" s="28"/>
      <c r="R72" s="28"/>
      <c r="S72" s="28"/>
      <c r="T72" s="28"/>
      <c r="U72" s="28"/>
      <c r="V72" s="28"/>
      <c r="W72" s="28"/>
      <c r="X72" s="28"/>
      <c r="Y72" s="28"/>
      <c r="Z72" s="28"/>
      <c r="AA72" s="28"/>
    </row>
    <row r="73" ht="18.75" customHeight="1">
      <c r="A73" s="27" t="s">
        <v>597</v>
      </c>
      <c r="C73" s="27" t="s">
        <v>282</v>
      </c>
      <c r="D73" s="27" t="s">
        <v>278</v>
      </c>
      <c r="E73" s="27" t="s">
        <v>279</v>
      </c>
      <c r="F73" s="28"/>
      <c r="G73" s="28"/>
      <c r="H73" s="28"/>
      <c r="I73" s="28"/>
      <c r="J73" s="28"/>
      <c r="K73" s="28"/>
      <c r="L73" s="28"/>
      <c r="M73" s="33"/>
      <c r="N73" s="33"/>
      <c r="O73" s="33"/>
      <c r="P73" s="33"/>
      <c r="Q73" s="28"/>
      <c r="R73" s="28"/>
      <c r="S73" s="28"/>
      <c r="T73" s="28"/>
      <c r="U73" s="28"/>
      <c r="V73" s="28"/>
      <c r="W73" s="28"/>
      <c r="X73" s="28"/>
      <c r="Y73" s="28"/>
      <c r="Z73" s="28"/>
      <c r="AA73" s="28"/>
    </row>
    <row r="74" ht="18.75" customHeight="1">
      <c r="A74" s="34" t="s">
        <v>129</v>
      </c>
      <c r="C74" s="38">
        <v>97.0</v>
      </c>
      <c r="D74" s="36">
        <v>5045.0</v>
      </c>
      <c r="E74" s="36">
        <v>52.01</v>
      </c>
      <c r="F74" s="28"/>
      <c r="G74" s="28"/>
      <c r="H74" s="28"/>
      <c r="I74" s="28"/>
      <c r="J74" s="28"/>
      <c r="K74" s="28"/>
      <c r="L74" s="28"/>
      <c r="M74" s="33"/>
      <c r="N74" s="33"/>
      <c r="O74" s="33"/>
      <c r="P74" s="33"/>
      <c r="Q74" s="28"/>
      <c r="R74" s="28"/>
      <c r="S74" s="28"/>
      <c r="T74" s="28"/>
      <c r="U74" s="28"/>
      <c r="V74" s="28"/>
      <c r="W74" s="28"/>
      <c r="X74" s="28"/>
      <c r="Y74" s="28"/>
      <c r="Z74" s="28"/>
      <c r="AA74" s="28"/>
    </row>
    <row r="75" ht="18.75" customHeight="1">
      <c r="A75" s="34" t="s">
        <v>133</v>
      </c>
      <c r="C75" s="38">
        <v>22.0</v>
      </c>
      <c r="D75" s="36">
        <v>590.0</v>
      </c>
      <c r="E75" s="36">
        <v>26.82</v>
      </c>
      <c r="F75" s="28"/>
      <c r="G75" s="28"/>
      <c r="H75" s="28"/>
      <c r="I75" s="28"/>
      <c r="J75" s="28"/>
      <c r="K75" s="28"/>
      <c r="L75" s="28"/>
      <c r="M75" s="33"/>
      <c r="N75" s="33"/>
      <c r="O75" s="33"/>
      <c r="P75" s="33"/>
      <c r="Q75" s="28"/>
      <c r="R75" s="28"/>
      <c r="S75" s="28"/>
      <c r="T75" s="28"/>
      <c r="U75" s="28"/>
      <c r="V75" s="28"/>
      <c r="W75" s="28"/>
      <c r="X75" s="28"/>
      <c r="Y75" s="28"/>
      <c r="Z75" s="28"/>
      <c r="AA75" s="28"/>
    </row>
    <row r="76" ht="18.75" customHeight="1">
      <c r="A76" s="34" t="s">
        <v>132</v>
      </c>
      <c r="C76" s="38">
        <v>64.0</v>
      </c>
      <c r="D76" s="36">
        <v>2480.0</v>
      </c>
      <c r="E76" s="36">
        <v>38.75</v>
      </c>
      <c r="F76" s="28"/>
      <c r="G76" s="28"/>
      <c r="H76" s="28"/>
      <c r="I76" s="28"/>
      <c r="J76" s="28"/>
      <c r="K76" s="28"/>
      <c r="L76" s="28"/>
      <c r="M76" s="33"/>
      <c r="N76" s="33"/>
      <c r="O76" s="33"/>
      <c r="P76" s="33"/>
      <c r="Q76" s="28"/>
      <c r="R76" s="28"/>
      <c r="S76" s="28"/>
      <c r="T76" s="28"/>
      <c r="U76" s="28"/>
      <c r="V76" s="28"/>
      <c r="W76" s="28"/>
      <c r="X76" s="28"/>
      <c r="Y76" s="28"/>
      <c r="Z76" s="28"/>
      <c r="AA76" s="28"/>
    </row>
    <row r="77" ht="18.75" customHeight="1">
      <c r="A77" s="34" t="s">
        <v>134</v>
      </c>
      <c r="C77" s="38">
        <v>9.0</v>
      </c>
      <c r="D77" s="36">
        <v>550.0</v>
      </c>
      <c r="E77" s="36">
        <v>61.11</v>
      </c>
      <c r="F77" s="28"/>
      <c r="G77" s="28"/>
      <c r="H77" s="28"/>
      <c r="I77" s="28"/>
      <c r="J77" s="28"/>
      <c r="K77" s="28"/>
      <c r="L77" s="28"/>
      <c r="M77" s="33"/>
      <c r="N77" s="33"/>
      <c r="O77" s="33"/>
      <c r="P77" s="33"/>
      <c r="Q77" s="28"/>
      <c r="R77" s="28"/>
      <c r="S77" s="28"/>
      <c r="T77" s="28"/>
      <c r="U77" s="28"/>
      <c r="V77" s="28"/>
      <c r="W77" s="28"/>
      <c r="X77" s="28"/>
      <c r="Y77" s="28"/>
      <c r="Z77" s="28"/>
      <c r="AA77" s="28"/>
    </row>
    <row r="78" ht="18.75" customHeight="1">
      <c r="A78" s="28"/>
      <c r="B78" s="28"/>
      <c r="C78" s="28"/>
      <c r="D78" s="28"/>
      <c r="E78" s="28"/>
      <c r="F78" s="28"/>
      <c r="G78" s="28"/>
      <c r="H78" s="28"/>
      <c r="I78" s="28"/>
      <c r="J78" s="28"/>
      <c r="K78" s="28"/>
      <c r="L78" s="28"/>
      <c r="M78" s="33"/>
      <c r="N78" s="33"/>
      <c r="O78" s="33"/>
      <c r="P78" s="33"/>
      <c r="Q78" s="28"/>
      <c r="R78" s="28"/>
      <c r="S78" s="28"/>
      <c r="T78" s="28"/>
      <c r="U78" s="28"/>
      <c r="V78" s="28"/>
      <c r="W78" s="28"/>
      <c r="X78" s="28"/>
      <c r="Y78" s="28"/>
      <c r="Z78" s="28"/>
      <c r="AA78" s="28"/>
    </row>
    <row r="79" ht="18.75" customHeight="1">
      <c r="A79" s="28"/>
      <c r="B79" s="28"/>
      <c r="C79" s="28"/>
      <c r="D79" s="28"/>
      <c r="E79" s="28"/>
      <c r="F79" s="28"/>
      <c r="G79" s="28"/>
      <c r="H79" s="28"/>
      <c r="I79" s="28"/>
      <c r="J79" s="28"/>
      <c r="K79" s="28"/>
      <c r="L79" s="28"/>
      <c r="M79" s="33"/>
      <c r="N79" s="33"/>
      <c r="O79" s="33"/>
      <c r="P79" s="33"/>
      <c r="Q79" s="28"/>
      <c r="R79" s="28"/>
      <c r="S79" s="28"/>
      <c r="T79" s="28"/>
      <c r="U79" s="28"/>
      <c r="V79" s="28"/>
      <c r="W79" s="28"/>
      <c r="X79" s="28"/>
      <c r="Y79" s="28"/>
      <c r="Z79" s="28"/>
      <c r="AA79" s="28"/>
    </row>
    <row r="80" ht="18.75" customHeight="1">
      <c r="A80" s="28"/>
      <c r="B80" s="28"/>
      <c r="C80" s="28"/>
      <c r="D80" s="28"/>
      <c r="E80" s="28"/>
      <c r="F80" s="28"/>
      <c r="G80" s="28"/>
      <c r="H80" s="28"/>
      <c r="I80" s="28"/>
      <c r="J80" s="28"/>
      <c r="K80" s="28"/>
      <c r="L80" s="28"/>
      <c r="M80" s="33"/>
      <c r="N80" s="33"/>
      <c r="O80" s="33"/>
      <c r="P80" s="33"/>
      <c r="Q80" s="28"/>
      <c r="R80" s="28"/>
      <c r="S80" s="28"/>
      <c r="T80" s="28"/>
      <c r="U80" s="28"/>
      <c r="V80" s="28"/>
      <c r="W80" s="28"/>
      <c r="X80" s="28"/>
      <c r="Y80" s="28"/>
      <c r="Z80" s="28"/>
      <c r="AA80" s="28"/>
    </row>
    <row r="81" ht="18.75" customHeight="1">
      <c r="A81" s="28"/>
      <c r="B81" s="28"/>
      <c r="C81" s="28"/>
      <c r="D81" s="28"/>
      <c r="E81" s="28"/>
      <c r="F81" s="28"/>
      <c r="G81" s="28"/>
      <c r="H81" s="28"/>
      <c r="I81" s="28"/>
      <c r="J81" s="28"/>
      <c r="K81" s="28"/>
      <c r="L81" s="28"/>
      <c r="M81" s="33"/>
      <c r="N81" s="33"/>
      <c r="O81" s="33"/>
      <c r="P81" s="33"/>
      <c r="Q81" s="28"/>
      <c r="R81" s="28"/>
      <c r="S81" s="28"/>
      <c r="T81" s="28"/>
      <c r="U81" s="28"/>
      <c r="V81" s="28"/>
      <c r="W81" s="28"/>
      <c r="X81" s="28"/>
      <c r="Y81" s="28"/>
      <c r="Z81" s="28"/>
      <c r="AA81" s="28"/>
    </row>
    <row r="82" ht="18.75" customHeight="1">
      <c r="A82" s="28"/>
      <c r="B82" s="28"/>
      <c r="C82" s="28"/>
      <c r="D82" s="28"/>
      <c r="E82" s="28"/>
      <c r="F82" s="28"/>
      <c r="G82" s="28"/>
      <c r="H82" s="28"/>
      <c r="I82" s="28"/>
      <c r="J82" s="28"/>
      <c r="K82" s="28"/>
      <c r="L82" s="28"/>
      <c r="M82" s="33"/>
      <c r="N82" s="33"/>
      <c r="O82" s="33"/>
      <c r="P82" s="33"/>
      <c r="Q82" s="28"/>
      <c r="R82" s="28"/>
      <c r="S82" s="28"/>
      <c r="T82" s="28"/>
      <c r="U82" s="28"/>
      <c r="V82" s="28"/>
      <c r="W82" s="28"/>
      <c r="X82" s="28"/>
      <c r="Y82" s="28"/>
      <c r="Z82" s="28"/>
      <c r="AA82" s="28"/>
    </row>
    <row r="83" ht="18.75" customHeight="1">
      <c r="A83" s="28"/>
      <c r="B83" s="28"/>
      <c r="C83" s="28"/>
      <c r="D83" s="28"/>
      <c r="E83" s="28"/>
      <c r="F83" s="28"/>
      <c r="G83" s="28"/>
      <c r="H83" s="28"/>
      <c r="I83" s="28"/>
      <c r="J83" s="28"/>
      <c r="K83" s="28"/>
      <c r="L83" s="28"/>
      <c r="M83" s="33"/>
      <c r="N83" s="33"/>
      <c r="O83" s="33"/>
      <c r="P83" s="33"/>
      <c r="Q83" s="28"/>
      <c r="R83" s="28"/>
      <c r="S83" s="28"/>
      <c r="T83" s="28"/>
      <c r="U83" s="28"/>
      <c r="V83" s="28"/>
      <c r="W83" s="28"/>
      <c r="X83" s="28"/>
      <c r="Y83" s="28"/>
      <c r="Z83" s="28"/>
      <c r="AA83" s="28"/>
    </row>
    <row r="84" ht="18.75" customHeight="1">
      <c r="A84" s="28"/>
      <c r="B84" s="28"/>
      <c r="C84" s="28"/>
      <c r="D84" s="28"/>
      <c r="E84" s="28"/>
      <c r="F84" s="28"/>
      <c r="G84" s="28"/>
      <c r="H84" s="28"/>
      <c r="I84" s="28"/>
      <c r="J84" s="28"/>
      <c r="K84" s="28"/>
      <c r="L84" s="28"/>
      <c r="M84" s="33"/>
      <c r="N84" s="33"/>
      <c r="O84" s="33"/>
      <c r="P84" s="33"/>
      <c r="Q84" s="28"/>
      <c r="R84" s="28"/>
      <c r="S84" s="28"/>
      <c r="T84" s="28"/>
      <c r="U84" s="28"/>
      <c r="V84" s="28"/>
      <c r="W84" s="28"/>
      <c r="X84" s="28"/>
      <c r="Y84" s="28"/>
      <c r="Z84" s="28"/>
      <c r="AA84" s="28"/>
    </row>
    <row r="85" ht="18.75" customHeight="1">
      <c r="A85" s="28"/>
      <c r="B85" s="28"/>
      <c r="C85" s="28"/>
      <c r="D85" s="28"/>
      <c r="E85" s="28"/>
      <c r="F85" s="28"/>
      <c r="G85" s="28"/>
      <c r="H85" s="28"/>
      <c r="I85" s="28"/>
      <c r="J85" s="28"/>
      <c r="K85" s="28"/>
      <c r="L85" s="28"/>
      <c r="M85" s="33"/>
      <c r="N85" s="33"/>
      <c r="O85" s="33"/>
      <c r="P85" s="33"/>
      <c r="Q85" s="28"/>
      <c r="R85" s="28"/>
      <c r="S85" s="28"/>
      <c r="T85" s="28"/>
      <c r="U85" s="28"/>
      <c r="V85" s="28"/>
      <c r="W85" s="28"/>
      <c r="X85" s="28"/>
      <c r="Y85" s="28"/>
      <c r="Z85" s="28"/>
      <c r="AA85" s="28"/>
    </row>
    <row r="86" ht="18.75" customHeight="1">
      <c r="A86" s="28"/>
      <c r="B86" s="28"/>
      <c r="C86" s="28"/>
      <c r="D86" s="28"/>
      <c r="E86" s="28"/>
      <c r="F86" s="28"/>
      <c r="G86" s="28"/>
      <c r="H86" s="28"/>
      <c r="I86" s="28"/>
      <c r="J86" s="28"/>
      <c r="K86" s="28"/>
      <c r="L86" s="28"/>
      <c r="M86" s="33"/>
      <c r="N86" s="33"/>
      <c r="O86" s="33"/>
      <c r="P86" s="33"/>
      <c r="Q86" s="28"/>
      <c r="R86" s="28"/>
      <c r="S86" s="28"/>
      <c r="T86" s="28"/>
      <c r="U86" s="28"/>
      <c r="V86" s="28"/>
      <c r="W86" s="28"/>
      <c r="X86" s="28"/>
      <c r="Y86" s="28"/>
      <c r="Z86" s="28"/>
      <c r="AA86" s="28"/>
    </row>
    <row r="87" ht="18.75" customHeight="1">
      <c r="A87" s="28"/>
      <c r="B87" s="28"/>
      <c r="C87" s="28"/>
      <c r="D87" s="28"/>
      <c r="E87" s="28"/>
      <c r="F87" s="28"/>
      <c r="G87" s="28"/>
      <c r="H87" s="28"/>
      <c r="I87" s="28"/>
      <c r="J87" s="28"/>
      <c r="K87" s="28"/>
      <c r="L87" s="28"/>
      <c r="M87" s="33"/>
      <c r="N87" s="33"/>
      <c r="O87" s="33"/>
      <c r="P87" s="33"/>
      <c r="Q87" s="28"/>
      <c r="R87" s="28"/>
      <c r="S87" s="28"/>
      <c r="T87" s="28"/>
      <c r="U87" s="28"/>
      <c r="V87" s="28"/>
      <c r="W87" s="28"/>
      <c r="X87" s="28"/>
      <c r="Y87" s="28"/>
      <c r="Z87" s="28"/>
      <c r="AA87" s="28"/>
    </row>
    <row r="88" ht="18.75" customHeight="1">
      <c r="A88" s="28"/>
      <c r="B88" s="28"/>
      <c r="C88" s="28"/>
      <c r="D88" s="28"/>
      <c r="E88" s="28"/>
      <c r="F88" s="28"/>
      <c r="G88" s="28"/>
      <c r="H88" s="28"/>
      <c r="I88" s="28"/>
      <c r="J88" s="28"/>
      <c r="K88" s="28"/>
      <c r="L88" s="28"/>
      <c r="M88" s="33"/>
      <c r="N88" s="33"/>
      <c r="O88" s="33"/>
      <c r="P88" s="33"/>
      <c r="Q88" s="28"/>
      <c r="R88" s="28"/>
      <c r="S88" s="28"/>
      <c r="T88" s="28"/>
      <c r="U88" s="28"/>
      <c r="V88" s="28"/>
      <c r="W88" s="28"/>
      <c r="X88" s="28"/>
      <c r="Y88" s="28"/>
      <c r="Z88" s="28"/>
      <c r="AA88" s="28"/>
    </row>
    <row r="89" ht="18.75" customHeight="1">
      <c r="A89" s="28"/>
      <c r="B89" s="28"/>
      <c r="C89" s="28"/>
      <c r="D89" s="28"/>
      <c r="E89" s="28"/>
      <c r="F89" s="28"/>
      <c r="G89" s="28"/>
      <c r="H89" s="28"/>
      <c r="I89" s="28"/>
      <c r="J89" s="28"/>
      <c r="K89" s="28"/>
      <c r="L89" s="28"/>
      <c r="M89" s="33"/>
      <c r="N89" s="33"/>
      <c r="O89" s="33"/>
      <c r="P89" s="33"/>
      <c r="Q89" s="28"/>
      <c r="R89" s="28"/>
      <c r="S89" s="28"/>
      <c r="T89" s="28"/>
      <c r="U89" s="28"/>
      <c r="V89" s="28"/>
      <c r="W89" s="28"/>
      <c r="X89" s="28"/>
      <c r="Y89" s="28"/>
      <c r="Z89" s="28"/>
      <c r="AA89" s="28"/>
    </row>
    <row r="90" ht="18.75" customHeight="1">
      <c r="A90" s="28"/>
      <c r="B90" s="28"/>
      <c r="C90" s="28"/>
      <c r="D90" s="28"/>
      <c r="E90" s="28"/>
      <c r="F90" s="28"/>
      <c r="G90" s="28"/>
      <c r="H90" s="28"/>
      <c r="I90" s="28"/>
      <c r="J90" s="28"/>
      <c r="K90" s="28"/>
      <c r="L90" s="28"/>
      <c r="M90" s="33"/>
      <c r="N90" s="33"/>
      <c r="O90" s="33"/>
      <c r="P90" s="33"/>
      <c r="Q90" s="28"/>
      <c r="R90" s="28"/>
      <c r="S90" s="28"/>
      <c r="T90" s="28"/>
      <c r="U90" s="28"/>
      <c r="V90" s="28"/>
      <c r="W90" s="28"/>
      <c r="X90" s="28"/>
      <c r="Y90" s="28"/>
      <c r="Z90" s="28"/>
      <c r="AA90" s="28"/>
    </row>
    <row r="91" ht="18.75" customHeight="1">
      <c r="A91" s="28"/>
      <c r="B91" s="28"/>
      <c r="C91" s="28"/>
      <c r="D91" s="28"/>
      <c r="E91" s="28"/>
      <c r="F91" s="28"/>
      <c r="G91" s="28"/>
      <c r="H91" s="28"/>
      <c r="I91" s="28"/>
      <c r="J91" s="28"/>
      <c r="K91" s="28"/>
      <c r="L91" s="28"/>
      <c r="M91" s="33"/>
      <c r="N91" s="33"/>
      <c r="O91" s="33"/>
      <c r="P91" s="33"/>
      <c r="Q91" s="28"/>
      <c r="R91" s="28"/>
      <c r="S91" s="28"/>
      <c r="T91" s="28"/>
      <c r="U91" s="28"/>
      <c r="V91" s="28"/>
      <c r="W91" s="28"/>
      <c r="X91" s="28"/>
      <c r="Y91" s="28"/>
      <c r="Z91" s="28"/>
      <c r="AA91" s="28"/>
    </row>
    <row r="92" ht="18.75" customHeight="1">
      <c r="A92" s="28"/>
      <c r="B92" s="28"/>
      <c r="C92" s="28"/>
      <c r="D92" s="28"/>
      <c r="E92" s="28"/>
      <c r="F92" s="28"/>
      <c r="G92" s="28"/>
      <c r="H92" s="28"/>
      <c r="I92" s="28"/>
      <c r="J92" s="28"/>
      <c r="K92" s="28"/>
      <c r="L92" s="28"/>
      <c r="M92" s="33"/>
      <c r="N92" s="33"/>
      <c r="O92" s="33"/>
      <c r="P92" s="33"/>
      <c r="Q92" s="28"/>
      <c r="R92" s="28"/>
      <c r="S92" s="28"/>
      <c r="T92" s="28"/>
      <c r="U92" s="28"/>
      <c r="V92" s="28"/>
      <c r="W92" s="28"/>
      <c r="X92" s="28"/>
      <c r="Y92" s="28"/>
      <c r="Z92" s="28"/>
      <c r="AA92" s="28"/>
    </row>
    <row r="93" ht="18.75" customHeight="1">
      <c r="A93" s="28"/>
      <c r="B93" s="28"/>
      <c r="C93" s="28"/>
      <c r="D93" s="28"/>
      <c r="E93" s="28"/>
      <c r="F93" s="28"/>
      <c r="G93" s="28"/>
      <c r="H93" s="28"/>
      <c r="I93" s="28"/>
      <c r="J93" s="28"/>
      <c r="K93" s="28"/>
      <c r="L93" s="28"/>
      <c r="M93" s="33"/>
      <c r="N93" s="33"/>
      <c r="O93" s="33"/>
      <c r="P93" s="33"/>
      <c r="Q93" s="28"/>
      <c r="R93" s="28"/>
      <c r="S93" s="28"/>
      <c r="T93" s="28"/>
      <c r="U93" s="28"/>
      <c r="V93" s="28"/>
      <c r="W93" s="28"/>
      <c r="X93" s="28"/>
      <c r="Y93" s="28"/>
      <c r="Z93" s="28"/>
      <c r="AA93" s="28"/>
    </row>
    <row r="94" ht="18.75" customHeight="1">
      <c r="A94" s="28"/>
      <c r="B94" s="28"/>
      <c r="C94" s="28"/>
      <c r="D94" s="28"/>
      <c r="E94" s="28"/>
      <c r="F94" s="28"/>
      <c r="G94" s="28"/>
      <c r="H94" s="28"/>
      <c r="I94" s="28"/>
      <c r="J94" s="28"/>
      <c r="K94" s="28"/>
      <c r="L94" s="28"/>
      <c r="M94" s="33"/>
      <c r="N94" s="33"/>
      <c r="O94" s="33"/>
      <c r="P94" s="33"/>
      <c r="Q94" s="28"/>
      <c r="R94" s="28"/>
      <c r="S94" s="28"/>
      <c r="T94" s="28"/>
      <c r="U94" s="28"/>
      <c r="V94" s="28"/>
      <c r="W94" s="28"/>
      <c r="X94" s="28"/>
      <c r="Y94" s="28"/>
      <c r="Z94" s="28"/>
      <c r="AA94" s="28"/>
    </row>
    <row r="95" ht="18.75" customHeight="1">
      <c r="A95" s="28"/>
      <c r="B95" s="28"/>
      <c r="C95" s="28"/>
      <c r="D95" s="28"/>
      <c r="E95" s="28"/>
      <c r="F95" s="28"/>
      <c r="G95" s="28"/>
      <c r="H95" s="28"/>
      <c r="I95" s="28"/>
      <c r="J95" s="28"/>
      <c r="K95" s="28"/>
      <c r="L95" s="28"/>
      <c r="M95" s="33"/>
      <c r="N95" s="33"/>
      <c r="O95" s="33"/>
      <c r="P95" s="33"/>
      <c r="Q95" s="28"/>
      <c r="R95" s="28"/>
      <c r="S95" s="28"/>
      <c r="T95" s="28"/>
      <c r="U95" s="28"/>
      <c r="V95" s="28"/>
      <c r="W95" s="28"/>
      <c r="X95" s="28"/>
      <c r="Y95" s="28"/>
      <c r="Z95" s="28"/>
      <c r="AA95" s="28"/>
    </row>
    <row r="96" ht="18.75" customHeight="1">
      <c r="A96" s="28"/>
      <c r="B96" s="28"/>
      <c r="C96" s="28"/>
      <c r="D96" s="28"/>
      <c r="E96" s="28"/>
      <c r="F96" s="28"/>
      <c r="G96" s="28"/>
      <c r="H96" s="28"/>
      <c r="I96" s="28"/>
      <c r="J96" s="28"/>
      <c r="K96" s="28"/>
      <c r="L96" s="28"/>
      <c r="M96" s="33"/>
      <c r="N96" s="33"/>
      <c r="O96" s="33"/>
      <c r="P96" s="33"/>
      <c r="Q96" s="28"/>
      <c r="R96" s="28"/>
      <c r="S96" s="28"/>
      <c r="T96" s="28"/>
      <c r="U96" s="28"/>
      <c r="V96" s="28"/>
      <c r="W96" s="28"/>
      <c r="X96" s="28"/>
      <c r="Y96" s="28"/>
      <c r="Z96" s="28"/>
      <c r="AA96" s="28"/>
    </row>
    <row r="97" ht="18.75" customHeight="1">
      <c r="A97" s="28"/>
      <c r="B97" s="28"/>
      <c r="C97" s="28"/>
      <c r="D97" s="28"/>
      <c r="E97" s="28"/>
      <c r="F97" s="28"/>
      <c r="G97" s="28"/>
      <c r="H97" s="28"/>
      <c r="I97" s="28"/>
      <c r="J97" s="28"/>
      <c r="K97" s="28"/>
      <c r="L97" s="28"/>
      <c r="M97" s="33"/>
      <c r="N97" s="33"/>
      <c r="O97" s="33"/>
      <c r="P97" s="33"/>
      <c r="Q97" s="28"/>
      <c r="R97" s="28"/>
      <c r="S97" s="28"/>
      <c r="T97" s="28"/>
      <c r="U97" s="28"/>
      <c r="V97" s="28"/>
      <c r="W97" s="28"/>
      <c r="X97" s="28"/>
      <c r="Y97" s="28"/>
      <c r="Z97" s="28"/>
      <c r="AA97" s="28"/>
    </row>
    <row r="98" ht="18.75" customHeight="1">
      <c r="A98" s="28"/>
      <c r="B98" s="28"/>
      <c r="C98" s="28"/>
      <c r="D98" s="28"/>
      <c r="E98" s="28"/>
      <c r="F98" s="28"/>
      <c r="G98" s="28"/>
      <c r="H98" s="28"/>
      <c r="I98" s="28"/>
      <c r="J98" s="28"/>
      <c r="K98" s="28"/>
      <c r="L98" s="28"/>
      <c r="M98" s="33"/>
      <c r="N98" s="33"/>
      <c r="O98" s="33"/>
      <c r="P98" s="33"/>
      <c r="Q98" s="28"/>
      <c r="R98" s="28"/>
      <c r="S98" s="28"/>
      <c r="T98" s="28"/>
      <c r="U98" s="28"/>
      <c r="V98" s="28"/>
      <c r="W98" s="28"/>
      <c r="X98" s="28"/>
      <c r="Y98" s="28"/>
      <c r="Z98" s="28"/>
      <c r="AA98" s="28"/>
    </row>
    <row r="99" ht="18.75" customHeight="1">
      <c r="A99" s="28"/>
      <c r="B99" s="28"/>
      <c r="C99" s="28"/>
      <c r="D99" s="28"/>
      <c r="E99" s="28"/>
      <c r="F99" s="28"/>
      <c r="G99" s="28"/>
      <c r="H99" s="28"/>
      <c r="I99" s="28"/>
      <c r="J99" s="28"/>
      <c r="K99" s="28"/>
      <c r="L99" s="28"/>
      <c r="M99" s="33"/>
      <c r="N99" s="33"/>
      <c r="O99" s="33"/>
      <c r="P99" s="33"/>
      <c r="Q99" s="28"/>
      <c r="R99" s="28"/>
      <c r="S99" s="28"/>
      <c r="T99" s="28"/>
      <c r="U99" s="28"/>
      <c r="V99" s="28"/>
      <c r="W99" s="28"/>
      <c r="X99" s="28"/>
      <c r="Y99" s="28"/>
      <c r="Z99" s="28"/>
      <c r="AA99" s="28"/>
    </row>
    <row r="100" ht="18.75" customHeight="1">
      <c r="A100" s="28"/>
      <c r="B100" s="28"/>
      <c r="C100" s="28"/>
      <c r="D100" s="28"/>
      <c r="E100" s="28"/>
      <c r="F100" s="28"/>
      <c r="G100" s="28"/>
      <c r="H100" s="28"/>
      <c r="I100" s="28"/>
      <c r="J100" s="28"/>
      <c r="K100" s="28"/>
      <c r="L100" s="28"/>
      <c r="M100" s="33"/>
      <c r="N100" s="33"/>
      <c r="O100" s="33"/>
      <c r="P100" s="33"/>
      <c r="Q100" s="28"/>
      <c r="R100" s="28"/>
      <c r="S100" s="28"/>
      <c r="T100" s="28"/>
      <c r="U100" s="28"/>
      <c r="V100" s="28"/>
      <c r="W100" s="28"/>
      <c r="X100" s="28"/>
      <c r="Y100" s="28"/>
      <c r="Z100" s="28"/>
      <c r="AA100" s="28"/>
    </row>
    <row r="101" ht="18.75" customHeight="1">
      <c r="A101" s="28"/>
      <c r="B101" s="28"/>
      <c r="C101" s="28"/>
      <c r="D101" s="28"/>
      <c r="E101" s="28"/>
      <c r="F101" s="28"/>
      <c r="G101" s="28"/>
      <c r="H101" s="28"/>
      <c r="I101" s="28"/>
      <c r="J101" s="28"/>
      <c r="K101" s="28"/>
      <c r="L101" s="28"/>
      <c r="M101" s="33"/>
      <c r="N101" s="33"/>
      <c r="O101" s="33"/>
      <c r="P101" s="33"/>
      <c r="Q101" s="28"/>
      <c r="R101" s="28"/>
      <c r="S101" s="28"/>
      <c r="T101" s="28"/>
      <c r="U101" s="28"/>
      <c r="V101" s="28"/>
      <c r="W101" s="28"/>
      <c r="X101" s="28"/>
      <c r="Y101" s="28"/>
      <c r="Z101" s="28"/>
      <c r="AA101" s="28"/>
    </row>
    <row r="102" ht="18.75" customHeight="1">
      <c r="A102" s="28"/>
      <c r="B102" s="28"/>
      <c r="C102" s="28"/>
      <c r="D102" s="28"/>
      <c r="E102" s="28"/>
      <c r="F102" s="28"/>
      <c r="G102" s="28"/>
      <c r="H102" s="28"/>
      <c r="I102" s="28"/>
      <c r="J102" s="28"/>
      <c r="K102" s="28"/>
      <c r="L102" s="28"/>
      <c r="M102" s="33"/>
      <c r="N102" s="33"/>
      <c r="O102" s="33"/>
      <c r="P102" s="33"/>
      <c r="Q102" s="28"/>
      <c r="R102" s="28"/>
      <c r="S102" s="28"/>
      <c r="T102" s="28"/>
      <c r="U102" s="28"/>
      <c r="V102" s="28"/>
      <c r="W102" s="28"/>
      <c r="X102" s="28"/>
      <c r="Y102" s="28"/>
      <c r="Z102" s="28"/>
      <c r="AA102" s="28"/>
    </row>
    <row r="103" ht="18.75" customHeight="1">
      <c r="A103" s="28"/>
      <c r="B103" s="28"/>
      <c r="C103" s="28"/>
      <c r="D103" s="28"/>
      <c r="E103" s="28"/>
      <c r="F103" s="28"/>
      <c r="G103" s="28"/>
      <c r="H103" s="28"/>
      <c r="I103" s="28"/>
      <c r="J103" s="28"/>
      <c r="K103" s="28"/>
      <c r="L103" s="28"/>
      <c r="M103" s="33"/>
      <c r="N103" s="33"/>
      <c r="O103" s="33"/>
      <c r="P103" s="33"/>
      <c r="Q103" s="28"/>
      <c r="R103" s="28"/>
      <c r="S103" s="28"/>
      <c r="T103" s="28"/>
      <c r="U103" s="28"/>
      <c r="V103" s="28"/>
      <c r="W103" s="28"/>
      <c r="X103" s="28"/>
      <c r="Y103" s="28"/>
      <c r="Z103" s="28"/>
      <c r="AA103" s="28"/>
    </row>
    <row r="104" ht="18.75" customHeight="1">
      <c r="A104" s="28"/>
      <c r="B104" s="28"/>
      <c r="C104" s="28"/>
      <c r="D104" s="28"/>
      <c r="E104" s="28"/>
      <c r="F104" s="28"/>
      <c r="G104" s="28"/>
      <c r="H104" s="28"/>
      <c r="I104" s="28"/>
      <c r="J104" s="28"/>
      <c r="K104" s="28"/>
      <c r="L104" s="28"/>
      <c r="M104" s="33"/>
      <c r="N104" s="33"/>
      <c r="O104" s="33"/>
      <c r="P104" s="33"/>
      <c r="Q104" s="28"/>
      <c r="R104" s="28"/>
      <c r="S104" s="28"/>
      <c r="T104" s="28"/>
      <c r="U104" s="28"/>
      <c r="V104" s="28"/>
      <c r="W104" s="28"/>
      <c r="X104" s="28"/>
      <c r="Y104" s="28"/>
      <c r="Z104" s="28"/>
      <c r="AA104" s="28"/>
    </row>
    <row r="105" ht="18.75" customHeight="1">
      <c r="A105" s="28"/>
      <c r="B105" s="28"/>
      <c r="C105" s="28"/>
      <c r="D105" s="28"/>
      <c r="E105" s="28"/>
      <c r="F105" s="28"/>
      <c r="G105" s="28"/>
      <c r="H105" s="28"/>
      <c r="I105" s="28"/>
      <c r="J105" s="28"/>
      <c r="K105" s="28"/>
      <c r="L105" s="28"/>
      <c r="M105" s="33"/>
      <c r="N105" s="33"/>
      <c r="O105" s="33"/>
      <c r="P105" s="33"/>
      <c r="Q105" s="28"/>
      <c r="R105" s="28"/>
      <c r="S105" s="28"/>
      <c r="T105" s="28"/>
      <c r="U105" s="28"/>
      <c r="V105" s="28"/>
      <c r="W105" s="28"/>
      <c r="X105" s="28"/>
      <c r="Y105" s="28"/>
      <c r="Z105" s="28"/>
      <c r="AA105" s="28"/>
    </row>
    <row r="106" ht="18.75" customHeight="1">
      <c r="A106" s="28"/>
      <c r="B106" s="28"/>
      <c r="C106" s="28"/>
      <c r="D106" s="28"/>
      <c r="E106" s="28"/>
      <c r="F106" s="28"/>
      <c r="G106" s="28"/>
      <c r="H106" s="28"/>
      <c r="I106" s="28"/>
      <c r="J106" s="28"/>
      <c r="K106" s="28"/>
      <c r="L106" s="28"/>
      <c r="M106" s="33"/>
      <c r="N106" s="33"/>
      <c r="O106" s="33"/>
      <c r="P106" s="33"/>
      <c r="Q106" s="28"/>
      <c r="R106" s="28"/>
      <c r="S106" s="28"/>
      <c r="T106" s="28"/>
      <c r="U106" s="28"/>
      <c r="V106" s="28"/>
      <c r="W106" s="28"/>
      <c r="X106" s="28"/>
      <c r="Y106" s="28"/>
      <c r="Z106" s="28"/>
      <c r="AA106" s="28"/>
    </row>
    <row r="107" ht="18.75" customHeight="1">
      <c r="A107" s="28"/>
      <c r="B107" s="28"/>
      <c r="C107" s="28"/>
      <c r="D107" s="28"/>
      <c r="E107" s="28"/>
      <c r="F107" s="28"/>
      <c r="G107" s="28"/>
      <c r="H107" s="28"/>
      <c r="I107" s="28"/>
      <c r="J107" s="28"/>
      <c r="K107" s="28"/>
      <c r="L107" s="28"/>
      <c r="M107" s="33"/>
      <c r="N107" s="33"/>
      <c r="O107" s="33"/>
      <c r="P107" s="33"/>
      <c r="Q107" s="28"/>
      <c r="R107" s="28"/>
      <c r="S107" s="28"/>
      <c r="T107" s="28"/>
      <c r="U107" s="28"/>
      <c r="V107" s="28"/>
      <c r="W107" s="28"/>
      <c r="X107" s="28"/>
      <c r="Y107" s="28"/>
      <c r="Z107" s="28"/>
      <c r="AA107" s="28"/>
    </row>
    <row r="108" ht="18.75" customHeight="1">
      <c r="A108" s="28"/>
      <c r="B108" s="28"/>
      <c r="C108" s="28"/>
      <c r="D108" s="28"/>
      <c r="E108" s="28"/>
      <c r="F108" s="28"/>
      <c r="G108" s="28"/>
      <c r="H108" s="28"/>
      <c r="I108" s="28"/>
      <c r="J108" s="28"/>
      <c r="K108" s="28"/>
      <c r="L108" s="28"/>
      <c r="M108" s="33"/>
      <c r="N108" s="33"/>
      <c r="O108" s="33"/>
      <c r="P108" s="33"/>
      <c r="Q108" s="28"/>
      <c r="R108" s="28"/>
      <c r="S108" s="28"/>
      <c r="T108" s="28"/>
      <c r="U108" s="28"/>
      <c r="V108" s="28"/>
      <c r="W108" s="28"/>
      <c r="X108" s="28"/>
      <c r="Y108" s="28"/>
      <c r="Z108" s="28"/>
      <c r="AA108" s="28"/>
    </row>
    <row r="109" ht="18.75" customHeight="1">
      <c r="A109" s="28"/>
      <c r="B109" s="28"/>
      <c r="C109" s="28"/>
      <c r="D109" s="28"/>
      <c r="E109" s="28"/>
      <c r="F109" s="28"/>
      <c r="G109" s="28"/>
      <c r="H109" s="28"/>
      <c r="I109" s="28"/>
      <c r="J109" s="28"/>
      <c r="K109" s="28"/>
      <c r="L109" s="28"/>
      <c r="M109" s="33"/>
      <c r="N109" s="33"/>
      <c r="O109" s="33"/>
      <c r="P109" s="33"/>
      <c r="Q109" s="28"/>
      <c r="R109" s="28"/>
      <c r="S109" s="28"/>
      <c r="T109" s="28"/>
      <c r="U109" s="28"/>
      <c r="V109" s="28"/>
      <c r="W109" s="28"/>
      <c r="X109" s="28"/>
      <c r="Y109" s="28"/>
      <c r="Z109" s="28"/>
      <c r="AA109" s="28"/>
    </row>
    <row r="110" ht="18.75" customHeight="1">
      <c r="A110" s="28"/>
      <c r="B110" s="28"/>
      <c r="C110" s="28"/>
      <c r="D110" s="28"/>
      <c r="E110" s="28"/>
      <c r="F110" s="28"/>
      <c r="G110" s="28"/>
      <c r="H110" s="28"/>
      <c r="I110" s="28"/>
      <c r="J110" s="28"/>
      <c r="K110" s="28"/>
      <c r="L110" s="28"/>
      <c r="M110" s="33"/>
      <c r="N110" s="33"/>
      <c r="O110" s="33"/>
      <c r="P110" s="33"/>
      <c r="Q110" s="28"/>
      <c r="R110" s="28"/>
      <c r="S110" s="28"/>
      <c r="T110" s="28"/>
      <c r="U110" s="28"/>
      <c r="V110" s="28"/>
      <c r="W110" s="28"/>
      <c r="X110" s="28"/>
      <c r="Y110" s="28"/>
      <c r="Z110" s="28"/>
      <c r="AA110" s="28"/>
    </row>
    <row r="111" ht="18.75" customHeight="1">
      <c r="A111" s="28"/>
      <c r="B111" s="28"/>
      <c r="C111" s="28"/>
      <c r="D111" s="28"/>
      <c r="E111" s="28"/>
      <c r="F111" s="28"/>
      <c r="G111" s="28"/>
      <c r="H111" s="28"/>
      <c r="I111" s="28"/>
      <c r="J111" s="28"/>
      <c r="K111" s="28"/>
      <c r="L111" s="28"/>
      <c r="M111" s="33"/>
      <c r="N111" s="33"/>
      <c r="O111" s="33"/>
      <c r="P111" s="33"/>
      <c r="Q111" s="28"/>
      <c r="R111" s="28"/>
      <c r="S111" s="28"/>
      <c r="T111" s="28"/>
      <c r="U111" s="28"/>
      <c r="V111" s="28"/>
      <c r="W111" s="28"/>
      <c r="X111" s="28"/>
      <c r="Y111" s="28"/>
      <c r="Z111" s="28"/>
      <c r="AA111" s="28"/>
    </row>
    <row r="112" ht="18.75" customHeight="1">
      <c r="A112" s="28"/>
      <c r="B112" s="28"/>
      <c r="C112" s="28"/>
      <c r="D112" s="28"/>
      <c r="E112" s="28"/>
      <c r="F112" s="28"/>
      <c r="G112" s="28"/>
      <c r="H112" s="28"/>
      <c r="I112" s="28"/>
      <c r="J112" s="28"/>
      <c r="K112" s="28"/>
      <c r="L112" s="28"/>
      <c r="M112" s="33"/>
      <c r="N112" s="33"/>
      <c r="O112" s="33"/>
      <c r="P112" s="33"/>
      <c r="Q112" s="28"/>
      <c r="R112" s="28"/>
      <c r="S112" s="28"/>
      <c r="T112" s="28"/>
      <c r="U112" s="28"/>
      <c r="V112" s="28"/>
      <c r="W112" s="28"/>
      <c r="X112" s="28"/>
      <c r="Y112" s="28"/>
      <c r="Z112" s="28"/>
      <c r="AA112" s="28"/>
    </row>
    <row r="113" ht="18.75" customHeight="1">
      <c r="A113" s="28"/>
      <c r="B113" s="28"/>
      <c r="C113" s="28"/>
      <c r="D113" s="28"/>
      <c r="E113" s="28"/>
      <c r="F113" s="28"/>
      <c r="G113" s="28"/>
      <c r="H113" s="28"/>
      <c r="I113" s="28"/>
      <c r="J113" s="28"/>
      <c r="K113" s="28"/>
      <c r="L113" s="28"/>
      <c r="M113" s="33"/>
      <c r="N113" s="33"/>
      <c r="O113" s="33"/>
      <c r="P113" s="33"/>
      <c r="Q113" s="28"/>
      <c r="R113" s="28"/>
      <c r="S113" s="28"/>
      <c r="T113" s="28"/>
      <c r="U113" s="28"/>
      <c r="V113" s="28"/>
      <c r="W113" s="28"/>
      <c r="X113" s="28"/>
      <c r="Y113" s="28"/>
      <c r="Z113" s="28"/>
      <c r="AA113" s="28"/>
    </row>
    <row r="114" ht="18.75" customHeight="1">
      <c r="A114" s="28"/>
      <c r="B114" s="28"/>
      <c r="C114" s="28"/>
      <c r="D114" s="28"/>
      <c r="E114" s="28"/>
      <c r="F114" s="28"/>
      <c r="G114" s="28"/>
      <c r="H114" s="28"/>
      <c r="I114" s="28"/>
      <c r="J114" s="28"/>
      <c r="K114" s="28"/>
      <c r="L114" s="28"/>
      <c r="M114" s="33"/>
      <c r="N114" s="33"/>
      <c r="O114" s="33"/>
      <c r="P114" s="33"/>
      <c r="Q114" s="28"/>
      <c r="R114" s="28"/>
      <c r="S114" s="28"/>
      <c r="T114" s="28"/>
      <c r="U114" s="28"/>
      <c r="V114" s="28"/>
      <c r="W114" s="28"/>
      <c r="X114" s="28"/>
      <c r="Y114" s="28"/>
      <c r="Z114" s="28"/>
      <c r="AA114" s="28"/>
    </row>
    <row r="115" ht="18.75" customHeight="1">
      <c r="A115" s="28"/>
      <c r="B115" s="28"/>
      <c r="C115" s="28"/>
      <c r="D115" s="28"/>
      <c r="E115" s="28"/>
      <c r="F115" s="28"/>
      <c r="G115" s="28"/>
      <c r="H115" s="28"/>
      <c r="I115" s="28"/>
      <c r="J115" s="28"/>
      <c r="K115" s="28"/>
      <c r="L115" s="28"/>
      <c r="M115" s="33"/>
      <c r="N115" s="33"/>
      <c r="O115" s="33"/>
      <c r="P115" s="33"/>
      <c r="Q115" s="28"/>
      <c r="R115" s="28"/>
      <c r="S115" s="28"/>
      <c r="T115" s="28"/>
      <c r="U115" s="28"/>
      <c r="V115" s="28"/>
      <c r="W115" s="28"/>
      <c r="X115" s="28"/>
      <c r="Y115" s="28"/>
      <c r="Z115" s="28"/>
      <c r="AA115" s="28"/>
    </row>
    <row r="116" ht="18.75" customHeight="1">
      <c r="A116" s="28"/>
      <c r="B116" s="28"/>
      <c r="C116" s="28"/>
      <c r="D116" s="28"/>
      <c r="E116" s="28"/>
      <c r="F116" s="28"/>
      <c r="G116" s="28"/>
      <c r="H116" s="28"/>
      <c r="I116" s="28"/>
      <c r="J116" s="28"/>
      <c r="K116" s="28"/>
      <c r="L116" s="28"/>
      <c r="M116" s="33"/>
      <c r="N116" s="33"/>
      <c r="O116" s="33"/>
      <c r="P116" s="33"/>
      <c r="Q116" s="28"/>
      <c r="R116" s="28"/>
      <c r="S116" s="28"/>
      <c r="T116" s="28"/>
      <c r="U116" s="28"/>
      <c r="V116" s="28"/>
      <c r="W116" s="28"/>
      <c r="X116" s="28"/>
      <c r="Y116" s="28"/>
      <c r="Z116" s="28"/>
      <c r="AA116" s="28"/>
    </row>
    <row r="117" ht="18.75" customHeight="1">
      <c r="A117" s="28"/>
      <c r="B117" s="28"/>
      <c r="C117" s="28"/>
      <c r="D117" s="28"/>
      <c r="E117" s="28"/>
      <c r="F117" s="28"/>
      <c r="G117" s="28"/>
      <c r="H117" s="28"/>
      <c r="I117" s="28"/>
      <c r="J117" s="28"/>
      <c r="K117" s="28"/>
      <c r="L117" s="28"/>
      <c r="M117" s="33"/>
      <c r="N117" s="33"/>
      <c r="O117" s="33"/>
      <c r="P117" s="33"/>
      <c r="Q117" s="28"/>
      <c r="R117" s="28"/>
      <c r="S117" s="28"/>
      <c r="T117" s="28"/>
      <c r="U117" s="28"/>
      <c r="V117" s="28"/>
      <c r="W117" s="28"/>
      <c r="X117" s="28"/>
      <c r="Y117" s="28"/>
      <c r="Z117" s="28"/>
      <c r="AA117" s="28"/>
    </row>
    <row r="118" ht="18.75" customHeight="1">
      <c r="A118" s="28"/>
      <c r="B118" s="28"/>
      <c r="C118" s="28"/>
      <c r="D118" s="28"/>
      <c r="E118" s="28"/>
      <c r="F118" s="28"/>
      <c r="G118" s="28"/>
      <c r="H118" s="28"/>
      <c r="I118" s="28"/>
      <c r="J118" s="28"/>
      <c r="K118" s="28"/>
      <c r="L118" s="28"/>
      <c r="M118" s="33"/>
      <c r="N118" s="33"/>
      <c r="O118" s="33"/>
      <c r="P118" s="33"/>
      <c r="Q118" s="28"/>
      <c r="R118" s="28"/>
      <c r="S118" s="28"/>
      <c r="T118" s="28"/>
      <c r="U118" s="28"/>
      <c r="V118" s="28"/>
      <c r="W118" s="28"/>
      <c r="X118" s="28"/>
      <c r="Y118" s="28"/>
      <c r="Z118" s="28"/>
      <c r="AA118" s="28"/>
    </row>
    <row r="119" ht="18.75" customHeight="1">
      <c r="A119" s="28"/>
      <c r="B119" s="28"/>
      <c r="C119" s="28"/>
      <c r="D119" s="28"/>
      <c r="E119" s="28"/>
      <c r="F119" s="28"/>
      <c r="G119" s="28"/>
      <c r="H119" s="28"/>
      <c r="I119" s="28"/>
      <c r="J119" s="28"/>
      <c r="K119" s="28"/>
      <c r="L119" s="28"/>
      <c r="M119" s="33"/>
      <c r="N119" s="33"/>
      <c r="O119" s="33"/>
      <c r="P119" s="33"/>
      <c r="Q119" s="28"/>
      <c r="R119" s="28"/>
      <c r="S119" s="28"/>
      <c r="T119" s="28"/>
      <c r="U119" s="28"/>
      <c r="V119" s="28"/>
      <c r="W119" s="28"/>
      <c r="X119" s="28"/>
      <c r="Y119" s="28"/>
      <c r="Z119" s="28"/>
      <c r="AA119" s="28"/>
    </row>
    <row r="120" ht="18.75" customHeight="1">
      <c r="A120" s="28"/>
      <c r="B120" s="28"/>
      <c r="C120" s="28"/>
      <c r="D120" s="28"/>
      <c r="E120" s="28"/>
      <c r="F120" s="28"/>
      <c r="G120" s="28"/>
      <c r="H120" s="28"/>
      <c r="I120" s="28"/>
      <c r="J120" s="28"/>
      <c r="K120" s="28"/>
      <c r="L120" s="28"/>
      <c r="M120" s="33"/>
      <c r="N120" s="33"/>
      <c r="O120" s="33"/>
      <c r="P120" s="33"/>
      <c r="Q120" s="28"/>
      <c r="R120" s="28"/>
      <c r="S120" s="28"/>
      <c r="T120" s="28"/>
      <c r="U120" s="28"/>
      <c r="V120" s="28"/>
      <c r="W120" s="28"/>
      <c r="X120" s="28"/>
      <c r="Y120" s="28"/>
      <c r="Z120" s="28"/>
      <c r="AA120" s="28"/>
    </row>
    <row r="121" ht="18.75" customHeight="1">
      <c r="A121" s="28"/>
      <c r="B121" s="28"/>
      <c r="C121" s="28"/>
      <c r="D121" s="28"/>
      <c r="E121" s="28"/>
      <c r="F121" s="28"/>
      <c r="G121" s="28"/>
      <c r="H121" s="28"/>
      <c r="I121" s="28"/>
      <c r="J121" s="28"/>
      <c r="K121" s="28"/>
      <c r="L121" s="28"/>
      <c r="M121" s="33"/>
      <c r="N121" s="33"/>
      <c r="O121" s="33"/>
      <c r="P121" s="33"/>
      <c r="Q121" s="28"/>
      <c r="R121" s="28"/>
      <c r="S121" s="28"/>
      <c r="T121" s="28"/>
      <c r="U121" s="28"/>
      <c r="V121" s="28"/>
      <c r="W121" s="28"/>
      <c r="X121" s="28"/>
      <c r="Y121" s="28"/>
      <c r="Z121" s="28"/>
      <c r="AA121" s="28"/>
    </row>
    <row r="122" ht="18.75" customHeight="1">
      <c r="A122" s="28"/>
      <c r="B122" s="28"/>
      <c r="C122" s="28"/>
      <c r="D122" s="28"/>
      <c r="E122" s="28"/>
      <c r="F122" s="28"/>
      <c r="G122" s="28"/>
      <c r="H122" s="28"/>
      <c r="I122" s="28"/>
      <c r="J122" s="28"/>
      <c r="K122" s="28"/>
      <c r="L122" s="28"/>
      <c r="M122" s="33"/>
      <c r="N122" s="33"/>
      <c r="O122" s="33"/>
      <c r="P122" s="33"/>
      <c r="Q122" s="28"/>
      <c r="R122" s="28"/>
      <c r="S122" s="28"/>
      <c r="T122" s="28"/>
      <c r="U122" s="28"/>
      <c r="V122" s="28"/>
      <c r="W122" s="28"/>
      <c r="X122" s="28"/>
      <c r="Y122" s="28"/>
      <c r="Z122" s="28"/>
      <c r="AA122" s="28"/>
    </row>
    <row r="123" ht="18.75" customHeight="1">
      <c r="A123" s="28"/>
      <c r="B123" s="28"/>
      <c r="C123" s="28"/>
      <c r="D123" s="28"/>
      <c r="E123" s="28"/>
      <c r="F123" s="28"/>
      <c r="G123" s="28"/>
      <c r="H123" s="28"/>
      <c r="I123" s="28"/>
      <c r="J123" s="28"/>
      <c r="K123" s="28"/>
      <c r="L123" s="28"/>
      <c r="M123" s="33"/>
      <c r="N123" s="33"/>
      <c r="O123" s="33"/>
      <c r="P123" s="33"/>
      <c r="Q123" s="28"/>
      <c r="R123" s="28"/>
      <c r="S123" s="28"/>
      <c r="T123" s="28"/>
      <c r="U123" s="28"/>
      <c r="V123" s="28"/>
      <c r="W123" s="28"/>
      <c r="X123" s="28"/>
      <c r="Y123" s="28"/>
      <c r="Z123" s="28"/>
      <c r="AA123" s="28"/>
    </row>
    <row r="124" ht="18.75" customHeight="1">
      <c r="A124" s="28"/>
      <c r="B124" s="28"/>
      <c r="C124" s="28"/>
      <c r="D124" s="28"/>
      <c r="E124" s="28"/>
      <c r="F124" s="28"/>
      <c r="G124" s="28"/>
      <c r="H124" s="28"/>
      <c r="I124" s="28"/>
      <c r="J124" s="28"/>
      <c r="K124" s="28"/>
      <c r="L124" s="28"/>
      <c r="M124" s="33"/>
      <c r="N124" s="33"/>
      <c r="O124" s="33"/>
      <c r="P124" s="33"/>
      <c r="Q124" s="28"/>
      <c r="R124" s="28"/>
      <c r="S124" s="28"/>
      <c r="T124" s="28"/>
      <c r="U124" s="28"/>
      <c r="V124" s="28"/>
      <c r="W124" s="28"/>
      <c r="X124" s="28"/>
      <c r="Y124" s="28"/>
      <c r="Z124" s="28"/>
      <c r="AA124" s="28"/>
    </row>
    <row r="125" ht="18.75" customHeight="1">
      <c r="A125" s="28"/>
      <c r="B125" s="28"/>
      <c r="C125" s="28"/>
      <c r="D125" s="28"/>
      <c r="E125" s="28"/>
      <c r="F125" s="28"/>
      <c r="G125" s="28"/>
      <c r="H125" s="28"/>
      <c r="I125" s="28"/>
      <c r="J125" s="28"/>
      <c r="K125" s="28"/>
      <c r="L125" s="28"/>
      <c r="M125" s="33"/>
      <c r="N125" s="33"/>
      <c r="O125" s="33"/>
      <c r="P125" s="33"/>
      <c r="Q125" s="28"/>
      <c r="R125" s="28"/>
      <c r="S125" s="28"/>
      <c r="T125" s="28"/>
      <c r="U125" s="28"/>
      <c r="V125" s="28"/>
      <c r="W125" s="28"/>
      <c r="X125" s="28"/>
      <c r="Y125" s="28"/>
      <c r="Z125" s="28"/>
      <c r="AA125" s="28"/>
    </row>
    <row r="126" ht="18.75" customHeight="1">
      <c r="A126" s="28"/>
      <c r="B126" s="28"/>
      <c r="C126" s="28"/>
      <c r="D126" s="28"/>
      <c r="E126" s="28"/>
      <c r="F126" s="28"/>
      <c r="G126" s="28"/>
      <c r="H126" s="28"/>
      <c r="I126" s="28"/>
      <c r="J126" s="28"/>
      <c r="K126" s="28"/>
      <c r="L126" s="28"/>
      <c r="M126" s="33"/>
      <c r="N126" s="33"/>
      <c r="O126" s="33"/>
      <c r="P126" s="33"/>
      <c r="Q126" s="28"/>
      <c r="R126" s="28"/>
      <c r="S126" s="28"/>
      <c r="T126" s="28"/>
      <c r="U126" s="28"/>
      <c r="V126" s="28"/>
      <c r="W126" s="28"/>
      <c r="X126" s="28"/>
      <c r="Y126" s="28"/>
      <c r="Z126" s="28"/>
      <c r="AA126" s="28"/>
    </row>
    <row r="127" ht="18.75" customHeight="1">
      <c r="A127" s="28"/>
      <c r="B127" s="28"/>
      <c r="C127" s="28"/>
      <c r="D127" s="28"/>
      <c r="E127" s="28"/>
      <c r="F127" s="28"/>
      <c r="G127" s="28"/>
      <c r="H127" s="28"/>
      <c r="I127" s="28"/>
      <c r="J127" s="28"/>
      <c r="K127" s="28"/>
      <c r="L127" s="28"/>
      <c r="M127" s="33"/>
      <c r="N127" s="33"/>
      <c r="O127" s="33"/>
      <c r="P127" s="33"/>
      <c r="Q127" s="28"/>
      <c r="R127" s="28"/>
      <c r="S127" s="28"/>
      <c r="T127" s="28"/>
      <c r="U127" s="28"/>
      <c r="V127" s="28"/>
      <c r="W127" s="28"/>
      <c r="X127" s="28"/>
      <c r="Y127" s="28"/>
      <c r="Z127" s="28"/>
      <c r="AA127" s="28"/>
    </row>
    <row r="128" ht="18.75" customHeight="1">
      <c r="A128" s="28"/>
      <c r="B128" s="28"/>
      <c r="C128" s="28"/>
      <c r="D128" s="28"/>
      <c r="E128" s="28"/>
      <c r="F128" s="28"/>
      <c r="G128" s="28"/>
      <c r="H128" s="28"/>
      <c r="I128" s="28"/>
      <c r="J128" s="28"/>
      <c r="K128" s="28"/>
      <c r="L128" s="28"/>
      <c r="M128" s="33"/>
      <c r="N128" s="33"/>
      <c r="O128" s="33"/>
      <c r="P128" s="33"/>
      <c r="Q128" s="28"/>
      <c r="R128" s="28"/>
      <c r="S128" s="28"/>
      <c r="T128" s="28"/>
      <c r="U128" s="28"/>
      <c r="V128" s="28"/>
      <c r="W128" s="28"/>
      <c r="X128" s="28"/>
      <c r="Y128" s="28"/>
      <c r="Z128" s="28"/>
      <c r="AA128" s="28"/>
    </row>
    <row r="129" ht="18.75" customHeight="1">
      <c r="A129" s="28"/>
      <c r="B129" s="28"/>
      <c r="C129" s="28"/>
      <c r="D129" s="28"/>
      <c r="E129" s="28"/>
      <c r="F129" s="28"/>
      <c r="G129" s="28"/>
      <c r="H129" s="28"/>
      <c r="I129" s="28"/>
      <c r="J129" s="28"/>
      <c r="K129" s="28"/>
      <c r="L129" s="28"/>
      <c r="M129" s="33"/>
      <c r="N129" s="33"/>
      <c r="O129" s="33"/>
      <c r="P129" s="33"/>
      <c r="Q129" s="28"/>
      <c r="R129" s="28"/>
      <c r="S129" s="28"/>
      <c r="T129" s="28"/>
      <c r="U129" s="28"/>
      <c r="V129" s="28"/>
      <c r="W129" s="28"/>
      <c r="X129" s="28"/>
      <c r="Y129" s="28"/>
      <c r="Z129" s="28"/>
      <c r="AA129" s="28"/>
    </row>
    <row r="130" ht="18.75" customHeight="1">
      <c r="A130" s="28"/>
      <c r="B130" s="28"/>
      <c r="C130" s="28"/>
      <c r="D130" s="28"/>
      <c r="E130" s="28"/>
      <c r="F130" s="28"/>
      <c r="G130" s="28"/>
      <c r="H130" s="28"/>
      <c r="I130" s="28"/>
      <c r="J130" s="28"/>
      <c r="K130" s="28"/>
      <c r="L130" s="28"/>
      <c r="M130" s="33"/>
      <c r="N130" s="33"/>
      <c r="O130" s="33"/>
      <c r="P130" s="33"/>
      <c r="Q130" s="28"/>
      <c r="R130" s="28"/>
      <c r="S130" s="28"/>
      <c r="T130" s="28"/>
      <c r="U130" s="28"/>
      <c r="V130" s="28"/>
      <c r="W130" s="28"/>
      <c r="X130" s="28"/>
      <c r="Y130" s="28"/>
      <c r="Z130" s="28"/>
      <c r="AA130" s="28"/>
    </row>
    <row r="131" ht="18.75" customHeight="1">
      <c r="A131" s="28"/>
      <c r="B131" s="28"/>
      <c r="C131" s="28"/>
      <c r="D131" s="28"/>
      <c r="E131" s="28"/>
      <c r="F131" s="28"/>
      <c r="G131" s="28"/>
      <c r="H131" s="28"/>
      <c r="I131" s="28"/>
      <c r="J131" s="28"/>
      <c r="K131" s="28"/>
      <c r="L131" s="28"/>
      <c r="M131" s="33"/>
      <c r="N131" s="33"/>
      <c r="O131" s="33"/>
      <c r="P131" s="33"/>
      <c r="Q131" s="28"/>
      <c r="R131" s="28"/>
      <c r="S131" s="28"/>
      <c r="T131" s="28"/>
      <c r="U131" s="28"/>
      <c r="V131" s="28"/>
      <c r="W131" s="28"/>
      <c r="X131" s="28"/>
      <c r="Y131" s="28"/>
      <c r="Z131" s="28"/>
      <c r="AA131" s="28"/>
    </row>
    <row r="132" ht="18.75" customHeight="1">
      <c r="A132" s="28"/>
      <c r="B132" s="28"/>
      <c r="C132" s="28"/>
      <c r="D132" s="28"/>
      <c r="E132" s="28"/>
      <c r="F132" s="28"/>
      <c r="G132" s="28"/>
      <c r="H132" s="28"/>
      <c r="I132" s="28"/>
      <c r="J132" s="28"/>
      <c r="K132" s="28"/>
      <c r="L132" s="28"/>
      <c r="M132" s="33"/>
      <c r="N132" s="33"/>
      <c r="O132" s="33"/>
      <c r="P132" s="33"/>
      <c r="Q132" s="28"/>
      <c r="R132" s="28"/>
      <c r="S132" s="28"/>
      <c r="T132" s="28"/>
      <c r="U132" s="28"/>
      <c r="V132" s="28"/>
      <c r="W132" s="28"/>
      <c r="X132" s="28"/>
      <c r="Y132" s="28"/>
      <c r="Z132" s="28"/>
      <c r="AA132" s="28"/>
    </row>
    <row r="133" ht="18.75" customHeight="1">
      <c r="A133" s="28"/>
      <c r="B133" s="28"/>
      <c r="C133" s="28"/>
      <c r="D133" s="28"/>
      <c r="E133" s="28"/>
      <c r="F133" s="28"/>
      <c r="G133" s="28"/>
      <c r="H133" s="28"/>
      <c r="I133" s="28"/>
      <c r="J133" s="28"/>
      <c r="K133" s="28"/>
      <c r="L133" s="28"/>
      <c r="M133" s="33"/>
      <c r="N133" s="33"/>
      <c r="O133" s="33"/>
      <c r="P133" s="33"/>
      <c r="Q133" s="28"/>
      <c r="R133" s="28"/>
      <c r="S133" s="28"/>
      <c r="T133" s="28"/>
      <c r="U133" s="28"/>
      <c r="V133" s="28"/>
      <c r="W133" s="28"/>
      <c r="X133" s="28"/>
      <c r="Y133" s="28"/>
      <c r="Z133" s="28"/>
      <c r="AA133" s="28"/>
    </row>
    <row r="134" ht="18.75" customHeight="1">
      <c r="A134" s="28"/>
      <c r="B134" s="28"/>
      <c r="C134" s="28"/>
      <c r="D134" s="28"/>
      <c r="E134" s="28"/>
      <c r="F134" s="28"/>
      <c r="G134" s="28"/>
      <c r="H134" s="28"/>
      <c r="I134" s="28"/>
      <c r="J134" s="28"/>
      <c r="K134" s="28"/>
      <c r="L134" s="28"/>
      <c r="M134" s="33"/>
      <c r="N134" s="33"/>
      <c r="O134" s="33"/>
      <c r="P134" s="33"/>
      <c r="Q134" s="28"/>
      <c r="R134" s="28"/>
      <c r="S134" s="28"/>
      <c r="T134" s="28"/>
      <c r="U134" s="28"/>
      <c r="V134" s="28"/>
      <c r="W134" s="28"/>
      <c r="X134" s="28"/>
      <c r="Y134" s="28"/>
      <c r="Z134" s="28"/>
      <c r="AA134" s="28"/>
    </row>
    <row r="135" ht="18.75" customHeight="1">
      <c r="A135" s="28"/>
      <c r="B135" s="28"/>
      <c r="C135" s="28"/>
      <c r="D135" s="28"/>
      <c r="E135" s="28"/>
      <c r="F135" s="28"/>
      <c r="G135" s="28"/>
      <c r="H135" s="28"/>
      <c r="I135" s="28"/>
      <c r="J135" s="28"/>
      <c r="K135" s="28"/>
      <c r="L135" s="28"/>
      <c r="M135" s="33"/>
      <c r="N135" s="33"/>
      <c r="O135" s="33"/>
      <c r="P135" s="33"/>
      <c r="Q135" s="28"/>
      <c r="R135" s="28"/>
      <c r="S135" s="28"/>
      <c r="T135" s="28"/>
      <c r="U135" s="28"/>
      <c r="V135" s="28"/>
      <c r="W135" s="28"/>
      <c r="X135" s="28"/>
      <c r="Y135" s="28"/>
      <c r="Z135" s="28"/>
      <c r="AA135" s="28"/>
    </row>
    <row r="136" ht="18.75" customHeight="1">
      <c r="A136" s="28"/>
      <c r="B136" s="28"/>
      <c r="C136" s="28"/>
      <c r="D136" s="28"/>
      <c r="E136" s="28"/>
      <c r="F136" s="28"/>
      <c r="G136" s="28"/>
      <c r="H136" s="28"/>
      <c r="I136" s="28"/>
      <c r="J136" s="28"/>
      <c r="K136" s="28"/>
      <c r="L136" s="28"/>
      <c r="M136" s="33"/>
      <c r="N136" s="33"/>
      <c r="O136" s="33"/>
      <c r="P136" s="33"/>
      <c r="Q136" s="28"/>
      <c r="R136" s="28"/>
      <c r="S136" s="28"/>
      <c r="T136" s="28"/>
      <c r="U136" s="28"/>
      <c r="V136" s="28"/>
      <c r="W136" s="28"/>
      <c r="X136" s="28"/>
      <c r="Y136" s="28"/>
      <c r="Z136" s="28"/>
      <c r="AA136" s="28"/>
    </row>
    <row r="137" ht="18.75" customHeight="1">
      <c r="A137" s="28"/>
      <c r="B137" s="28"/>
      <c r="C137" s="28"/>
      <c r="D137" s="28"/>
      <c r="E137" s="28"/>
      <c r="F137" s="28"/>
      <c r="G137" s="28"/>
      <c r="H137" s="28"/>
      <c r="I137" s="28"/>
      <c r="J137" s="28"/>
      <c r="K137" s="28"/>
      <c r="L137" s="28"/>
      <c r="M137" s="33"/>
      <c r="N137" s="33"/>
      <c r="O137" s="33"/>
      <c r="P137" s="33"/>
      <c r="Q137" s="28"/>
      <c r="R137" s="28"/>
      <c r="S137" s="28"/>
      <c r="T137" s="28"/>
      <c r="U137" s="28"/>
      <c r="V137" s="28"/>
      <c r="W137" s="28"/>
      <c r="X137" s="28"/>
      <c r="Y137" s="28"/>
      <c r="Z137" s="28"/>
      <c r="AA137" s="28"/>
    </row>
    <row r="138" ht="18.75" customHeight="1">
      <c r="A138" s="28"/>
      <c r="B138" s="28"/>
      <c r="C138" s="28"/>
      <c r="D138" s="28"/>
      <c r="E138" s="28"/>
      <c r="F138" s="28"/>
      <c r="G138" s="28"/>
      <c r="H138" s="28"/>
      <c r="I138" s="28"/>
      <c r="J138" s="28"/>
      <c r="K138" s="28"/>
      <c r="L138" s="28"/>
      <c r="M138" s="33"/>
      <c r="N138" s="33"/>
      <c r="O138" s="33"/>
      <c r="P138" s="33"/>
      <c r="Q138" s="28"/>
      <c r="R138" s="28"/>
      <c r="S138" s="28"/>
      <c r="T138" s="28"/>
      <c r="U138" s="28"/>
      <c r="V138" s="28"/>
      <c r="W138" s="28"/>
      <c r="X138" s="28"/>
      <c r="Y138" s="28"/>
      <c r="Z138" s="28"/>
      <c r="AA138" s="28"/>
    </row>
    <row r="139" ht="18.75" customHeight="1">
      <c r="A139" s="28"/>
      <c r="B139" s="28"/>
      <c r="C139" s="28"/>
      <c r="D139" s="28"/>
      <c r="E139" s="28"/>
      <c r="F139" s="28"/>
      <c r="G139" s="28"/>
      <c r="H139" s="28"/>
      <c r="I139" s="28"/>
      <c r="J139" s="28"/>
      <c r="K139" s="28"/>
      <c r="L139" s="28"/>
      <c r="M139" s="33"/>
      <c r="N139" s="33"/>
      <c r="O139" s="33"/>
      <c r="P139" s="33"/>
      <c r="Q139" s="28"/>
      <c r="R139" s="28"/>
      <c r="S139" s="28"/>
      <c r="T139" s="28"/>
      <c r="U139" s="28"/>
      <c r="V139" s="28"/>
      <c r="W139" s="28"/>
      <c r="X139" s="28"/>
      <c r="Y139" s="28"/>
      <c r="Z139" s="28"/>
      <c r="AA139" s="28"/>
    </row>
    <row r="140" ht="18.75" customHeight="1">
      <c r="A140" s="28"/>
      <c r="B140" s="28"/>
      <c r="C140" s="28"/>
      <c r="D140" s="28"/>
      <c r="E140" s="28"/>
      <c r="F140" s="28"/>
      <c r="G140" s="28"/>
      <c r="H140" s="28"/>
      <c r="I140" s="28"/>
      <c r="J140" s="28"/>
      <c r="K140" s="28"/>
      <c r="L140" s="28"/>
      <c r="M140" s="33"/>
      <c r="N140" s="33"/>
      <c r="O140" s="33"/>
      <c r="P140" s="33"/>
      <c r="Q140" s="28"/>
      <c r="R140" s="28"/>
      <c r="S140" s="28"/>
      <c r="T140" s="28"/>
      <c r="U140" s="28"/>
      <c r="V140" s="28"/>
      <c r="W140" s="28"/>
      <c r="X140" s="28"/>
      <c r="Y140" s="28"/>
      <c r="Z140" s="28"/>
      <c r="AA140" s="28"/>
    </row>
    <row r="141" ht="18.75" customHeight="1">
      <c r="A141" s="28"/>
      <c r="B141" s="28"/>
      <c r="C141" s="28"/>
      <c r="D141" s="28"/>
      <c r="E141" s="28"/>
      <c r="F141" s="28"/>
      <c r="G141" s="28"/>
      <c r="H141" s="28"/>
      <c r="I141" s="28"/>
      <c r="J141" s="28"/>
      <c r="K141" s="28"/>
      <c r="L141" s="28"/>
      <c r="M141" s="33"/>
      <c r="N141" s="33"/>
      <c r="O141" s="33"/>
      <c r="P141" s="33"/>
      <c r="Q141" s="28"/>
      <c r="R141" s="28"/>
      <c r="S141" s="28"/>
      <c r="T141" s="28"/>
      <c r="U141" s="28"/>
      <c r="V141" s="28"/>
      <c r="W141" s="28"/>
      <c r="X141" s="28"/>
      <c r="Y141" s="28"/>
      <c r="Z141" s="28"/>
      <c r="AA141" s="28"/>
    </row>
    <row r="142" ht="18.75" customHeight="1">
      <c r="A142" s="28"/>
      <c r="B142" s="28"/>
      <c r="C142" s="28"/>
      <c r="D142" s="28"/>
      <c r="E142" s="28"/>
      <c r="F142" s="28"/>
      <c r="G142" s="28"/>
      <c r="H142" s="28"/>
      <c r="I142" s="28"/>
      <c r="J142" s="28"/>
      <c r="K142" s="28"/>
      <c r="L142" s="28"/>
      <c r="M142" s="33"/>
      <c r="N142" s="33"/>
      <c r="O142" s="33"/>
      <c r="P142" s="33"/>
      <c r="Q142" s="28"/>
      <c r="R142" s="28"/>
      <c r="S142" s="28"/>
      <c r="T142" s="28"/>
      <c r="U142" s="28"/>
      <c r="V142" s="28"/>
      <c r="W142" s="28"/>
      <c r="X142" s="28"/>
      <c r="Y142" s="28"/>
      <c r="Z142" s="28"/>
      <c r="AA142" s="28"/>
    </row>
    <row r="143" ht="18.75" customHeight="1">
      <c r="A143" s="28"/>
      <c r="B143" s="28"/>
      <c r="C143" s="28"/>
      <c r="D143" s="28"/>
      <c r="E143" s="28"/>
      <c r="F143" s="28"/>
      <c r="G143" s="28"/>
      <c r="H143" s="28"/>
      <c r="I143" s="28"/>
      <c r="J143" s="28"/>
      <c r="K143" s="28"/>
      <c r="L143" s="28"/>
      <c r="M143" s="33"/>
      <c r="N143" s="33"/>
      <c r="O143" s="33"/>
      <c r="P143" s="33"/>
      <c r="Q143" s="28"/>
      <c r="R143" s="28"/>
      <c r="S143" s="28"/>
      <c r="T143" s="28"/>
      <c r="U143" s="28"/>
      <c r="V143" s="28"/>
      <c r="W143" s="28"/>
      <c r="X143" s="28"/>
      <c r="Y143" s="28"/>
      <c r="Z143" s="28"/>
      <c r="AA143" s="28"/>
    </row>
    <row r="144" ht="18.75" customHeight="1">
      <c r="A144" s="28"/>
      <c r="B144" s="28"/>
      <c r="C144" s="28"/>
      <c r="D144" s="28"/>
      <c r="E144" s="28"/>
      <c r="F144" s="28"/>
      <c r="G144" s="28"/>
      <c r="H144" s="28"/>
      <c r="I144" s="28"/>
      <c r="J144" s="28"/>
      <c r="K144" s="28"/>
      <c r="L144" s="28"/>
      <c r="M144" s="33"/>
      <c r="N144" s="33"/>
      <c r="O144" s="33"/>
      <c r="P144" s="33"/>
      <c r="Q144" s="28"/>
      <c r="R144" s="28"/>
      <c r="S144" s="28"/>
      <c r="T144" s="28"/>
      <c r="U144" s="28"/>
      <c r="V144" s="28"/>
      <c r="W144" s="28"/>
      <c r="X144" s="28"/>
      <c r="Y144" s="28"/>
      <c r="Z144" s="28"/>
      <c r="AA144" s="28"/>
    </row>
    <row r="145" ht="18.75" customHeight="1">
      <c r="A145" s="28"/>
      <c r="B145" s="28"/>
      <c r="C145" s="28"/>
      <c r="D145" s="28"/>
      <c r="E145" s="28"/>
      <c r="F145" s="28"/>
      <c r="G145" s="28"/>
      <c r="H145" s="28"/>
      <c r="I145" s="28"/>
      <c r="J145" s="28"/>
      <c r="K145" s="28"/>
      <c r="L145" s="28"/>
      <c r="M145" s="33"/>
      <c r="N145" s="33"/>
      <c r="O145" s="33"/>
      <c r="P145" s="33"/>
      <c r="Q145" s="28"/>
      <c r="R145" s="28"/>
      <c r="S145" s="28"/>
      <c r="T145" s="28"/>
      <c r="U145" s="28"/>
      <c r="V145" s="28"/>
      <c r="W145" s="28"/>
      <c r="X145" s="28"/>
      <c r="Y145" s="28"/>
      <c r="Z145" s="28"/>
      <c r="AA145" s="28"/>
    </row>
    <row r="146" ht="18.75" customHeight="1">
      <c r="A146" s="28"/>
      <c r="B146" s="28"/>
      <c r="C146" s="28"/>
      <c r="D146" s="28"/>
      <c r="E146" s="28"/>
      <c r="F146" s="28"/>
      <c r="G146" s="28"/>
      <c r="H146" s="28"/>
      <c r="I146" s="28"/>
      <c r="J146" s="28"/>
      <c r="K146" s="28"/>
      <c r="L146" s="28"/>
      <c r="M146" s="33"/>
      <c r="N146" s="33"/>
      <c r="O146" s="33"/>
      <c r="P146" s="33"/>
      <c r="Q146" s="28"/>
      <c r="R146" s="28"/>
      <c r="S146" s="28"/>
      <c r="T146" s="28"/>
      <c r="U146" s="28"/>
      <c r="V146" s="28"/>
      <c r="W146" s="28"/>
      <c r="X146" s="28"/>
      <c r="Y146" s="28"/>
      <c r="Z146" s="28"/>
      <c r="AA146" s="28"/>
    </row>
    <row r="147" ht="18.75" customHeight="1">
      <c r="A147" s="28"/>
      <c r="B147" s="28"/>
      <c r="C147" s="28"/>
      <c r="D147" s="28"/>
      <c r="E147" s="28"/>
      <c r="F147" s="28"/>
      <c r="G147" s="28"/>
      <c r="H147" s="28"/>
      <c r="I147" s="28"/>
      <c r="J147" s="28"/>
      <c r="K147" s="28"/>
      <c r="L147" s="28"/>
      <c r="M147" s="33"/>
      <c r="N147" s="33"/>
      <c r="O147" s="33"/>
      <c r="P147" s="33"/>
      <c r="Q147" s="28"/>
      <c r="R147" s="28"/>
      <c r="S147" s="28"/>
      <c r="T147" s="28"/>
      <c r="U147" s="28"/>
      <c r="V147" s="28"/>
      <c r="W147" s="28"/>
      <c r="X147" s="28"/>
      <c r="Y147" s="28"/>
      <c r="Z147" s="28"/>
      <c r="AA147" s="28"/>
    </row>
    <row r="148" ht="18.75" customHeight="1">
      <c r="A148" s="28"/>
      <c r="B148" s="28"/>
      <c r="C148" s="28"/>
      <c r="D148" s="28"/>
      <c r="E148" s="28"/>
      <c r="F148" s="28"/>
      <c r="G148" s="28"/>
      <c r="H148" s="28"/>
      <c r="I148" s="28"/>
      <c r="J148" s="28"/>
      <c r="K148" s="28"/>
      <c r="L148" s="28"/>
      <c r="M148" s="33"/>
      <c r="N148" s="33"/>
      <c r="O148" s="33"/>
      <c r="P148" s="33"/>
      <c r="Q148" s="28"/>
      <c r="R148" s="28"/>
      <c r="S148" s="28"/>
      <c r="T148" s="28"/>
      <c r="U148" s="28"/>
      <c r="V148" s="28"/>
      <c r="W148" s="28"/>
      <c r="X148" s="28"/>
      <c r="Y148" s="28"/>
      <c r="Z148" s="28"/>
      <c r="AA148" s="28"/>
    </row>
    <row r="149" ht="18.75" customHeight="1">
      <c r="A149" s="28"/>
      <c r="B149" s="28"/>
      <c r="C149" s="28"/>
      <c r="D149" s="28"/>
      <c r="E149" s="28"/>
      <c r="F149" s="28"/>
      <c r="G149" s="28"/>
      <c r="H149" s="28"/>
      <c r="I149" s="28"/>
      <c r="J149" s="28"/>
      <c r="K149" s="28"/>
      <c r="L149" s="28"/>
      <c r="M149" s="33"/>
      <c r="N149" s="33"/>
      <c r="O149" s="33"/>
      <c r="P149" s="33"/>
      <c r="Q149" s="28"/>
      <c r="R149" s="28"/>
      <c r="S149" s="28"/>
      <c r="T149" s="28"/>
      <c r="U149" s="28"/>
      <c r="V149" s="28"/>
      <c r="W149" s="28"/>
      <c r="X149" s="28"/>
      <c r="Y149" s="28"/>
      <c r="Z149" s="28"/>
      <c r="AA149" s="28"/>
    </row>
    <row r="150" ht="18.75" customHeight="1">
      <c r="A150" s="28"/>
      <c r="B150" s="28"/>
      <c r="C150" s="28"/>
      <c r="D150" s="28"/>
      <c r="E150" s="28"/>
      <c r="F150" s="28"/>
      <c r="G150" s="28"/>
      <c r="H150" s="28"/>
      <c r="I150" s="28"/>
      <c r="J150" s="28"/>
      <c r="K150" s="28"/>
      <c r="L150" s="28"/>
      <c r="M150" s="33"/>
      <c r="N150" s="33"/>
      <c r="O150" s="33"/>
      <c r="P150" s="33"/>
      <c r="Q150" s="28"/>
      <c r="R150" s="28"/>
      <c r="S150" s="28"/>
      <c r="T150" s="28"/>
      <c r="U150" s="28"/>
      <c r="V150" s="28"/>
      <c r="W150" s="28"/>
      <c r="X150" s="28"/>
      <c r="Y150" s="28"/>
      <c r="Z150" s="28"/>
      <c r="AA150" s="28"/>
    </row>
    <row r="151" ht="18.75" customHeight="1">
      <c r="A151" s="28"/>
      <c r="B151" s="28"/>
      <c r="C151" s="28"/>
      <c r="D151" s="28"/>
      <c r="E151" s="28"/>
      <c r="F151" s="28"/>
      <c r="G151" s="28"/>
      <c r="H151" s="28"/>
      <c r="I151" s="28"/>
      <c r="J151" s="28"/>
      <c r="K151" s="28"/>
      <c r="L151" s="28"/>
      <c r="M151" s="33"/>
      <c r="N151" s="33"/>
      <c r="O151" s="33"/>
      <c r="P151" s="33"/>
      <c r="Q151" s="28"/>
      <c r="R151" s="28"/>
      <c r="S151" s="28"/>
      <c r="T151" s="28"/>
      <c r="U151" s="28"/>
      <c r="V151" s="28"/>
      <c r="W151" s="28"/>
      <c r="X151" s="28"/>
      <c r="Y151" s="28"/>
      <c r="Z151" s="28"/>
      <c r="AA151" s="28"/>
    </row>
    <row r="152" ht="18.75" customHeight="1">
      <c r="A152" s="28"/>
      <c r="B152" s="28"/>
      <c r="C152" s="28"/>
      <c r="D152" s="28"/>
      <c r="E152" s="28"/>
      <c r="F152" s="28"/>
      <c r="G152" s="28"/>
      <c r="H152" s="28"/>
      <c r="I152" s="28"/>
      <c r="J152" s="28"/>
      <c r="K152" s="28"/>
      <c r="L152" s="28"/>
      <c r="M152" s="33"/>
      <c r="N152" s="33"/>
      <c r="O152" s="33"/>
      <c r="P152" s="33"/>
      <c r="Q152" s="28"/>
      <c r="R152" s="28"/>
      <c r="S152" s="28"/>
      <c r="T152" s="28"/>
      <c r="U152" s="28"/>
      <c r="V152" s="28"/>
      <c r="W152" s="28"/>
      <c r="X152" s="28"/>
      <c r="Y152" s="28"/>
      <c r="Z152" s="28"/>
      <c r="AA152" s="28"/>
    </row>
    <row r="153" ht="18.75" customHeight="1">
      <c r="A153" s="28"/>
      <c r="B153" s="28"/>
      <c r="C153" s="28"/>
      <c r="D153" s="28"/>
      <c r="E153" s="28"/>
      <c r="F153" s="28"/>
      <c r="G153" s="28"/>
      <c r="H153" s="28"/>
      <c r="I153" s="28"/>
      <c r="J153" s="28"/>
      <c r="K153" s="28"/>
      <c r="L153" s="28"/>
      <c r="M153" s="33"/>
      <c r="N153" s="33"/>
      <c r="O153" s="33"/>
      <c r="P153" s="33"/>
      <c r="Q153" s="28"/>
      <c r="R153" s="28"/>
      <c r="S153" s="28"/>
      <c r="T153" s="28"/>
      <c r="U153" s="28"/>
      <c r="V153" s="28"/>
      <c r="W153" s="28"/>
      <c r="X153" s="28"/>
      <c r="Y153" s="28"/>
      <c r="Z153" s="28"/>
      <c r="AA153" s="28"/>
    </row>
    <row r="154" ht="18.75" customHeight="1">
      <c r="A154" s="28"/>
      <c r="B154" s="28"/>
      <c r="C154" s="28"/>
      <c r="D154" s="28"/>
      <c r="E154" s="28"/>
      <c r="F154" s="28"/>
      <c r="G154" s="28"/>
      <c r="H154" s="28"/>
      <c r="I154" s="28"/>
      <c r="J154" s="28"/>
      <c r="K154" s="28"/>
      <c r="L154" s="28"/>
      <c r="M154" s="33"/>
      <c r="N154" s="33"/>
      <c r="O154" s="33"/>
      <c r="P154" s="33"/>
      <c r="Q154" s="28"/>
      <c r="R154" s="28"/>
      <c r="S154" s="28"/>
      <c r="T154" s="28"/>
      <c r="U154" s="28"/>
      <c r="V154" s="28"/>
      <c r="W154" s="28"/>
      <c r="X154" s="28"/>
      <c r="Y154" s="28"/>
      <c r="Z154" s="28"/>
      <c r="AA154" s="28"/>
    </row>
    <row r="155" ht="18.75" customHeight="1">
      <c r="A155" s="28"/>
      <c r="B155" s="28"/>
      <c r="C155" s="28"/>
      <c r="D155" s="28"/>
      <c r="E155" s="28"/>
      <c r="F155" s="28"/>
      <c r="G155" s="28"/>
      <c r="H155" s="28"/>
      <c r="I155" s="28"/>
      <c r="J155" s="28"/>
      <c r="K155" s="28"/>
      <c r="L155" s="28"/>
      <c r="M155" s="33"/>
      <c r="N155" s="33"/>
      <c r="O155" s="33"/>
      <c r="P155" s="33"/>
      <c r="Q155" s="28"/>
      <c r="R155" s="28"/>
      <c r="S155" s="28"/>
      <c r="T155" s="28"/>
      <c r="U155" s="28"/>
      <c r="V155" s="28"/>
      <c r="W155" s="28"/>
      <c r="X155" s="28"/>
      <c r="Y155" s="28"/>
      <c r="Z155" s="28"/>
      <c r="AA155" s="28"/>
    </row>
    <row r="156" ht="18.75" customHeight="1">
      <c r="A156" s="28"/>
      <c r="B156" s="28"/>
      <c r="C156" s="28"/>
      <c r="D156" s="28"/>
      <c r="E156" s="28"/>
      <c r="F156" s="28"/>
      <c r="G156" s="28"/>
      <c r="H156" s="28"/>
      <c r="I156" s="28"/>
      <c r="J156" s="28"/>
      <c r="K156" s="28"/>
      <c r="L156" s="28"/>
      <c r="M156" s="33"/>
      <c r="N156" s="33"/>
      <c r="O156" s="33"/>
      <c r="P156" s="33"/>
      <c r="Q156" s="28"/>
      <c r="R156" s="28"/>
      <c r="S156" s="28"/>
      <c r="T156" s="28"/>
      <c r="U156" s="28"/>
      <c r="V156" s="28"/>
      <c r="W156" s="28"/>
      <c r="X156" s="28"/>
      <c r="Y156" s="28"/>
      <c r="Z156" s="28"/>
      <c r="AA156" s="28"/>
    </row>
    <row r="157" ht="18.75" customHeight="1">
      <c r="A157" s="28"/>
      <c r="B157" s="28"/>
      <c r="C157" s="28"/>
      <c r="D157" s="28"/>
      <c r="E157" s="28"/>
      <c r="F157" s="28"/>
      <c r="G157" s="28"/>
      <c r="H157" s="28"/>
      <c r="I157" s="28"/>
      <c r="J157" s="28"/>
      <c r="K157" s="28"/>
      <c r="L157" s="28"/>
      <c r="M157" s="33"/>
      <c r="N157" s="33"/>
      <c r="O157" s="33"/>
      <c r="P157" s="33"/>
      <c r="Q157" s="28"/>
      <c r="R157" s="28"/>
      <c r="S157" s="28"/>
      <c r="T157" s="28"/>
      <c r="U157" s="28"/>
      <c r="V157" s="28"/>
      <c r="W157" s="28"/>
      <c r="X157" s="28"/>
      <c r="Y157" s="28"/>
      <c r="Z157" s="28"/>
      <c r="AA157" s="28"/>
    </row>
    <row r="158" ht="18.75" customHeight="1">
      <c r="A158" s="28"/>
      <c r="B158" s="28"/>
      <c r="C158" s="28"/>
      <c r="D158" s="28"/>
      <c r="E158" s="28"/>
      <c r="F158" s="28"/>
      <c r="G158" s="28"/>
      <c r="H158" s="28"/>
      <c r="I158" s="28"/>
      <c r="J158" s="28"/>
      <c r="K158" s="28"/>
      <c r="L158" s="28"/>
      <c r="M158" s="33"/>
      <c r="N158" s="33"/>
      <c r="O158" s="33"/>
      <c r="P158" s="33"/>
      <c r="Q158" s="28"/>
      <c r="R158" s="28"/>
      <c r="S158" s="28"/>
      <c r="T158" s="28"/>
      <c r="U158" s="28"/>
      <c r="V158" s="28"/>
      <c r="W158" s="28"/>
      <c r="X158" s="28"/>
      <c r="Y158" s="28"/>
      <c r="Z158" s="28"/>
      <c r="AA158" s="28"/>
    </row>
    <row r="159" ht="18.75" customHeight="1">
      <c r="A159" s="28"/>
      <c r="B159" s="28"/>
      <c r="C159" s="28"/>
      <c r="D159" s="28"/>
      <c r="E159" s="28"/>
      <c r="F159" s="28"/>
      <c r="G159" s="28"/>
      <c r="H159" s="28"/>
      <c r="I159" s="28"/>
      <c r="J159" s="28"/>
      <c r="K159" s="28"/>
      <c r="L159" s="28"/>
      <c r="M159" s="33"/>
      <c r="N159" s="33"/>
      <c r="O159" s="33"/>
      <c r="P159" s="33"/>
      <c r="Q159" s="28"/>
      <c r="R159" s="28"/>
      <c r="S159" s="28"/>
      <c r="T159" s="28"/>
      <c r="U159" s="28"/>
      <c r="V159" s="28"/>
      <c r="W159" s="28"/>
      <c r="X159" s="28"/>
      <c r="Y159" s="28"/>
      <c r="Z159" s="28"/>
      <c r="AA159" s="28"/>
    </row>
    <row r="160" ht="18.75" customHeight="1">
      <c r="A160" s="28"/>
      <c r="B160" s="28"/>
      <c r="C160" s="28"/>
      <c r="D160" s="28"/>
      <c r="E160" s="28"/>
      <c r="F160" s="28"/>
      <c r="G160" s="28"/>
      <c r="H160" s="28"/>
      <c r="I160" s="28"/>
      <c r="J160" s="28"/>
      <c r="K160" s="28"/>
      <c r="L160" s="28"/>
      <c r="M160" s="33"/>
      <c r="N160" s="33"/>
      <c r="O160" s="33"/>
      <c r="P160" s="33"/>
      <c r="Q160" s="28"/>
      <c r="R160" s="28"/>
      <c r="S160" s="28"/>
      <c r="T160" s="28"/>
      <c r="U160" s="28"/>
      <c r="V160" s="28"/>
      <c r="W160" s="28"/>
      <c r="X160" s="28"/>
      <c r="Y160" s="28"/>
      <c r="Z160" s="28"/>
      <c r="AA160" s="28"/>
    </row>
    <row r="161" ht="18.75" customHeight="1">
      <c r="A161" s="28"/>
      <c r="B161" s="28"/>
      <c r="C161" s="28"/>
      <c r="D161" s="28"/>
      <c r="E161" s="28"/>
      <c r="F161" s="28"/>
      <c r="G161" s="28"/>
      <c r="H161" s="28"/>
      <c r="I161" s="28"/>
      <c r="J161" s="28"/>
      <c r="K161" s="28"/>
      <c r="L161" s="28"/>
      <c r="M161" s="33"/>
      <c r="N161" s="33"/>
      <c r="O161" s="33"/>
      <c r="P161" s="33"/>
      <c r="Q161" s="28"/>
      <c r="R161" s="28"/>
      <c r="S161" s="28"/>
      <c r="T161" s="28"/>
      <c r="U161" s="28"/>
      <c r="V161" s="28"/>
      <c r="W161" s="28"/>
      <c r="X161" s="28"/>
      <c r="Y161" s="28"/>
      <c r="Z161" s="28"/>
      <c r="AA161" s="28"/>
    </row>
    <row r="162" ht="18.75" customHeight="1">
      <c r="A162" s="28"/>
      <c r="B162" s="28"/>
      <c r="C162" s="28"/>
      <c r="D162" s="28"/>
      <c r="E162" s="28"/>
      <c r="F162" s="28"/>
      <c r="G162" s="28"/>
      <c r="H162" s="28"/>
      <c r="I162" s="28"/>
      <c r="J162" s="28"/>
      <c r="K162" s="28"/>
      <c r="L162" s="28"/>
      <c r="M162" s="33"/>
      <c r="N162" s="33"/>
      <c r="O162" s="33"/>
      <c r="P162" s="33"/>
      <c r="Q162" s="28"/>
      <c r="R162" s="28"/>
      <c r="S162" s="28"/>
      <c r="T162" s="28"/>
      <c r="U162" s="28"/>
      <c r="V162" s="28"/>
      <c r="W162" s="28"/>
      <c r="X162" s="28"/>
      <c r="Y162" s="28"/>
      <c r="Z162" s="28"/>
      <c r="AA162" s="28"/>
    </row>
    <row r="163" ht="18.75" customHeight="1">
      <c r="A163" s="28"/>
      <c r="B163" s="28"/>
      <c r="C163" s="28"/>
      <c r="D163" s="28"/>
      <c r="E163" s="28"/>
      <c r="F163" s="28"/>
      <c r="G163" s="28"/>
      <c r="H163" s="28"/>
      <c r="I163" s="28"/>
      <c r="J163" s="28"/>
      <c r="K163" s="28"/>
      <c r="L163" s="28"/>
      <c r="M163" s="33"/>
      <c r="N163" s="33"/>
      <c r="O163" s="33"/>
      <c r="P163" s="33"/>
      <c r="Q163" s="28"/>
      <c r="R163" s="28"/>
      <c r="S163" s="28"/>
      <c r="T163" s="28"/>
      <c r="U163" s="28"/>
      <c r="V163" s="28"/>
      <c r="W163" s="28"/>
      <c r="X163" s="28"/>
      <c r="Y163" s="28"/>
      <c r="Z163" s="28"/>
      <c r="AA163" s="28"/>
    </row>
    <row r="164" ht="18.75" customHeight="1">
      <c r="A164" s="28"/>
      <c r="B164" s="28"/>
      <c r="C164" s="28"/>
      <c r="D164" s="28"/>
      <c r="E164" s="28"/>
      <c r="F164" s="28"/>
      <c r="G164" s="28"/>
      <c r="H164" s="28"/>
      <c r="I164" s="28"/>
      <c r="J164" s="28"/>
      <c r="K164" s="28"/>
      <c r="L164" s="28"/>
      <c r="M164" s="33"/>
      <c r="N164" s="33"/>
      <c r="O164" s="33"/>
      <c r="P164" s="33"/>
      <c r="Q164" s="28"/>
      <c r="R164" s="28"/>
      <c r="S164" s="28"/>
      <c r="T164" s="28"/>
      <c r="U164" s="28"/>
      <c r="V164" s="28"/>
      <c r="W164" s="28"/>
      <c r="X164" s="28"/>
      <c r="Y164" s="28"/>
      <c r="Z164" s="28"/>
      <c r="AA164" s="28"/>
    </row>
    <row r="165" ht="18.75" customHeight="1">
      <c r="A165" s="28"/>
      <c r="B165" s="28"/>
      <c r="C165" s="28"/>
      <c r="D165" s="28"/>
      <c r="E165" s="28"/>
      <c r="F165" s="28"/>
      <c r="G165" s="28"/>
      <c r="H165" s="28"/>
      <c r="I165" s="28"/>
      <c r="J165" s="28"/>
      <c r="K165" s="28"/>
      <c r="L165" s="28"/>
      <c r="M165" s="33"/>
      <c r="N165" s="33"/>
      <c r="O165" s="33"/>
      <c r="P165" s="33"/>
      <c r="Q165" s="28"/>
      <c r="R165" s="28"/>
      <c r="S165" s="28"/>
      <c r="T165" s="28"/>
      <c r="U165" s="28"/>
      <c r="V165" s="28"/>
      <c r="W165" s="28"/>
      <c r="X165" s="28"/>
      <c r="Y165" s="28"/>
      <c r="Z165" s="28"/>
      <c r="AA165" s="28"/>
    </row>
    <row r="166" ht="18.75" customHeight="1">
      <c r="A166" s="28"/>
      <c r="B166" s="28"/>
      <c r="C166" s="28"/>
      <c r="D166" s="28"/>
      <c r="E166" s="28"/>
      <c r="F166" s="28"/>
      <c r="G166" s="28"/>
      <c r="H166" s="28"/>
      <c r="I166" s="28"/>
      <c r="J166" s="28"/>
      <c r="K166" s="28"/>
      <c r="L166" s="28"/>
      <c r="M166" s="33"/>
      <c r="N166" s="33"/>
      <c r="O166" s="33"/>
      <c r="P166" s="33"/>
      <c r="Q166" s="28"/>
      <c r="R166" s="28"/>
      <c r="S166" s="28"/>
      <c r="T166" s="28"/>
      <c r="U166" s="28"/>
      <c r="V166" s="28"/>
      <c r="W166" s="28"/>
      <c r="X166" s="28"/>
      <c r="Y166" s="28"/>
      <c r="Z166" s="28"/>
      <c r="AA166" s="28"/>
    </row>
    <row r="167" ht="18.75" customHeight="1">
      <c r="A167" s="28"/>
      <c r="B167" s="28"/>
      <c r="C167" s="28"/>
      <c r="D167" s="28"/>
      <c r="E167" s="28"/>
      <c r="F167" s="28"/>
      <c r="G167" s="28"/>
      <c r="H167" s="28"/>
      <c r="I167" s="28"/>
      <c r="J167" s="28"/>
      <c r="K167" s="28"/>
      <c r="L167" s="28"/>
      <c r="M167" s="33"/>
      <c r="N167" s="33"/>
      <c r="O167" s="33"/>
      <c r="P167" s="33"/>
      <c r="Q167" s="28"/>
      <c r="R167" s="28"/>
      <c r="S167" s="28"/>
      <c r="T167" s="28"/>
      <c r="U167" s="28"/>
      <c r="V167" s="28"/>
      <c r="W167" s="28"/>
      <c r="X167" s="28"/>
      <c r="Y167" s="28"/>
      <c r="Z167" s="28"/>
      <c r="AA167" s="28"/>
    </row>
    <row r="168" ht="18.75" customHeight="1">
      <c r="A168" s="28"/>
      <c r="B168" s="28"/>
      <c r="C168" s="28"/>
      <c r="D168" s="28"/>
      <c r="E168" s="28"/>
      <c r="F168" s="28"/>
      <c r="G168" s="28"/>
      <c r="H168" s="28"/>
      <c r="I168" s="28"/>
      <c r="J168" s="28"/>
      <c r="K168" s="28"/>
      <c r="L168" s="28"/>
      <c r="M168" s="33"/>
      <c r="N168" s="33"/>
      <c r="O168" s="33"/>
      <c r="P168" s="33"/>
      <c r="Q168" s="28"/>
      <c r="R168" s="28"/>
      <c r="S168" s="28"/>
      <c r="T168" s="28"/>
      <c r="U168" s="28"/>
      <c r="V168" s="28"/>
      <c r="W168" s="28"/>
      <c r="X168" s="28"/>
      <c r="Y168" s="28"/>
      <c r="Z168" s="28"/>
      <c r="AA168" s="28"/>
    </row>
    <row r="169" ht="18.75" customHeight="1">
      <c r="A169" s="28"/>
      <c r="B169" s="28"/>
      <c r="C169" s="28"/>
      <c r="D169" s="28"/>
      <c r="E169" s="28"/>
      <c r="F169" s="28"/>
      <c r="G169" s="28"/>
      <c r="H169" s="28"/>
      <c r="I169" s="28"/>
      <c r="J169" s="28"/>
      <c r="K169" s="28"/>
      <c r="L169" s="28"/>
      <c r="M169" s="33"/>
      <c r="N169" s="33"/>
      <c r="O169" s="33"/>
      <c r="P169" s="33"/>
      <c r="Q169" s="28"/>
      <c r="R169" s="28"/>
      <c r="S169" s="28"/>
      <c r="T169" s="28"/>
      <c r="U169" s="28"/>
      <c r="V169" s="28"/>
      <c r="W169" s="28"/>
      <c r="X169" s="28"/>
      <c r="Y169" s="28"/>
      <c r="Z169" s="28"/>
      <c r="AA169" s="28"/>
    </row>
    <row r="170" ht="18.75" customHeight="1">
      <c r="A170" s="28"/>
      <c r="B170" s="28"/>
      <c r="C170" s="28"/>
      <c r="D170" s="28"/>
      <c r="E170" s="28"/>
      <c r="F170" s="28"/>
      <c r="G170" s="28"/>
      <c r="H170" s="28"/>
      <c r="I170" s="28"/>
      <c r="J170" s="28"/>
      <c r="K170" s="28"/>
      <c r="L170" s="28"/>
      <c r="M170" s="33"/>
      <c r="N170" s="33"/>
      <c r="O170" s="33"/>
      <c r="P170" s="33"/>
      <c r="Q170" s="28"/>
      <c r="R170" s="28"/>
      <c r="S170" s="28"/>
      <c r="T170" s="28"/>
      <c r="U170" s="28"/>
      <c r="V170" s="28"/>
      <c r="W170" s="28"/>
      <c r="X170" s="28"/>
      <c r="Y170" s="28"/>
      <c r="Z170" s="28"/>
      <c r="AA170" s="28"/>
    </row>
    <row r="171" ht="18.75" customHeight="1">
      <c r="A171" s="28"/>
      <c r="B171" s="28"/>
      <c r="C171" s="28"/>
      <c r="D171" s="28"/>
      <c r="E171" s="28"/>
      <c r="F171" s="28"/>
      <c r="G171" s="28"/>
      <c r="H171" s="28"/>
      <c r="I171" s="28"/>
      <c r="J171" s="28"/>
      <c r="K171" s="28"/>
      <c r="L171" s="28"/>
      <c r="M171" s="33"/>
      <c r="N171" s="33"/>
      <c r="O171" s="33"/>
      <c r="P171" s="33"/>
      <c r="Q171" s="28"/>
      <c r="R171" s="28"/>
      <c r="S171" s="28"/>
      <c r="T171" s="28"/>
      <c r="U171" s="28"/>
      <c r="V171" s="28"/>
      <c r="W171" s="28"/>
      <c r="X171" s="28"/>
      <c r="Y171" s="28"/>
      <c r="Z171" s="28"/>
      <c r="AA171" s="28"/>
    </row>
    <row r="172" ht="18.75" customHeight="1">
      <c r="A172" s="28"/>
      <c r="B172" s="28"/>
      <c r="C172" s="28"/>
      <c r="D172" s="28"/>
      <c r="E172" s="28"/>
      <c r="F172" s="28"/>
      <c r="G172" s="28"/>
      <c r="H172" s="28"/>
      <c r="I172" s="28"/>
      <c r="J172" s="28"/>
      <c r="K172" s="28"/>
      <c r="L172" s="28"/>
      <c r="M172" s="33"/>
      <c r="N172" s="33"/>
      <c r="O172" s="33"/>
      <c r="P172" s="33"/>
      <c r="Q172" s="28"/>
      <c r="R172" s="28"/>
      <c r="S172" s="28"/>
      <c r="T172" s="28"/>
      <c r="U172" s="28"/>
      <c r="V172" s="28"/>
      <c r="W172" s="28"/>
      <c r="X172" s="28"/>
      <c r="Y172" s="28"/>
      <c r="Z172" s="28"/>
      <c r="AA172" s="28"/>
    </row>
    <row r="173" ht="18.75" customHeight="1">
      <c r="A173" s="28"/>
      <c r="B173" s="28"/>
      <c r="C173" s="28"/>
      <c r="D173" s="28"/>
      <c r="E173" s="28"/>
      <c r="F173" s="28"/>
      <c r="G173" s="28"/>
      <c r="H173" s="28"/>
      <c r="I173" s="28"/>
      <c r="J173" s="28"/>
      <c r="K173" s="28"/>
      <c r="L173" s="28"/>
      <c r="M173" s="33"/>
      <c r="N173" s="33"/>
      <c r="O173" s="33"/>
      <c r="P173" s="33"/>
      <c r="Q173" s="28"/>
      <c r="R173" s="28"/>
      <c r="S173" s="28"/>
      <c r="T173" s="28"/>
      <c r="U173" s="28"/>
      <c r="V173" s="28"/>
      <c r="W173" s="28"/>
      <c r="X173" s="28"/>
      <c r="Y173" s="28"/>
      <c r="Z173" s="28"/>
      <c r="AA173" s="28"/>
    </row>
    <row r="174" ht="18.75" customHeight="1">
      <c r="A174" s="28"/>
      <c r="B174" s="28"/>
      <c r="C174" s="28"/>
      <c r="D174" s="28"/>
      <c r="E174" s="28"/>
      <c r="F174" s="28"/>
      <c r="G174" s="28"/>
      <c r="H174" s="28"/>
      <c r="I174" s="28"/>
      <c r="J174" s="28"/>
      <c r="K174" s="28"/>
      <c r="L174" s="28"/>
      <c r="M174" s="33"/>
      <c r="N174" s="33"/>
      <c r="O174" s="33"/>
      <c r="P174" s="33"/>
      <c r="Q174" s="28"/>
      <c r="R174" s="28"/>
      <c r="S174" s="28"/>
      <c r="T174" s="28"/>
      <c r="U174" s="28"/>
      <c r="V174" s="28"/>
      <c r="W174" s="28"/>
      <c r="X174" s="28"/>
      <c r="Y174" s="28"/>
      <c r="Z174" s="28"/>
      <c r="AA174" s="28"/>
    </row>
    <row r="175" ht="18.75" customHeight="1">
      <c r="A175" s="28"/>
      <c r="B175" s="28"/>
      <c r="C175" s="28"/>
      <c r="D175" s="28"/>
      <c r="E175" s="28"/>
      <c r="F175" s="28"/>
      <c r="G175" s="28"/>
      <c r="H175" s="28"/>
      <c r="I175" s="28"/>
      <c r="J175" s="28"/>
      <c r="K175" s="28"/>
      <c r="L175" s="28"/>
      <c r="M175" s="33"/>
      <c r="N175" s="33"/>
      <c r="O175" s="33"/>
      <c r="P175" s="33"/>
      <c r="Q175" s="28"/>
      <c r="R175" s="28"/>
      <c r="S175" s="28"/>
      <c r="T175" s="28"/>
      <c r="U175" s="28"/>
      <c r="V175" s="28"/>
      <c r="W175" s="28"/>
      <c r="X175" s="28"/>
      <c r="Y175" s="28"/>
      <c r="Z175" s="28"/>
      <c r="AA175" s="28"/>
    </row>
    <row r="176" ht="18.75" customHeight="1">
      <c r="A176" s="28"/>
      <c r="B176" s="28"/>
      <c r="C176" s="28"/>
      <c r="D176" s="28"/>
      <c r="E176" s="28"/>
      <c r="F176" s="28"/>
      <c r="G176" s="28"/>
      <c r="H176" s="28"/>
      <c r="I176" s="28"/>
      <c r="J176" s="28"/>
      <c r="K176" s="28"/>
      <c r="L176" s="28"/>
      <c r="M176" s="33"/>
      <c r="N176" s="33"/>
      <c r="O176" s="33"/>
      <c r="P176" s="33"/>
      <c r="Q176" s="28"/>
      <c r="R176" s="28"/>
      <c r="S176" s="28"/>
      <c r="T176" s="28"/>
      <c r="U176" s="28"/>
      <c r="V176" s="28"/>
      <c r="W176" s="28"/>
      <c r="X176" s="28"/>
      <c r="Y176" s="28"/>
      <c r="Z176" s="28"/>
      <c r="AA176" s="28"/>
    </row>
    <row r="177" ht="18.75" customHeight="1">
      <c r="A177" s="28"/>
      <c r="B177" s="28"/>
      <c r="C177" s="28"/>
      <c r="D177" s="28"/>
      <c r="E177" s="28"/>
      <c r="F177" s="28"/>
      <c r="G177" s="28"/>
      <c r="H177" s="28"/>
      <c r="I177" s="28"/>
      <c r="J177" s="28"/>
      <c r="K177" s="28"/>
      <c r="L177" s="28"/>
      <c r="M177" s="33"/>
      <c r="N177" s="33"/>
      <c r="O177" s="33"/>
      <c r="P177" s="33"/>
      <c r="Q177" s="28"/>
      <c r="R177" s="28"/>
      <c r="S177" s="28"/>
      <c r="T177" s="28"/>
      <c r="U177" s="28"/>
      <c r="V177" s="28"/>
      <c r="W177" s="28"/>
      <c r="X177" s="28"/>
      <c r="Y177" s="28"/>
      <c r="Z177" s="28"/>
      <c r="AA177" s="28"/>
    </row>
    <row r="178" ht="18.75" customHeight="1">
      <c r="A178" s="28"/>
      <c r="B178" s="28"/>
      <c r="C178" s="28"/>
      <c r="D178" s="28"/>
      <c r="E178" s="28"/>
      <c r="F178" s="28"/>
      <c r="G178" s="28"/>
      <c r="H178" s="28"/>
      <c r="I178" s="28"/>
      <c r="J178" s="28"/>
      <c r="K178" s="28"/>
      <c r="L178" s="28"/>
      <c r="M178" s="33"/>
      <c r="N178" s="33"/>
      <c r="O178" s="33"/>
      <c r="P178" s="33"/>
      <c r="Q178" s="28"/>
      <c r="R178" s="28"/>
      <c r="S178" s="28"/>
      <c r="T178" s="28"/>
      <c r="U178" s="28"/>
      <c r="V178" s="28"/>
      <c r="W178" s="28"/>
      <c r="X178" s="28"/>
      <c r="Y178" s="28"/>
      <c r="Z178" s="28"/>
      <c r="AA178" s="28"/>
    </row>
    <row r="179" ht="18.75" customHeight="1">
      <c r="A179" s="28"/>
      <c r="B179" s="28"/>
      <c r="C179" s="28"/>
      <c r="D179" s="28"/>
      <c r="E179" s="28"/>
      <c r="F179" s="28"/>
      <c r="G179" s="28"/>
      <c r="H179" s="28"/>
      <c r="I179" s="28"/>
      <c r="J179" s="28"/>
      <c r="K179" s="28"/>
      <c r="L179" s="28"/>
      <c r="M179" s="33"/>
      <c r="N179" s="33"/>
      <c r="O179" s="33"/>
      <c r="P179" s="33"/>
      <c r="Q179" s="28"/>
      <c r="R179" s="28"/>
      <c r="S179" s="28"/>
      <c r="T179" s="28"/>
      <c r="U179" s="28"/>
      <c r="V179" s="28"/>
      <c r="W179" s="28"/>
      <c r="X179" s="28"/>
      <c r="Y179" s="28"/>
      <c r="Z179" s="28"/>
      <c r="AA179" s="28"/>
    </row>
    <row r="180" ht="18.75" customHeight="1">
      <c r="A180" s="28"/>
      <c r="B180" s="28"/>
      <c r="C180" s="28"/>
      <c r="D180" s="28"/>
      <c r="E180" s="28"/>
      <c r="F180" s="28"/>
      <c r="G180" s="28"/>
      <c r="H180" s="28"/>
      <c r="I180" s="28"/>
      <c r="J180" s="28"/>
      <c r="K180" s="28"/>
      <c r="L180" s="28"/>
      <c r="M180" s="33"/>
      <c r="N180" s="33"/>
      <c r="O180" s="33"/>
      <c r="P180" s="33"/>
      <c r="Q180" s="28"/>
      <c r="R180" s="28"/>
      <c r="S180" s="28"/>
      <c r="T180" s="28"/>
      <c r="U180" s="28"/>
      <c r="V180" s="28"/>
      <c r="W180" s="28"/>
      <c r="X180" s="28"/>
      <c r="Y180" s="28"/>
      <c r="Z180" s="28"/>
      <c r="AA180" s="28"/>
    </row>
    <row r="181" ht="18.75" customHeight="1">
      <c r="A181" s="28"/>
      <c r="B181" s="28"/>
      <c r="C181" s="28"/>
      <c r="D181" s="28"/>
      <c r="E181" s="28"/>
      <c r="F181" s="28"/>
      <c r="G181" s="28"/>
      <c r="H181" s="28"/>
      <c r="I181" s="28"/>
      <c r="J181" s="28"/>
      <c r="K181" s="28"/>
      <c r="L181" s="28"/>
      <c r="M181" s="33"/>
      <c r="N181" s="33"/>
      <c r="O181" s="33"/>
      <c r="P181" s="33"/>
      <c r="Q181" s="28"/>
      <c r="R181" s="28"/>
      <c r="S181" s="28"/>
      <c r="T181" s="28"/>
      <c r="U181" s="28"/>
      <c r="V181" s="28"/>
      <c r="W181" s="28"/>
      <c r="X181" s="28"/>
      <c r="Y181" s="28"/>
      <c r="Z181" s="28"/>
      <c r="AA181" s="28"/>
    </row>
    <row r="182" ht="18.75" customHeight="1">
      <c r="A182" s="28"/>
      <c r="B182" s="28"/>
      <c r="C182" s="28"/>
      <c r="D182" s="28"/>
      <c r="E182" s="28"/>
      <c r="F182" s="28"/>
      <c r="G182" s="28"/>
      <c r="H182" s="28"/>
      <c r="I182" s="28"/>
      <c r="J182" s="28"/>
      <c r="K182" s="28"/>
      <c r="L182" s="28"/>
      <c r="M182" s="33"/>
      <c r="N182" s="33"/>
      <c r="O182" s="33"/>
      <c r="P182" s="33"/>
      <c r="Q182" s="28"/>
      <c r="R182" s="28"/>
      <c r="S182" s="28"/>
      <c r="T182" s="28"/>
      <c r="U182" s="28"/>
      <c r="V182" s="28"/>
      <c r="W182" s="28"/>
      <c r="X182" s="28"/>
      <c r="Y182" s="28"/>
      <c r="Z182" s="28"/>
      <c r="AA182" s="28"/>
    </row>
    <row r="183" ht="18.75" customHeight="1">
      <c r="A183" s="28"/>
      <c r="B183" s="28"/>
      <c r="C183" s="28"/>
      <c r="D183" s="28"/>
      <c r="E183" s="28"/>
      <c r="F183" s="28"/>
      <c r="G183" s="28"/>
      <c r="H183" s="28"/>
      <c r="I183" s="28"/>
      <c r="J183" s="28"/>
      <c r="K183" s="28"/>
      <c r="L183" s="28"/>
      <c r="M183" s="33"/>
      <c r="N183" s="33"/>
      <c r="O183" s="33"/>
      <c r="P183" s="33"/>
      <c r="Q183" s="28"/>
      <c r="R183" s="28"/>
      <c r="S183" s="28"/>
      <c r="T183" s="28"/>
      <c r="U183" s="28"/>
      <c r="V183" s="28"/>
      <c r="W183" s="28"/>
      <c r="X183" s="28"/>
      <c r="Y183" s="28"/>
      <c r="Z183" s="28"/>
      <c r="AA183" s="28"/>
    </row>
    <row r="184" ht="18.75" customHeight="1">
      <c r="A184" s="28"/>
      <c r="B184" s="28"/>
      <c r="C184" s="28"/>
      <c r="D184" s="28"/>
      <c r="E184" s="28"/>
      <c r="F184" s="28"/>
      <c r="G184" s="28"/>
      <c r="H184" s="28"/>
      <c r="I184" s="28"/>
      <c r="J184" s="28"/>
      <c r="K184" s="28"/>
      <c r="L184" s="28"/>
      <c r="M184" s="33"/>
      <c r="N184" s="33"/>
      <c r="O184" s="33"/>
      <c r="P184" s="33"/>
      <c r="Q184" s="28"/>
      <c r="R184" s="28"/>
      <c r="S184" s="28"/>
      <c r="T184" s="28"/>
      <c r="U184" s="28"/>
      <c r="V184" s="28"/>
      <c r="W184" s="28"/>
      <c r="X184" s="28"/>
      <c r="Y184" s="28"/>
      <c r="Z184" s="28"/>
      <c r="AA184" s="28"/>
    </row>
    <row r="185" ht="18.75" customHeight="1">
      <c r="A185" s="28"/>
      <c r="B185" s="28"/>
      <c r="C185" s="28"/>
      <c r="D185" s="28"/>
      <c r="E185" s="28"/>
      <c r="F185" s="28"/>
      <c r="G185" s="28"/>
      <c r="H185" s="28"/>
      <c r="I185" s="28"/>
      <c r="J185" s="28"/>
      <c r="K185" s="28"/>
      <c r="L185" s="28"/>
      <c r="M185" s="33"/>
      <c r="N185" s="33"/>
      <c r="O185" s="33"/>
      <c r="P185" s="33"/>
      <c r="Q185" s="28"/>
      <c r="R185" s="28"/>
      <c r="S185" s="28"/>
      <c r="T185" s="28"/>
      <c r="U185" s="28"/>
      <c r="V185" s="28"/>
      <c r="W185" s="28"/>
      <c r="X185" s="28"/>
      <c r="Y185" s="28"/>
      <c r="Z185" s="28"/>
      <c r="AA185" s="28"/>
    </row>
    <row r="186" ht="18.75" customHeight="1">
      <c r="A186" s="28"/>
      <c r="B186" s="28"/>
      <c r="C186" s="28"/>
      <c r="D186" s="28"/>
      <c r="E186" s="28"/>
      <c r="F186" s="28"/>
      <c r="G186" s="28"/>
      <c r="H186" s="28"/>
      <c r="I186" s="28"/>
      <c r="J186" s="28"/>
      <c r="K186" s="28"/>
      <c r="L186" s="28"/>
      <c r="M186" s="33"/>
      <c r="N186" s="33"/>
      <c r="O186" s="33"/>
      <c r="P186" s="33"/>
      <c r="Q186" s="28"/>
      <c r="R186" s="28"/>
      <c r="S186" s="28"/>
      <c r="T186" s="28"/>
      <c r="U186" s="28"/>
      <c r="V186" s="28"/>
      <c r="W186" s="28"/>
      <c r="X186" s="28"/>
      <c r="Y186" s="28"/>
      <c r="Z186" s="28"/>
      <c r="AA186" s="28"/>
    </row>
    <row r="187" ht="18.75" customHeight="1">
      <c r="A187" s="28"/>
      <c r="B187" s="28"/>
      <c r="C187" s="28"/>
      <c r="D187" s="28"/>
      <c r="E187" s="28"/>
      <c r="F187" s="28"/>
      <c r="G187" s="28"/>
      <c r="H187" s="28"/>
      <c r="I187" s="28"/>
      <c r="J187" s="28"/>
      <c r="K187" s="28"/>
      <c r="L187" s="28"/>
      <c r="M187" s="33"/>
      <c r="N187" s="33"/>
      <c r="O187" s="33"/>
      <c r="P187" s="33"/>
      <c r="Q187" s="28"/>
      <c r="R187" s="28"/>
      <c r="S187" s="28"/>
      <c r="T187" s="28"/>
      <c r="U187" s="28"/>
      <c r="V187" s="28"/>
      <c r="W187" s="28"/>
      <c r="X187" s="28"/>
      <c r="Y187" s="28"/>
      <c r="Z187" s="28"/>
      <c r="AA187" s="28"/>
    </row>
    <row r="188" ht="18.75" customHeight="1">
      <c r="A188" s="28"/>
      <c r="B188" s="28"/>
      <c r="C188" s="28"/>
      <c r="D188" s="28"/>
      <c r="E188" s="28"/>
      <c r="F188" s="28"/>
      <c r="G188" s="28"/>
      <c r="H188" s="28"/>
      <c r="I188" s="28"/>
      <c r="J188" s="28"/>
      <c r="K188" s="28"/>
      <c r="L188" s="28"/>
      <c r="M188" s="33"/>
      <c r="N188" s="33"/>
      <c r="O188" s="33"/>
      <c r="P188" s="33"/>
      <c r="Q188" s="28"/>
      <c r="R188" s="28"/>
      <c r="S188" s="28"/>
      <c r="T188" s="28"/>
      <c r="U188" s="28"/>
      <c r="V188" s="28"/>
      <c r="W188" s="28"/>
      <c r="X188" s="28"/>
      <c r="Y188" s="28"/>
      <c r="Z188" s="28"/>
      <c r="AA188" s="28"/>
    </row>
    <row r="189" ht="18.75" customHeight="1">
      <c r="A189" s="28"/>
      <c r="B189" s="28"/>
      <c r="C189" s="28"/>
      <c r="D189" s="28"/>
      <c r="E189" s="28"/>
      <c r="F189" s="28"/>
      <c r="G189" s="28"/>
      <c r="H189" s="28"/>
      <c r="I189" s="28"/>
      <c r="J189" s="28"/>
      <c r="K189" s="28"/>
      <c r="L189" s="28"/>
      <c r="M189" s="33"/>
      <c r="N189" s="33"/>
      <c r="O189" s="33"/>
      <c r="P189" s="33"/>
      <c r="Q189" s="28"/>
      <c r="R189" s="28"/>
      <c r="S189" s="28"/>
      <c r="T189" s="28"/>
      <c r="U189" s="28"/>
      <c r="V189" s="28"/>
      <c r="W189" s="28"/>
      <c r="X189" s="28"/>
      <c r="Y189" s="28"/>
      <c r="Z189" s="28"/>
      <c r="AA189" s="28"/>
    </row>
    <row r="190" ht="18.75" customHeight="1">
      <c r="A190" s="28"/>
      <c r="B190" s="28"/>
      <c r="C190" s="28"/>
      <c r="D190" s="28"/>
      <c r="E190" s="28"/>
      <c r="F190" s="28"/>
      <c r="G190" s="28"/>
      <c r="H190" s="28"/>
      <c r="I190" s="28"/>
      <c r="J190" s="28"/>
      <c r="K190" s="28"/>
      <c r="L190" s="28"/>
      <c r="M190" s="33"/>
      <c r="N190" s="33"/>
      <c r="O190" s="33"/>
      <c r="P190" s="33"/>
      <c r="Q190" s="28"/>
      <c r="R190" s="28"/>
      <c r="S190" s="28"/>
      <c r="T190" s="28"/>
      <c r="U190" s="28"/>
      <c r="V190" s="28"/>
      <c r="W190" s="28"/>
      <c r="X190" s="28"/>
      <c r="Y190" s="28"/>
      <c r="Z190" s="28"/>
      <c r="AA190" s="28"/>
    </row>
    <row r="191" ht="18.75" customHeight="1">
      <c r="A191" s="28"/>
      <c r="B191" s="28"/>
      <c r="C191" s="28"/>
      <c r="D191" s="28"/>
      <c r="E191" s="28"/>
      <c r="F191" s="28"/>
      <c r="G191" s="28"/>
      <c r="H191" s="28"/>
      <c r="I191" s="28"/>
      <c r="J191" s="28"/>
      <c r="K191" s="28"/>
      <c r="L191" s="28"/>
      <c r="M191" s="33"/>
      <c r="N191" s="33"/>
      <c r="O191" s="33"/>
      <c r="P191" s="33"/>
      <c r="Q191" s="28"/>
      <c r="R191" s="28"/>
      <c r="S191" s="28"/>
      <c r="T191" s="28"/>
      <c r="U191" s="28"/>
      <c r="V191" s="28"/>
      <c r="W191" s="28"/>
      <c r="X191" s="28"/>
      <c r="Y191" s="28"/>
      <c r="Z191" s="28"/>
      <c r="AA191" s="28"/>
    </row>
    <row r="192" ht="18.75" customHeight="1">
      <c r="A192" s="28"/>
      <c r="B192" s="28"/>
      <c r="C192" s="28"/>
      <c r="D192" s="28"/>
      <c r="E192" s="28"/>
      <c r="F192" s="28"/>
      <c r="G192" s="28"/>
      <c r="H192" s="28"/>
      <c r="I192" s="28"/>
      <c r="J192" s="28"/>
      <c r="K192" s="28"/>
      <c r="L192" s="28"/>
      <c r="M192" s="33"/>
      <c r="N192" s="33"/>
      <c r="O192" s="33"/>
      <c r="P192" s="33"/>
      <c r="Q192" s="28"/>
      <c r="R192" s="28"/>
      <c r="S192" s="28"/>
      <c r="T192" s="28"/>
      <c r="U192" s="28"/>
      <c r="V192" s="28"/>
      <c r="W192" s="28"/>
      <c r="X192" s="28"/>
      <c r="Y192" s="28"/>
      <c r="Z192" s="28"/>
      <c r="AA192" s="28"/>
    </row>
    <row r="193" ht="18.75" customHeight="1">
      <c r="A193" s="28"/>
      <c r="B193" s="28"/>
      <c r="C193" s="28"/>
      <c r="D193" s="28"/>
      <c r="E193" s="28"/>
      <c r="F193" s="28"/>
      <c r="G193" s="28"/>
      <c r="H193" s="28"/>
      <c r="I193" s="28"/>
      <c r="J193" s="28"/>
      <c r="K193" s="28"/>
      <c r="L193" s="28"/>
      <c r="M193" s="33"/>
      <c r="N193" s="33"/>
      <c r="O193" s="33"/>
      <c r="P193" s="33"/>
      <c r="Q193" s="28"/>
      <c r="R193" s="28"/>
      <c r="S193" s="28"/>
      <c r="T193" s="28"/>
      <c r="U193" s="28"/>
      <c r="V193" s="28"/>
      <c r="W193" s="28"/>
      <c r="X193" s="28"/>
      <c r="Y193" s="28"/>
      <c r="Z193" s="28"/>
      <c r="AA193" s="28"/>
    </row>
    <row r="194" ht="18.75" customHeight="1">
      <c r="A194" s="28"/>
      <c r="B194" s="28"/>
      <c r="C194" s="28"/>
      <c r="D194" s="28"/>
      <c r="E194" s="28"/>
      <c r="F194" s="28"/>
      <c r="G194" s="28"/>
      <c r="H194" s="28"/>
      <c r="I194" s="28"/>
      <c r="J194" s="28"/>
      <c r="K194" s="28"/>
      <c r="L194" s="28"/>
      <c r="M194" s="33"/>
      <c r="N194" s="33"/>
      <c r="O194" s="33"/>
      <c r="P194" s="33"/>
      <c r="Q194" s="28"/>
      <c r="R194" s="28"/>
      <c r="S194" s="28"/>
      <c r="T194" s="28"/>
      <c r="U194" s="28"/>
      <c r="V194" s="28"/>
      <c r="W194" s="28"/>
      <c r="X194" s="28"/>
      <c r="Y194" s="28"/>
      <c r="Z194" s="28"/>
      <c r="AA194" s="28"/>
    </row>
    <row r="195" ht="18.75" customHeight="1">
      <c r="A195" s="28"/>
      <c r="B195" s="28"/>
      <c r="C195" s="28"/>
      <c r="D195" s="28"/>
      <c r="E195" s="28"/>
      <c r="F195" s="28"/>
      <c r="G195" s="28"/>
      <c r="H195" s="28"/>
      <c r="I195" s="28"/>
      <c r="J195" s="28"/>
      <c r="K195" s="28"/>
      <c r="L195" s="28"/>
      <c r="M195" s="33"/>
      <c r="N195" s="33"/>
      <c r="O195" s="33"/>
      <c r="P195" s="33"/>
      <c r="Q195" s="28"/>
      <c r="R195" s="28"/>
      <c r="S195" s="28"/>
      <c r="T195" s="28"/>
      <c r="U195" s="28"/>
      <c r="V195" s="28"/>
      <c r="W195" s="28"/>
      <c r="X195" s="28"/>
      <c r="Y195" s="28"/>
      <c r="Z195" s="28"/>
      <c r="AA195" s="28"/>
    </row>
    <row r="196" ht="18.75" customHeight="1">
      <c r="A196" s="28"/>
      <c r="B196" s="28"/>
      <c r="C196" s="28"/>
      <c r="D196" s="28"/>
      <c r="E196" s="28"/>
      <c r="F196" s="28"/>
      <c r="G196" s="28"/>
      <c r="H196" s="28"/>
      <c r="I196" s="28"/>
      <c r="J196" s="28"/>
      <c r="K196" s="28"/>
      <c r="L196" s="28"/>
      <c r="M196" s="33"/>
      <c r="N196" s="33"/>
      <c r="O196" s="33"/>
      <c r="P196" s="33"/>
      <c r="Q196" s="28"/>
      <c r="R196" s="28"/>
      <c r="S196" s="28"/>
      <c r="T196" s="28"/>
      <c r="U196" s="28"/>
      <c r="V196" s="28"/>
      <c r="W196" s="28"/>
      <c r="X196" s="28"/>
      <c r="Y196" s="28"/>
      <c r="Z196" s="28"/>
      <c r="AA196" s="28"/>
    </row>
    <row r="197" ht="18.75" customHeight="1">
      <c r="A197" s="28"/>
      <c r="B197" s="28"/>
      <c r="C197" s="28"/>
      <c r="D197" s="28"/>
      <c r="E197" s="28"/>
      <c r="F197" s="28"/>
      <c r="G197" s="28"/>
      <c r="H197" s="28"/>
      <c r="I197" s="28"/>
      <c r="J197" s="28"/>
      <c r="K197" s="28"/>
      <c r="L197" s="28"/>
      <c r="M197" s="33"/>
      <c r="N197" s="33"/>
      <c r="O197" s="33"/>
      <c r="P197" s="33"/>
      <c r="Q197" s="28"/>
      <c r="R197" s="28"/>
      <c r="S197" s="28"/>
      <c r="T197" s="28"/>
      <c r="U197" s="28"/>
      <c r="V197" s="28"/>
      <c r="W197" s="28"/>
      <c r="X197" s="28"/>
      <c r="Y197" s="28"/>
      <c r="Z197" s="28"/>
      <c r="AA197" s="28"/>
    </row>
    <row r="198" ht="18.75" customHeight="1">
      <c r="A198" s="28"/>
      <c r="B198" s="28"/>
      <c r="C198" s="28"/>
      <c r="D198" s="28"/>
      <c r="E198" s="28"/>
      <c r="F198" s="28"/>
      <c r="G198" s="28"/>
      <c r="H198" s="28"/>
      <c r="I198" s="28"/>
      <c r="J198" s="28"/>
      <c r="K198" s="28"/>
      <c r="L198" s="28"/>
      <c r="M198" s="33"/>
      <c r="N198" s="33"/>
      <c r="O198" s="33"/>
      <c r="P198" s="33"/>
      <c r="Q198" s="28"/>
      <c r="R198" s="28"/>
      <c r="S198" s="28"/>
      <c r="T198" s="28"/>
      <c r="U198" s="28"/>
      <c r="V198" s="28"/>
      <c r="W198" s="28"/>
      <c r="X198" s="28"/>
      <c r="Y198" s="28"/>
      <c r="Z198" s="28"/>
      <c r="AA198" s="28"/>
    </row>
    <row r="199" ht="18.75" customHeight="1">
      <c r="A199" s="28"/>
      <c r="B199" s="28"/>
      <c r="C199" s="28"/>
      <c r="D199" s="28"/>
      <c r="E199" s="28"/>
      <c r="F199" s="28"/>
      <c r="G199" s="28"/>
      <c r="H199" s="28"/>
      <c r="I199" s="28"/>
      <c r="J199" s="28"/>
      <c r="K199" s="28"/>
      <c r="L199" s="28"/>
      <c r="M199" s="33"/>
      <c r="N199" s="33"/>
      <c r="O199" s="33"/>
      <c r="P199" s="33"/>
      <c r="Q199" s="28"/>
      <c r="R199" s="28"/>
      <c r="S199" s="28"/>
      <c r="T199" s="28"/>
      <c r="U199" s="28"/>
      <c r="V199" s="28"/>
      <c r="W199" s="28"/>
      <c r="X199" s="28"/>
      <c r="Y199" s="28"/>
      <c r="Z199" s="28"/>
      <c r="AA199" s="28"/>
    </row>
    <row r="200" ht="18.75" customHeight="1">
      <c r="A200" s="28"/>
      <c r="B200" s="28"/>
      <c r="C200" s="28"/>
      <c r="D200" s="28"/>
      <c r="E200" s="28"/>
      <c r="F200" s="28"/>
      <c r="G200" s="28"/>
      <c r="H200" s="28"/>
      <c r="I200" s="28"/>
      <c r="J200" s="28"/>
      <c r="K200" s="28"/>
      <c r="L200" s="28"/>
      <c r="M200" s="33"/>
      <c r="N200" s="33"/>
      <c r="O200" s="33"/>
      <c r="P200" s="33"/>
      <c r="Q200" s="28"/>
      <c r="R200" s="28"/>
      <c r="S200" s="28"/>
      <c r="T200" s="28"/>
      <c r="U200" s="28"/>
      <c r="V200" s="28"/>
      <c r="W200" s="28"/>
      <c r="X200" s="28"/>
      <c r="Y200" s="28"/>
      <c r="Z200" s="28"/>
      <c r="AA200" s="28"/>
    </row>
    <row r="201" ht="18.75" customHeight="1">
      <c r="A201" s="28"/>
      <c r="B201" s="28"/>
      <c r="C201" s="28"/>
      <c r="D201" s="28"/>
      <c r="E201" s="28"/>
      <c r="F201" s="28"/>
      <c r="G201" s="28"/>
      <c r="H201" s="28"/>
      <c r="I201" s="28"/>
      <c r="J201" s="28"/>
      <c r="K201" s="28"/>
      <c r="L201" s="28"/>
      <c r="M201" s="33"/>
      <c r="N201" s="33"/>
      <c r="O201" s="33"/>
      <c r="P201" s="33"/>
      <c r="Q201" s="28"/>
      <c r="R201" s="28"/>
      <c r="S201" s="28"/>
      <c r="T201" s="28"/>
      <c r="U201" s="28"/>
      <c r="V201" s="28"/>
      <c r="W201" s="28"/>
      <c r="X201" s="28"/>
      <c r="Y201" s="28"/>
      <c r="Z201" s="28"/>
      <c r="AA201" s="28"/>
    </row>
    <row r="202" ht="18.75" customHeight="1">
      <c r="A202" s="28"/>
      <c r="B202" s="28"/>
      <c r="C202" s="28"/>
      <c r="D202" s="28"/>
      <c r="E202" s="28"/>
      <c r="F202" s="28"/>
      <c r="G202" s="28"/>
      <c r="H202" s="28"/>
      <c r="I202" s="28"/>
      <c r="J202" s="28"/>
      <c r="K202" s="28"/>
      <c r="L202" s="28"/>
      <c r="M202" s="33"/>
      <c r="N202" s="33"/>
      <c r="O202" s="33"/>
      <c r="P202" s="33"/>
      <c r="Q202" s="28"/>
      <c r="R202" s="28"/>
      <c r="S202" s="28"/>
      <c r="T202" s="28"/>
      <c r="U202" s="28"/>
      <c r="V202" s="28"/>
      <c r="W202" s="28"/>
      <c r="X202" s="28"/>
      <c r="Y202" s="28"/>
      <c r="Z202" s="28"/>
      <c r="AA202" s="28"/>
    </row>
    <row r="203" ht="18.75" customHeight="1">
      <c r="A203" s="28"/>
      <c r="B203" s="28"/>
      <c r="C203" s="28"/>
      <c r="D203" s="28"/>
      <c r="E203" s="28"/>
      <c r="F203" s="28"/>
      <c r="G203" s="28"/>
      <c r="H203" s="28"/>
      <c r="I203" s="28"/>
      <c r="J203" s="28"/>
      <c r="K203" s="28"/>
      <c r="L203" s="28"/>
      <c r="M203" s="33"/>
      <c r="N203" s="33"/>
      <c r="O203" s="33"/>
      <c r="P203" s="33"/>
      <c r="Q203" s="28"/>
      <c r="R203" s="28"/>
      <c r="S203" s="28"/>
      <c r="T203" s="28"/>
      <c r="U203" s="28"/>
      <c r="V203" s="28"/>
      <c r="W203" s="28"/>
      <c r="X203" s="28"/>
      <c r="Y203" s="28"/>
      <c r="Z203" s="28"/>
      <c r="AA203" s="28"/>
    </row>
    <row r="204" ht="18.75" customHeight="1">
      <c r="A204" s="28"/>
      <c r="B204" s="28"/>
      <c r="C204" s="28"/>
      <c r="D204" s="28"/>
      <c r="E204" s="28"/>
      <c r="F204" s="28"/>
      <c r="G204" s="28"/>
      <c r="H204" s="28"/>
      <c r="I204" s="28"/>
      <c r="J204" s="28"/>
      <c r="K204" s="28"/>
      <c r="L204" s="28"/>
      <c r="M204" s="33"/>
      <c r="N204" s="33"/>
      <c r="O204" s="33"/>
      <c r="P204" s="33"/>
      <c r="Q204" s="28"/>
      <c r="R204" s="28"/>
      <c r="S204" s="28"/>
      <c r="T204" s="28"/>
      <c r="U204" s="28"/>
      <c r="V204" s="28"/>
      <c r="W204" s="28"/>
      <c r="X204" s="28"/>
      <c r="Y204" s="28"/>
      <c r="Z204" s="28"/>
      <c r="AA204" s="28"/>
    </row>
    <row r="205" ht="18.75" customHeight="1">
      <c r="A205" s="28"/>
      <c r="B205" s="28"/>
      <c r="C205" s="28"/>
      <c r="D205" s="28"/>
      <c r="E205" s="28"/>
      <c r="F205" s="28"/>
      <c r="G205" s="28"/>
      <c r="H205" s="28"/>
      <c r="I205" s="28"/>
      <c r="J205" s="28"/>
      <c r="K205" s="28"/>
      <c r="L205" s="28"/>
      <c r="M205" s="33"/>
      <c r="N205" s="33"/>
      <c r="O205" s="33"/>
      <c r="P205" s="33"/>
      <c r="Q205" s="28"/>
      <c r="R205" s="28"/>
      <c r="S205" s="28"/>
      <c r="T205" s="28"/>
      <c r="U205" s="28"/>
      <c r="V205" s="28"/>
      <c r="W205" s="28"/>
      <c r="X205" s="28"/>
      <c r="Y205" s="28"/>
      <c r="Z205" s="28"/>
      <c r="AA205" s="28"/>
    </row>
    <row r="206" ht="18.75" customHeight="1">
      <c r="A206" s="28"/>
      <c r="B206" s="28"/>
      <c r="C206" s="28"/>
      <c r="D206" s="28"/>
      <c r="E206" s="28"/>
      <c r="F206" s="28"/>
      <c r="G206" s="28"/>
      <c r="H206" s="28"/>
      <c r="I206" s="28"/>
      <c r="J206" s="28"/>
      <c r="K206" s="28"/>
      <c r="L206" s="28"/>
      <c r="M206" s="33"/>
      <c r="N206" s="33"/>
      <c r="O206" s="33"/>
      <c r="P206" s="33"/>
      <c r="Q206" s="28"/>
      <c r="R206" s="28"/>
      <c r="S206" s="28"/>
      <c r="T206" s="28"/>
      <c r="U206" s="28"/>
      <c r="V206" s="28"/>
      <c r="W206" s="28"/>
      <c r="X206" s="28"/>
      <c r="Y206" s="28"/>
      <c r="Z206" s="28"/>
      <c r="AA206" s="28"/>
    </row>
    <row r="207" ht="18.75" customHeight="1">
      <c r="A207" s="28"/>
      <c r="B207" s="28"/>
      <c r="C207" s="28"/>
      <c r="D207" s="28"/>
      <c r="E207" s="28"/>
      <c r="F207" s="28"/>
      <c r="G207" s="28"/>
      <c r="H207" s="28"/>
      <c r="I207" s="28"/>
      <c r="J207" s="28"/>
      <c r="K207" s="28"/>
      <c r="L207" s="28"/>
      <c r="M207" s="33"/>
      <c r="N207" s="33"/>
      <c r="O207" s="33"/>
      <c r="P207" s="33"/>
      <c r="Q207" s="28"/>
      <c r="R207" s="28"/>
      <c r="S207" s="28"/>
      <c r="T207" s="28"/>
      <c r="U207" s="28"/>
      <c r="V207" s="28"/>
      <c r="W207" s="28"/>
      <c r="X207" s="28"/>
      <c r="Y207" s="28"/>
      <c r="Z207" s="28"/>
      <c r="AA207" s="28"/>
    </row>
    <row r="208" ht="18.75" customHeight="1">
      <c r="A208" s="28"/>
      <c r="B208" s="28"/>
      <c r="C208" s="28"/>
      <c r="D208" s="28"/>
      <c r="E208" s="28"/>
      <c r="F208" s="28"/>
      <c r="G208" s="28"/>
      <c r="H208" s="28"/>
      <c r="I208" s="28"/>
      <c r="J208" s="28"/>
      <c r="K208" s="28"/>
      <c r="L208" s="28"/>
      <c r="M208" s="33"/>
      <c r="N208" s="33"/>
      <c r="O208" s="33"/>
      <c r="P208" s="33"/>
      <c r="Q208" s="28"/>
      <c r="R208" s="28"/>
      <c r="S208" s="28"/>
      <c r="T208" s="28"/>
      <c r="U208" s="28"/>
      <c r="V208" s="28"/>
      <c r="W208" s="28"/>
      <c r="X208" s="28"/>
      <c r="Y208" s="28"/>
      <c r="Z208" s="28"/>
      <c r="AA208" s="28"/>
    </row>
    <row r="209" ht="18.75" customHeight="1">
      <c r="A209" s="28"/>
      <c r="B209" s="28"/>
      <c r="C209" s="28"/>
      <c r="D209" s="28"/>
      <c r="E209" s="28"/>
      <c r="F209" s="28"/>
      <c r="G209" s="28"/>
      <c r="H209" s="28"/>
      <c r="I209" s="28"/>
      <c r="J209" s="28"/>
      <c r="K209" s="28"/>
      <c r="L209" s="28"/>
      <c r="M209" s="33"/>
      <c r="N209" s="33"/>
      <c r="O209" s="33"/>
      <c r="P209" s="33"/>
      <c r="Q209" s="28"/>
      <c r="R209" s="28"/>
      <c r="S209" s="28"/>
      <c r="T209" s="28"/>
      <c r="U209" s="28"/>
      <c r="V209" s="28"/>
      <c r="W209" s="28"/>
      <c r="X209" s="28"/>
      <c r="Y209" s="28"/>
      <c r="Z209" s="28"/>
      <c r="AA209" s="28"/>
    </row>
    <row r="210" ht="18.75" customHeight="1">
      <c r="A210" s="28"/>
      <c r="B210" s="28"/>
      <c r="C210" s="28"/>
      <c r="D210" s="28"/>
      <c r="E210" s="28"/>
      <c r="F210" s="28"/>
      <c r="G210" s="28"/>
      <c r="H210" s="28"/>
      <c r="I210" s="28"/>
      <c r="J210" s="28"/>
      <c r="K210" s="28"/>
      <c r="L210" s="28"/>
      <c r="M210" s="33"/>
      <c r="N210" s="33"/>
      <c r="O210" s="33"/>
      <c r="P210" s="33"/>
      <c r="Q210" s="28"/>
      <c r="R210" s="28"/>
      <c r="S210" s="28"/>
      <c r="T210" s="28"/>
      <c r="U210" s="28"/>
      <c r="V210" s="28"/>
      <c r="W210" s="28"/>
      <c r="X210" s="28"/>
      <c r="Y210" s="28"/>
      <c r="Z210" s="28"/>
      <c r="AA210" s="28"/>
    </row>
    <row r="211" ht="18.75" customHeight="1">
      <c r="A211" s="28"/>
      <c r="B211" s="28"/>
      <c r="C211" s="28"/>
      <c r="D211" s="28"/>
      <c r="E211" s="28"/>
      <c r="F211" s="28"/>
      <c r="G211" s="28"/>
      <c r="H211" s="28"/>
      <c r="I211" s="28"/>
      <c r="J211" s="28"/>
      <c r="K211" s="28"/>
      <c r="L211" s="28"/>
      <c r="M211" s="33"/>
      <c r="N211" s="33"/>
      <c r="O211" s="33"/>
      <c r="P211" s="33"/>
      <c r="Q211" s="28"/>
      <c r="R211" s="28"/>
      <c r="S211" s="28"/>
      <c r="T211" s="28"/>
      <c r="U211" s="28"/>
      <c r="V211" s="28"/>
      <c r="W211" s="28"/>
      <c r="X211" s="28"/>
      <c r="Y211" s="28"/>
      <c r="Z211" s="28"/>
      <c r="AA211" s="28"/>
    </row>
    <row r="212" ht="18.75" customHeight="1">
      <c r="A212" s="28"/>
      <c r="B212" s="28"/>
      <c r="C212" s="28"/>
      <c r="D212" s="28"/>
      <c r="E212" s="28"/>
      <c r="F212" s="28"/>
      <c r="G212" s="28"/>
      <c r="H212" s="28"/>
      <c r="I212" s="28"/>
      <c r="J212" s="28"/>
      <c r="K212" s="28"/>
      <c r="L212" s="28"/>
      <c r="M212" s="33"/>
      <c r="N212" s="33"/>
      <c r="O212" s="33"/>
      <c r="P212" s="33"/>
      <c r="Q212" s="28"/>
      <c r="R212" s="28"/>
      <c r="S212" s="28"/>
      <c r="T212" s="28"/>
      <c r="U212" s="28"/>
      <c r="V212" s="28"/>
      <c r="W212" s="28"/>
      <c r="X212" s="28"/>
      <c r="Y212" s="28"/>
      <c r="Z212" s="28"/>
      <c r="AA212" s="28"/>
    </row>
    <row r="213" ht="18.75" customHeight="1">
      <c r="A213" s="28"/>
      <c r="B213" s="28"/>
      <c r="C213" s="28"/>
      <c r="D213" s="28"/>
      <c r="E213" s="28"/>
      <c r="F213" s="28"/>
      <c r="G213" s="28"/>
      <c r="H213" s="28"/>
      <c r="I213" s="28"/>
      <c r="J213" s="28"/>
      <c r="K213" s="28"/>
      <c r="L213" s="28"/>
      <c r="M213" s="33"/>
      <c r="N213" s="33"/>
      <c r="O213" s="33"/>
      <c r="P213" s="33"/>
      <c r="Q213" s="28"/>
      <c r="R213" s="28"/>
      <c r="S213" s="28"/>
      <c r="T213" s="28"/>
      <c r="U213" s="28"/>
      <c r="V213" s="28"/>
      <c r="W213" s="28"/>
      <c r="X213" s="28"/>
      <c r="Y213" s="28"/>
      <c r="Z213" s="28"/>
      <c r="AA213" s="28"/>
    </row>
    <row r="214" ht="18.75" customHeight="1">
      <c r="A214" s="28"/>
      <c r="B214" s="28"/>
      <c r="C214" s="28"/>
      <c r="D214" s="28"/>
      <c r="E214" s="28"/>
      <c r="F214" s="28"/>
      <c r="G214" s="28"/>
      <c r="H214" s="28"/>
      <c r="I214" s="28"/>
      <c r="J214" s="28"/>
      <c r="K214" s="28"/>
      <c r="L214" s="28"/>
      <c r="M214" s="33"/>
      <c r="N214" s="33"/>
      <c r="O214" s="33"/>
      <c r="P214" s="33"/>
      <c r="Q214" s="28"/>
      <c r="R214" s="28"/>
      <c r="S214" s="28"/>
      <c r="T214" s="28"/>
      <c r="U214" s="28"/>
      <c r="V214" s="28"/>
      <c r="W214" s="28"/>
      <c r="X214" s="28"/>
      <c r="Y214" s="28"/>
      <c r="Z214" s="28"/>
      <c r="AA214" s="28"/>
    </row>
    <row r="215" ht="18.75" customHeight="1">
      <c r="A215" s="28"/>
      <c r="B215" s="28"/>
      <c r="C215" s="28"/>
      <c r="D215" s="28"/>
      <c r="E215" s="28"/>
      <c r="F215" s="28"/>
      <c r="G215" s="28"/>
      <c r="H215" s="28"/>
      <c r="I215" s="28"/>
      <c r="J215" s="28"/>
      <c r="K215" s="28"/>
      <c r="L215" s="28"/>
      <c r="M215" s="33"/>
      <c r="N215" s="33"/>
      <c r="O215" s="33"/>
      <c r="P215" s="33"/>
      <c r="Q215" s="28"/>
      <c r="R215" s="28"/>
      <c r="S215" s="28"/>
      <c r="T215" s="28"/>
      <c r="U215" s="28"/>
      <c r="V215" s="28"/>
      <c r="W215" s="28"/>
      <c r="X215" s="28"/>
      <c r="Y215" s="28"/>
      <c r="Z215" s="28"/>
      <c r="AA215" s="28"/>
    </row>
    <row r="216" ht="18.75" customHeight="1">
      <c r="A216" s="28"/>
      <c r="B216" s="28"/>
      <c r="C216" s="28"/>
      <c r="D216" s="28"/>
      <c r="E216" s="28"/>
      <c r="F216" s="28"/>
      <c r="G216" s="28"/>
      <c r="H216" s="28"/>
      <c r="I216" s="28"/>
      <c r="J216" s="28"/>
      <c r="K216" s="28"/>
      <c r="L216" s="28"/>
      <c r="M216" s="33"/>
      <c r="N216" s="33"/>
      <c r="O216" s="33"/>
      <c r="P216" s="33"/>
      <c r="Q216" s="28"/>
      <c r="R216" s="28"/>
      <c r="S216" s="28"/>
      <c r="T216" s="28"/>
      <c r="U216" s="28"/>
      <c r="V216" s="28"/>
      <c r="W216" s="28"/>
      <c r="X216" s="28"/>
      <c r="Y216" s="28"/>
      <c r="Z216" s="28"/>
      <c r="AA216" s="28"/>
    </row>
    <row r="217" ht="18.75" customHeight="1">
      <c r="A217" s="28"/>
      <c r="B217" s="28"/>
      <c r="C217" s="28"/>
      <c r="D217" s="28"/>
      <c r="E217" s="28"/>
      <c r="F217" s="28"/>
      <c r="G217" s="28"/>
      <c r="H217" s="28"/>
      <c r="I217" s="28"/>
      <c r="J217" s="28"/>
      <c r="K217" s="28"/>
      <c r="L217" s="28"/>
      <c r="M217" s="33"/>
      <c r="N217" s="33"/>
      <c r="O217" s="33"/>
      <c r="P217" s="33"/>
      <c r="Q217" s="28"/>
      <c r="R217" s="28"/>
      <c r="S217" s="28"/>
      <c r="T217" s="28"/>
      <c r="U217" s="28"/>
      <c r="V217" s="28"/>
      <c r="W217" s="28"/>
      <c r="X217" s="28"/>
      <c r="Y217" s="28"/>
      <c r="Z217" s="28"/>
      <c r="AA217" s="28"/>
    </row>
    <row r="218" ht="18.75" customHeight="1">
      <c r="A218" s="28"/>
      <c r="B218" s="28"/>
      <c r="C218" s="28"/>
      <c r="D218" s="28"/>
      <c r="E218" s="28"/>
      <c r="F218" s="28"/>
      <c r="G218" s="28"/>
      <c r="H218" s="28"/>
      <c r="I218" s="28"/>
      <c r="J218" s="28"/>
      <c r="K218" s="28"/>
      <c r="L218" s="28"/>
      <c r="M218" s="33"/>
      <c r="N218" s="33"/>
      <c r="O218" s="33"/>
      <c r="P218" s="33"/>
      <c r="Q218" s="28"/>
      <c r="R218" s="28"/>
      <c r="S218" s="28"/>
      <c r="T218" s="28"/>
      <c r="U218" s="28"/>
      <c r="V218" s="28"/>
      <c r="W218" s="28"/>
      <c r="X218" s="28"/>
      <c r="Y218" s="28"/>
      <c r="Z218" s="28"/>
      <c r="AA218" s="28"/>
    </row>
    <row r="219" ht="18.75" customHeight="1">
      <c r="A219" s="28"/>
      <c r="B219" s="28"/>
      <c r="C219" s="28"/>
      <c r="D219" s="28"/>
      <c r="E219" s="28"/>
      <c r="F219" s="28"/>
      <c r="G219" s="28"/>
      <c r="H219" s="28"/>
      <c r="I219" s="28"/>
      <c r="J219" s="28"/>
      <c r="K219" s="28"/>
      <c r="L219" s="28"/>
      <c r="M219" s="33"/>
      <c r="N219" s="33"/>
      <c r="O219" s="33"/>
      <c r="P219" s="33"/>
      <c r="Q219" s="28"/>
      <c r="R219" s="28"/>
      <c r="S219" s="28"/>
      <c r="T219" s="28"/>
      <c r="U219" s="28"/>
      <c r="V219" s="28"/>
      <c r="W219" s="28"/>
      <c r="X219" s="28"/>
      <c r="Y219" s="28"/>
      <c r="Z219" s="28"/>
      <c r="AA219" s="28"/>
    </row>
    <row r="220" ht="18.75" customHeight="1">
      <c r="A220" s="28"/>
      <c r="B220" s="28"/>
      <c r="C220" s="28"/>
      <c r="D220" s="28"/>
      <c r="E220" s="28"/>
      <c r="F220" s="28"/>
      <c r="G220" s="28"/>
      <c r="H220" s="28"/>
      <c r="I220" s="28"/>
      <c r="J220" s="28"/>
      <c r="K220" s="28"/>
      <c r="L220" s="28"/>
      <c r="M220" s="33"/>
      <c r="N220" s="33"/>
      <c r="O220" s="33"/>
      <c r="P220" s="33"/>
      <c r="Q220" s="28"/>
      <c r="R220" s="28"/>
      <c r="S220" s="28"/>
      <c r="T220" s="28"/>
      <c r="U220" s="28"/>
      <c r="V220" s="28"/>
      <c r="W220" s="28"/>
      <c r="X220" s="28"/>
      <c r="Y220" s="28"/>
      <c r="Z220" s="28"/>
      <c r="AA220" s="28"/>
    </row>
    <row r="221" ht="18.75" customHeight="1">
      <c r="A221" s="28"/>
      <c r="B221" s="28"/>
      <c r="C221" s="28"/>
      <c r="D221" s="28"/>
      <c r="E221" s="28"/>
      <c r="F221" s="28"/>
      <c r="G221" s="28"/>
      <c r="H221" s="28"/>
      <c r="I221" s="28"/>
      <c r="J221" s="28"/>
      <c r="K221" s="28"/>
      <c r="L221" s="28"/>
      <c r="M221" s="33"/>
      <c r="N221" s="33"/>
      <c r="O221" s="33"/>
      <c r="P221" s="33"/>
      <c r="Q221" s="28"/>
      <c r="R221" s="28"/>
      <c r="S221" s="28"/>
      <c r="T221" s="28"/>
      <c r="U221" s="28"/>
      <c r="V221" s="28"/>
      <c r="W221" s="28"/>
      <c r="X221" s="28"/>
      <c r="Y221" s="28"/>
      <c r="Z221" s="28"/>
      <c r="AA221" s="28"/>
    </row>
    <row r="222" ht="18.75" customHeight="1">
      <c r="A222" s="28"/>
      <c r="B222" s="28"/>
      <c r="C222" s="28"/>
      <c r="D222" s="28"/>
      <c r="E222" s="28"/>
      <c r="F222" s="28"/>
      <c r="G222" s="28"/>
      <c r="H222" s="28"/>
      <c r="I222" s="28"/>
      <c r="J222" s="28"/>
      <c r="K222" s="28"/>
      <c r="L222" s="28"/>
      <c r="M222" s="33"/>
      <c r="N222" s="33"/>
      <c r="O222" s="33"/>
      <c r="P222" s="33"/>
      <c r="Q222" s="28"/>
      <c r="R222" s="28"/>
      <c r="S222" s="28"/>
      <c r="T222" s="28"/>
      <c r="U222" s="28"/>
      <c r="V222" s="28"/>
      <c r="W222" s="28"/>
      <c r="X222" s="28"/>
      <c r="Y222" s="28"/>
      <c r="Z222" s="28"/>
      <c r="AA222" s="28"/>
    </row>
    <row r="223" ht="18.75" customHeight="1">
      <c r="A223" s="28"/>
      <c r="B223" s="28"/>
      <c r="C223" s="28"/>
      <c r="D223" s="28"/>
      <c r="E223" s="28"/>
      <c r="F223" s="28"/>
      <c r="G223" s="28"/>
      <c r="H223" s="28"/>
      <c r="I223" s="28"/>
      <c r="J223" s="28"/>
      <c r="K223" s="28"/>
      <c r="L223" s="28"/>
      <c r="M223" s="33"/>
      <c r="N223" s="33"/>
      <c r="O223" s="33"/>
      <c r="P223" s="33"/>
      <c r="Q223" s="28"/>
      <c r="R223" s="28"/>
      <c r="S223" s="28"/>
      <c r="T223" s="28"/>
      <c r="U223" s="28"/>
      <c r="V223" s="28"/>
      <c r="W223" s="28"/>
      <c r="X223" s="28"/>
      <c r="Y223" s="28"/>
      <c r="Z223" s="28"/>
      <c r="AA223" s="28"/>
    </row>
    <row r="224" ht="18.75" customHeight="1">
      <c r="A224" s="28"/>
      <c r="B224" s="28"/>
      <c r="C224" s="28"/>
      <c r="D224" s="28"/>
      <c r="E224" s="28"/>
      <c r="F224" s="28"/>
      <c r="G224" s="28"/>
      <c r="H224" s="28"/>
      <c r="I224" s="28"/>
      <c r="J224" s="28"/>
      <c r="K224" s="28"/>
      <c r="L224" s="28"/>
      <c r="M224" s="33"/>
      <c r="N224" s="33"/>
      <c r="O224" s="33"/>
      <c r="P224" s="33"/>
      <c r="Q224" s="28"/>
      <c r="R224" s="28"/>
      <c r="S224" s="28"/>
      <c r="T224" s="28"/>
      <c r="U224" s="28"/>
      <c r="V224" s="28"/>
      <c r="W224" s="28"/>
      <c r="X224" s="28"/>
      <c r="Y224" s="28"/>
      <c r="Z224" s="28"/>
      <c r="AA224" s="28"/>
    </row>
    <row r="225" ht="18.75" customHeight="1">
      <c r="A225" s="28"/>
      <c r="B225" s="28"/>
      <c r="C225" s="28"/>
      <c r="D225" s="28"/>
      <c r="E225" s="28"/>
      <c r="F225" s="28"/>
      <c r="G225" s="28"/>
      <c r="H225" s="28"/>
      <c r="I225" s="28"/>
      <c r="J225" s="28"/>
      <c r="K225" s="28"/>
      <c r="L225" s="28"/>
      <c r="M225" s="33"/>
      <c r="N225" s="33"/>
      <c r="O225" s="33"/>
      <c r="P225" s="33"/>
      <c r="Q225" s="28"/>
      <c r="R225" s="28"/>
      <c r="S225" s="28"/>
      <c r="T225" s="28"/>
      <c r="U225" s="28"/>
      <c r="V225" s="28"/>
      <c r="W225" s="28"/>
      <c r="X225" s="28"/>
      <c r="Y225" s="28"/>
      <c r="Z225" s="28"/>
      <c r="AA225" s="28"/>
    </row>
    <row r="226" ht="18.75" customHeight="1">
      <c r="A226" s="28"/>
      <c r="B226" s="28"/>
      <c r="C226" s="28"/>
      <c r="D226" s="28"/>
      <c r="E226" s="28"/>
      <c r="F226" s="28"/>
      <c r="G226" s="28"/>
      <c r="H226" s="28"/>
      <c r="I226" s="28"/>
      <c r="J226" s="28"/>
      <c r="K226" s="28"/>
      <c r="L226" s="28"/>
      <c r="M226" s="33"/>
      <c r="N226" s="33"/>
      <c r="O226" s="33"/>
      <c r="P226" s="33"/>
      <c r="Q226" s="28"/>
      <c r="R226" s="28"/>
      <c r="S226" s="28"/>
      <c r="T226" s="28"/>
      <c r="U226" s="28"/>
      <c r="V226" s="28"/>
      <c r="W226" s="28"/>
      <c r="X226" s="28"/>
      <c r="Y226" s="28"/>
      <c r="Z226" s="28"/>
      <c r="AA226" s="28"/>
    </row>
    <row r="227" ht="18.75" customHeight="1">
      <c r="A227" s="28"/>
      <c r="B227" s="28"/>
      <c r="C227" s="28"/>
      <c r="D227" s="28"/>
      <c r="E227" s="28"/>
      <c r="F227" s="28"/>
      <c r="G227" s="28"/>
      <c r="H227" s="28"/>
      <c r="I227" s="28"/>
      <c r="J227" s="28"/>
      <c r="K227" s="28"/>
      <c r="L227" s="28"/>
      <c r="M227" s="33"/>
      <c r="N227" s="33"/>
      <c r="O227" s="33"/>
      <c r="P227" s="33"/>
      <c r="Q227" s="28"/>
      <c r="R227" s="28"/>
      <c r="S227" s="28"/>
      <c r="T227" s="28"/>
      <c r="U227" s="28"/>
      <c r="V227" s="28"/>
      <c r="W227" s="28"/>
      <c r="X227" s="28"/>
      <c r="Y227" s="28"/>
      <c r="Z227" s="28"/>
      <c r="AA227" s="28"/>
    </row>
    <row r="228" ht="18.75" customHeight="1">
      <c r="A228" s="28"/>
      <c r="B228" s="28"/>
      <c r="C228" s="28"/>
      <c r="D228" s="28"/>
      <c r="E228" s="28"/>
      <c r="F228" s="28"/>
      <c r="G228" s="28"/>
      <c r="H228" s="28"/>
      <c r="I228" s="28"/>
      <c r="J228" s="28"/>
      <c r="K228" s="28"/>
      <c r="L228" s="28"/>
      <c r="M228" s="33"/>
      <c r="N228" s="33"/>
      <c r="O228" s="33"/>
      <c r="P228" s="33"/>
      <c r="Q228" s="28"/>
      <c r="R228" s="28"/>
      <c r="S228" s="28"/>
      <c r="T228" s="28"/>
      <c r="U228" s="28"/>
      <c r="V228" s="28"/>
      <c r="W228" s="28"/>
      <c r="X228" s="28"/>
      <c r="Y228" s="28"/>
      <c r="Z228" s="28"/>
      <c r="AA228" s="28"/>
    </row>
    <row r="229" ht="18.75" customHeight="1">
      <c r="A229" s="28"/>
      <c r="B229" s="28"/>
      <c r="C229" s="28"/>
      <c r="D229" s="28"/>
      <c r="E229" s="28"/>
      <c r="F229" s="28"/>
      <c r="G229" s="28"/>
      <c r="H229" s="28"/>
      <c r="I229" s="28"/>
      <c r="J229" s="28"/>
      <c r="K229" s="28"/>
      <c r="L229" s="28"/>
      <c r="M229" s="33"/>
      <c r="N229" s="33"/>
      <c r="O229" s="33"/>
      <c r="P229" s="33"/>
      <c r="Q229" s="28"/>
      <c r="R229" s="28"/>
      <c r="S229" s="28"/>
      <c r="T229" s="28"/>
      <c r="U229" s="28"/>
      <c r="V229" s="28"/>
      <c r="W229" s="28"/>
      <c r="X229" s="28"/>
      <c r="Y229" s="28"/>
      <c r="Z229" s="28"/>
      <c r="AA229" s="28"/>
    </row>
    <row r="230" ht="18.75" customHeight="1">
      <c r="A230" s="28"/>
      <c r="B230" s="28"/>
      <c r="C230" s="28"/>
      <c r="D230" s="28"/>
      <c r="E230" s="28"/>
      <c r="F230" s="28"/>
      <c r="G230" s="28"/>
      <c r="H230" s="28"/>
      <c r="I230" s="28"/>
      <c r="J230" s="28"/>
      <c r="K230" s="28"/>
      <c r="L230" s="28"/>
      <c r="M230" s="33"/>
      <c r="N230" s="33"/>
      <c r="O230" s="33"/>
      <c r="P230" s="33"/>
      <c r="Q230" s="28"/>
      <c r="R230" s="28"/>
      <c r="S230" s="28"/>
      <c r="T230" s="28"/>
      <c r="U230" s="28"/>
      <c r="V230" s="28"/>
      <c r="W230" s="28"/>
      <c r="X230" s="28"/>
      <c r="Y230" s="28"/>
      <c r="Z230" s="28"/>
      <c r="AA230" s="28"/>
    </row>
    <row r="231" ht="18.75" customHeight="1">
      <c r="A231" s="28"/>
      <c r="B231" s="28"/>
      <c r="C231" s="28"/>
      <c r="D231" s="28"/>
      <c r="E231" s="28"/>
      <c r="F231" s="28"/>
      <c r="G231" s="28"/>
      <c r="H231" s="28"/>
      <c r="I231" s="28"/>
      <c r="J231" s="28"/>
      <c r="K231" s="28"/>
      <c r="L231" s="28"/>
      <c r="M231" s="33"/>
      <c r="N231" s="33"/>
      <c r="O231" s="33"/>
      <c r="P231" s="33"/>
      <c r="Q231" s="28"/>
      <c r="R231" s="28"/>
      <c r="S231" s="28"/>
      <c r="T231" s="28"/>
      <c r="U231" s="28"/>
      <c r="V231" s="28"/>
      <c r="W231" s="28"/>
      <c r="X231" s="28"/>
      <c r="Y231" s="28"/>
      <c r="Z231" s="28"/>
      <c r="AA231" s="28"/>
    </row>
    <row r="232" ht="18.75" customHeight="1">
      <c r="A232" s="28"/>
      <c r="B232" s="28"/>
      <c r="C232" s="28"/>
      <c r="D232" s="28"/>
      <c r="E232" s="28"/>
      <c r="F232" s="28"/>
      <c r="G232" s="28"/>
      <c r="H232" s="28"/>
      <c r="I232" s="28"/>
      <c r="J232" s="28"/>
      <c r="K232" s="28"/>
      <c r="L232" s="28"/>
      <c r="M232" s="33"/>
      <c r="N232" s="33"/>
      <c r="O232" s="33"/>
      <c r="P232" s="33"/>
      <c r="Q232" s="28"/>
      <c r="R232" s="28"/>
      <c r="S232" s="28"/>
      <c r="T232" s="28"/>
      <c r="U232" s="28"/>
      <c r="V232" s="28"/>
      <c r="W232" s="28"/>
      <c r="X232" s="28"/>
      <c r="Y232" s="28"/>
      <c r="Z232" s="28"/>
      <c r="AA232" s="28"/>
    </row>
    <row r="233" ht="18.75" customHeight="1">
      <c r="A233" s="28"/>
      <c r="B233" s="28"/>
      <c r="C233" s="28"/>
      <c r="D233" s="28"/>
      <c r="E233" s="28"/>
      <c r="F233" s="28"/>
      <c r="G233" s="28"/>
      <c r="H233" s="28"/>
      <c r="I233" s="28"/>
      <c r="J233" s="28"/>
      <c r="K233" s="28"/>
      <c r="L233" s="28"/>
      <c r="M233" s="33"/>
      <c r="N233" s="33"/>
      <c r="O233" s="33"/>
      <c r="P233" s="33"/>
      <c r="Q233" s="28"/>
      <c r="R233" s="28"/>
      <c r="S233" s="28"/>
      <c r="T233" s="28"/>
      <c r="U233" s="28"/>
      <c r="V233" s="28"/>
      <c r="W233" s="28"/>
      <c r="X233" s="28"/>
      <c r="Y233" s="28"/>
      <c r="Z233" s="28"/>
      <c r="AA233" s="28"/>
    </row>
    <row r="234" ht="18.75" customHeight="1">
      <c r="A234" s="28"/>
      <c r="B234" s="28"/>
      <c r="C234" s="28"/>
      <c r="D234" s="28"/>
      <c r="E234" s="28"/>
      <c r="F234" s="28"/>
      <c r="G234" s="28"/>
      <c r="H234" s="28"/>
      <c r="I234" s="28"/>
      <c r="J234" s="28"/>
      <c r="K234" s="28"/>
      <c r="L234" s="28"/>
      <c r="M234" s="33"/>
      <c r="N234" s="33"/>
      <c r="O234" s="33"/>
      <c r="P234" s="33"/>
      <c r="Q234" s="28"/>
      <c r="R234" s="28"/>
      <c r="S234" s="28"/>
      <c r="T234" s="28"/>
      <c r="U234" s="28"/>
      <c r="V234" s="28"/>
      <c r="W234" s="28"/>
      <c r="X234" s="28"/>
      <c r="Y234" s="28"/>
      <c r="Z234" s="28"/>
      <c r="AA234" s="28"/>
    </row>
    <row r="235" ht="18.75" customHeight="1">
      <c r="A235" s="28"/>
      <c r="B235" s="28"/>
      <c r="C235" s="28"/>
      <c r="D235" s="28"/>
      <c r="E235" s="28"/>
      <c r="F235" s="28"/>
      <c r="G235" s="28"/>
      <c r="H235" s="28"/>
      <c r="I235" s="28"/>
      <c r="J235" s="28"/>
      <c r="K235" s="28"/>
      <c r="L235" s="28"/>
      <c r="M235" s="33"/>
      <c r="N235" s="33"/>
      <c r="O235" s="33"/>
      <c r="P235" s="33"/>
      <c r="Q235" s="28"/>
      <c r="R235" s="28"/>
      <c r="S235" s="28"/>
      <c r="T235" s="28"/>
      <c r="U235" s="28"/>
      <c r="V235" s="28"/>
      <c r="W235" s="28"/>
      <c r="X235" s="28"/>
      <c r="Y235" s="28"/>
      <c r="Z235" s="28"/>
      <c r="AA235" s="28"/>
    </row>
    <row r="236" ht="18.75" customHeight="1">
      <c r="A236" s="28"/>
      <c r="B236" s="28"/>
      <c r="C236" s="28"/>
      <c r="D236" s="28"/>
      <c r="E236" s="28"/>
      <c r="F236" s="28"/>
      <c r="G236" s="28"/>
      <c r="H236" s="28"/>
      <c r="I236" s="28"/>
      <c r="J236" s="28"/>
      <c r="K236" s="28"/>
      <c r="L236" s="28"/>
      <c r="M236" s="33"/>
      <c r="N236" s="33"/>
      <c r="O236" s="33"/>
      <c r="P236" s="33"/>
      <c r="Q236" s="28"/>
      <c r="R236" s="28"/>
      <c r="S236" s="28"/>
      <c r="T236" s="28"/>
      <c r="U236" s="28"/>
      <c r="V236" s="28"/>
      <c r="W236" s="28"/>
      <c r="X236" s="28"/>
      <c r="Y236" s="28"/>
      <c r="Z236" s="28"/>
      <c r="AA236" s="28"/>
    </row>
    <row r="237" ht="18.75" customHeight="1">
      <c r="A237" s="28"/>
      <c r="B237" s="28"/>
      <c r="C237" s="28"/>
      <c r="D237" s="28"/>
      <c r="E237" s="28"/>
      <c r="F237" s="28"/>
      <c r="G237" s="28"/>
      <c r="H237" s="28"/>
      <c r="I237" s="28"/>
      <c r="J237" s="28"/>
      <c r="K237" s="28"/>
      <c r="L237" s="28"/>
      <c r="M237" s="33"/>
      <c r="N237" s="33"/>
      <c r="O237" s="33"/>
      <c r="P237" s="33"/>
      <c r="Q237" s="28"/>
      <c r="R237" s="28"/>
      <c r="S237" s="28"/>
      <c r="T237" s="28"/>
      <c r="U237" s="28"/>
      <c r="V237" s="28"/>
      <c r="W237" s="28"/>
      <c r="X237" s="28"/>
      <c r="Y237" s="28"/>
      <c r="Z237" s="28"/>
      <c r="AA237" s="28"/>
    </row>
    <row r="238" ht="18.75" customHeight="1">
      <c r="A238" s="28"/>
      <c r="B238" s="28"/>
      <c r="C238" s="28"/>
      <c r="D238" s="28"/>
      <c r="E238" s="28"/>
      <c r="F238" s="28"/>
      <c r="G238" s="28"/>
      <c r="H238" s="28"/>
      <c r="I238" s="28"/>
      <c r="J238" s="28"/>
      <c r="K238" s="28"/>
      <c r="L238" s="28"/>
      <c r="M238" s="33"/>
      <c r="N238" s="33"/>
      <c r="O238" s="33"/>
      <c r="P238" s="33"/>
      <c r="Q238" s="28"/>
      <c r="R238" s="28"/>
      <c r="S238" s="28"/>
      <c r="T238" s="28"/>
      <c r="U238" s="28"/>
      <c r="V238" s="28"/>
      <c r="W238" s="28"/>
      <c r="X238" s="28"/>
      <c r="Y238" s="28"/>
      <c r="Z238" s="28"/>
      <c r="AA238" s="28"/>
    </row>
    <row r="239" ht="18.75" customHeight="1">
      <c r="A239" s="28"/>
      <c r="B239" s="28"/>
      <c r="C239" s="28"/>
      <c r="D239" s="28"/>
      <c r="E239" s="28"/>
      <c r="F239" s="28"/>
      <c r="G239" s="28"/>
      <c r="H239" s="28"/>
      <c r="I239" s="28"/>
      <c r="J239" s="28"/>
      <c r="K239" s="28"/>
      <c r="L239" s="28"/>
      <c r="M239" s="33"/>
      <c r="N239" s="33"/>
      <c r="O239" s="33"/>
      <c r="P239" s="33"/>
      <c r="Q239" s="28"/>
      <c r="R239" s="28"/>
      <c r="S239" s="28"/>
      <c r="T239" s="28"/>
      <c r="U239" s="28"/>
      <c r="V239" s="28"/>
      <c r="W239" s="28"/>
      <c r="X239" s="28"/>
      <c r="Y239" s="28"/>
      <c r="Z239" s="28"/>
      <c r="AA239" s="28"/>
    </row>
    <row r="240" ht="18.75" customHeight="1">
      <c r="A240" s="28"/>
      <c r="B240" s="28"/>
      <c r="C240" s="28"/>
      <c r="D240" s="28"/>
      <c r="E240" s="28"/>
      <c r="F240" s="28"/>
      <c r="G240" s="28"/>
      <c r="H240" s="28"/>
      <c r="I240" s="28"/>
      <c r="J240" s="28"/>
      <c r="K240" s="28"/>
      <c r="L240" s="28"/>
      <c r="M240" s="33"/>
      <c r="N240" s="33"/>
      <c r="O240" s="33"/>
      <c r="P240" s="33"/>
      <c r="Q240" s="28"/>
      <c r="R240" s="28"/>
      <c r="S240" s="28"/>
      <c r="T240" s="28"/>
      <c r="U240" s="28"/>
      <c r="V240" s="28"/>
      <c r="W240" s="28"/>
      <c r="X240" s="28"/>
      <c r="Y240" s="28"/>
      <c r="Z240" s="28"/>
      <c r="AA240" s="28"/>
    </row>
    <row r="241" ht="18.75" customHeight="1">
      <c r="A241" s="28"/>
      <c r="B241" s="28"/>
      <c r="C241" s="28"/>
      <c r="D241" s="28"/>
      <c r="E241" s="28"/>
      <c r="F241" s="28"/>
      <c r="G241" s="28"/>
      <c r="H241" s="28"/>
      <c r="I241" s="28"/>
      <c r="J241" s="28"/>
      <c r="K241" s="28"/>
      <c r="L241" s="28"/>
      <c r="M241" s="33"/>
      <c r="N241" s="33"/>
      <c r="O241" s="33"/>
      <c r="P241" s="33"/>
      <c r="Q241" s="28"/>
      <c r="R241" s="28"/>
      <c r="S241" s="28"/>
      <c r="T241" s="28"/>
      <c r="U241" s="28"/>
      <c r="V241" s="28"/>
      <c r="W241" s="28"/>
      <c r="X241" s="28"/>
      <c r="Y241" s="28"/>
      <c r="Z241" s="28"/>
      <c r="AA241" s="28"/>
    </row>
    <row r="242" ht="18.75" customHeight="1">
      <c r="A242" s="28"/>
      <c r="B242" s="28"/>
      <c r="C242" s="28"/>
      <c r="D242" s="28"/>
      <c r="E242" s="28"/>
      <c r="F242" s="28"/>
      <c r="G242" s="28"/>
      <c r="H242" s="28"/>
      <c r="I242" s="28"/>
      <c r="J242" s="28"/>
      <c r="K242" s="28"/>
      <c r="L242" s="28"/>
      <c r="M242" s="33"/>
      <c r="N242" s="33"/>
      <c r="O242" s="33"/>
      <c r="P242" s="33"/>
      <c r="Q242" s="28"/>
      <c r="R242" s="28"/>
      <c r="S242" s="28"/>
      <c r="T242" s="28"/>
      <c r="U242" s="28"/>
      <c r="V242" s="28"/>
      <c r="W242" s="28"/>
      <c r="X242" s="28"/>
      <c r="Y242" s="28"/>
      <c r="Z242" s="28"/>
      <c r="AA242" s="28"/>
    </row>
    <row r="243" ht="18.75" customHeight="1">
      <c r="A243" s="28"/>
      <c r="B243" s="28"/>
      <c r="C243" s="28"/>
      <c r="D243" s="28"/>
      <c r="E243" s="28"/>
      <c r="F243" s="28"/>
      <c r="G243" s="28"/>
      <c r="H243" s="28"/>
      <c r="I243" s="28"/>
      <c r="J243" s="28"/>
      <c r="K243" s="28"/>
      <c r="L243" s="28"/>
      <c r="M243" s="33"/>
      <c r="N243" s="33"/>
      <c r="O243" s="33"/>
      <c r="P243" s="33"/>
      <c r="Q243" s="28"/>
      <c r="R243" s="28"/>
      <c r="S243" s="28"/>
      <c r="T243" s="28"/>
      <c r="U243" s="28"/>
      <c r="V243" s="28"/>
      <c r="W243" s="28"/>
      <c r="X243" s="28"/>
      <c r="Y243" s="28"/>
      <c r="Z243" s="28"/>
      <c r="AA243" s="28"/>
    </row>
    <row r="244" ht="18.75" customHeight="1">
      <c r="A244" s="28"/>
      <c r="B244" s="28"/>
      <c r="C244" s="28"/>
      <c r="D244" s="28"/>
      <c r="E244" s="28"/>
      <c r="F244" s="28"/>
      <c r="G244" s="28"/>
      <c r="H244" s="28"/>
      <c r="I244" s="28"/>
      <c r="J244" s="28"/>
      <c r="K244" s="28"/>
      <c r="L244" s="28"/>
      <c r="M244" s="33"/>
      <c r="N244" s="33"/>
      <c r="O244" s="33"/>
      <c r="P244" s="33"/>
      <c r="Q244" s="28"/>
      <c r="R244" s="28"/>
      <c r="S244" s="28"/>
      <c r="T244" s="28"/>
      <c r="U244" s="28"/>
      <c r="V244" s="28"/>
      <c r="W244" s="28"/>
      <c r="X244" s="28"/>
      <c r="Y244" s="28"/>
      <c r="Z244" s="28"/>
      <c r="AA244" s="28"/>
    </row>
    <row r="245" ht="18.75" customHeight="1">
      <c r="A245" s="28"/>
      <c r="B245" s="28"/>
      <c r="C245" s="28"/>
      <c r="D245" s="28"/>
      <c r="E245" s="28"/>
      <c r="F245" s="28"/>
      <c r="G245" s="28"/>
      <c r="H245" s="28"/>
      <c r="I245" s="28"/>
      <c r="J245" s="28"/>
      <c r="K245" s="28"/>
      <c r="L245" s="28"/>
      <c r="M245" s="33"/>
      <c r="N245" s="33"/>
      <c r="O245" s="33"/>
      <c r="P245" s="33"/>
      <c r="Q245" s="28"/>
      <c r="R245" s="28"/>
      <c r="S245" s="28"/>
      <c r="T245" s="28"/>
      <c r="U245" s="28"/>
      <c r="V245" s="28"/>
      <c r="W245" s="28"/>
      <c r="X245" s="28"/>
      <c r="Y245" s="28"/>
      <c r="Z245" s="28"/>
      <c r="AA245" s="28"/>
    </row>
    <row r="246" ht="18.75" customHeight="1">
      <c r="A246" s="28"/>
      <c r="B246" s="28"/>
      <c r="C246" s="28"/>
      <c r="D246" s="28"/>
      <c r="E246" s="28"/>
      <c r="F246" s="28"/>
      <c r="G246" s="28"/>
      <c r="H246" s="28"/>
      <c r="I246" s="28"/>
      <c r="J246" s="28"/>
      <c r="K246" s="28"/>
      <c r="L246" s="28"/>
      <c r="M246" s="33"/>
      <c r="N246" s="33"/>
      <c r="O246" s="33"/>
      <c r="P246" s="33"/>
      <c r="Q246" s="28"/>
      <c r="R246" s="28"/>
      <c r="S246" s="28"/>
      <c r="T246" s="28"/>
      <c r="U246" s="28"/>
      <c r="V246" s="28"/>
      <c r="W246" s="28"/>
      <c r="X246" s="28"/>
      <c r="Y246" s="28"/>
      <c r="Z246" s="28"/>
      <c r="AA246" s="28"/>
    </row>
    <row r="247" ht="18.75" customHeight="1">
      <c r="A247" s="28"/>
      <c r="B247" s="28"/>
      <c r="C247" s="28"/>
      <c r="D247" s="28"/>
      <c r="E247" s="28"/>
      <c r="F247" s="28"/>
      <c r="G247" s="28"/>
      <c r="H247" s="28"/>
      <c r="I247" s="28"/>
      <c r="J247" s="28"/>
      <c r="K247" s="28"/>
      <c r="L247" s="28"/>
      <c r="M247" s="33"/>
      <c r="N247" s="33"/>
      <c r="O247" s="33"/>
      <c r="P247" s="33"/>
      <c r="Q247" s="28"/>
      <c r="R247" s="28"/>
      <c r="S247" s="28"/>
      <c r="T247" s="28"/>
      <c r="U247" s="28"/>
      <c r="V247" s="28"/>
      <c r="W247" s="28"/>
      <c r="X247" s="28"/>
      <c r="Y247" s="28"/>
      <c r="Z247" s="28"/>
      <c r="AA247" s="28"/>
    </row>
    <row r="248" ht="18.75" customHeight="1">
      <c r="A248" s="28"/>
      <c r="B248" s="28"/>
      <c r="C248" s="28"/>
      <c r="D248" s="28"/>
      <c r="E248" s="28"/>
      <c r="F248" s="28"/>
      <c r="G248" s="28"/>
      <c r="H248" s="28"/>
      <c r="I248" s="28"/>
      <c r="J248" s="28"/>
      <c r="K248" s="28"/>
      <c r="L248" s="28"/>
      <c r="M248" s="33"/>
      <c r="N248" s="33"/>
      <c r="O248" s="33"/>
      <c r="P248" s="33"/>
      <c r="Q248" s="28"/>
      <c r="R248" s="28"/>
      <c r="S248" s="28"/>
      <c r="T248" s="28"/>
      <c r="U248" s="28"/>
      <c r="V248" s="28"/>
      <c r="W248" s="28"/>
      <c r="X248" s="28"/>
      <c r="Y248" s="28"/>
      <c r="Z248" s="28"/>
      <c r="AA248" s="28"/>
    </row>
    <row r="249" ht="18.75" customHeight="1">
      <c r="A249" s="28"/>
      <c r="B249" s="28"/>
      <c r="C249" s="28"/>
      <c r="D249" s="28"/>
      <c r="E249" s="28"/>
      <c r="F249" s="28"/>
      <c r="G249" s="28"/>
      <c r="H249" s="28"/>
      <c r="I249" s="28"/>
      <c r="J249" s="28"/>
      <c r="K249" s="28"/>
      <c r="L249" s="28"/>
      <c r="M249" s="33"/>
      <c r="N249" s="33"/>
      <c r="O249" s="33"/>
      <c r="P249" s="33"/>
      <c r="Q249" s="28"/>
      <c r="R249" s="28"/>
      <c r="S249" s="28"/>
      <c r="T249" s="28"/>
      <c r="U249" s="28"/>
      <c r="V249" s="28"/>
      <c r="W249" s="28"/>
      <c r="X249" s="28"/>
      <c r="Y249" s="28"/>
      <c r="Z249" s="28"/>
      <c r="AA249" s="28"/>
    </row>
    <row r="250" ht="18.75" customHeight="1">
      <c r="A250" s="28"/>
      <c r="B250" s="28"/>
      <c r="C250" s="28"/>
      <c r="D250" s="28"/>
      <c r="E250" s="28"/>
      <c r="F250" s="28"/>
      <c r="G250" s="28"/>
      <c r="H250" s="28"/>
      <c r="I250" s="28"/>
      <c r="J250" s="28"/>
      <c r="K250" s="28"/>
      <c r="L250" s="28"/>
      <c r="M250" s="33"/>
      <c r="N250" s="33"/>
      <c r="O250" s="33"/>
      <c r="P250" s="33"/>
      <c r="Q250" s="28"/>
      <c r="R250" s="28"/>
      <c r="S250" s="28"/>
      <c r="T250" s="28"/>
      <c r="U250" s="28"/>
      <c r="V250" s="28"/>
      <c r="W250" s="28"/>
      <c r="X250" s="28"/>
      <c r="Y250" s="28"/>
      <c r="Z250" s="28"/>
      <c r="AA250" s="28"/>
    </row>
    <row r="251" ht="18.75" customHeight="1">
      <c r="A251" s="28"/>
      <c r="B251" s="28"/>
      <c r="C251" s="28"/>
      <c r="D251" s="28"/>
      <c r="E251" s="28"/>
      <c r="F251" s="28"/>
      <c r="G251" s="28"/>
      <c r="H251" s="28"/>
      <c r="I251" s="28"/>
      <c r="J251" s="28"/>
      <c r="K251" s="28"/>
      <c r="L251" s="28"/>
      <c r="M251" s="33"/>
      <c r="N251" s="33"/>
      <c r="O251" s="33"/>
      <c r="P251" s="33"/>
      <c r="Q251" s="28"/>
      <c r="R251" s="28"/>
      <c r="S251" s="28"/>
      <c r="T251" s="28"/>
      <c r="U251" s="28"/>
      <c r="V251" s="28"/>
      <c r="W251" s="28"/>
      <c r="X251" s="28"/>
      <c r="Y251" s="28"/>
      <c r="Z251" s="28"/>
      <c r="AA251" s="28"/>
    </row>
    <row r="252" ht="18.75" customHeight="1">
      <c r="A252" s="28"/>
      <c r="B252" s="28"/>
      <c r="C252" s="28"/>
      <c r="D252" s="28"/>
      <c r="E252" s="28"/>
      <c r="F252" s="28"/>
      <c r="G252" s="28"/>
      <c r="H252" s="28"/>
      <c r="I252" s="28"/>
      <c r="J252" s="28"/>
      <c r="K252" s="28"/>
      <c r="L252" s="28"/>
      <c r="M252" s="33"/>
      <c r="N252" s="33"/>
      <c r="O252" s="33"/>
      <c r="P252" s="33"/>
      <c r="Q252" s="28"/>
      <c r="R252" s="28"/>
      <c r="S252" s="28"/>
      <c r="T252" s="28"/>
      <c r="U252" s="28"/>
      <c r="V252" s="28"/>
      <c r="W252" s="28"/>
      <c r="X252" s="28"/>
      <c r="Y252" s="28"/>
      <c r="Z252" s="28"/>
      <c r="AA252" s="28"/>
    </row>
    <row r="253" ht="18.75" customHeight="1">
      <c r="A253" s="28"/>
      <c r="B253" s="28"/>
      <c r="C253" s="28"/>
      <c r="D253" s="28"/>
      <c r="E253" s="28"/>
      <c r="F253" s="28"/>
      <c r="G253" s="28"/>
      <c r="H253" s="28"/>
      <c r="I253" s="28"/>
      <c r="J253" s="28"/>
      <c r="K253" s="28"/>
      <c r="L253" s="28"/>
      <c r="M253" s="33"/>
      <c r="N253" s="33"/>
      <c r="O253" s="33"/>
      <c r="P253" s="33"/>
      <c r="Q253" s="28"/>
      <c r="R253" s="28"/>
      <c r="S253" s="28"/>
      <c r="T253" s="28"/>
      <c r="U253" s="28"/>
      <c r="V253" s="28"/>
      <c r="W253" s="28"/>
      <c r="X253" s="28"/>
      <c r="Y253" s="28"/>
      <c r="Z253" s="28"/>
      <c r="AA253" s="28"/>
    </row>
    <row r="254" ht="18.75" customHeight="1">
      <c r="A254" s="28"/>
      <c r="B254" s="28"/>
      <c r="C254" s="28"/>
      <c r="D254" s="28"/>
      <c r="E254" s="28"/>
      <c r="F254" s="28"/>
      <c r="G254" s="28"/>
      <c r="H254" s="28"/>
      <c r="I254" s="28"/>
      <c r="J254" s="28"/>
      <c r="K254" s="28"/>
      <c r="L254" s="28"/>
      <c r="M254" s="33"/>
      <c r="N254" s="33"/>
      <c r="O254" s="33"/>
      <c r="P254" s="33"/>
      <c r="Q254" s="28"/>
      <c r="R254" s="28"/>
      <c r="S254" s="28"/>
      <c r="T254" s="28"/>
      <c r="U254" s="28"/>
      <c r="V254" s="28"/>
      <c r="W254" s="28"/>
      <c r="X254" s="28"/>
      <c r="Y254" s="28"/>
      <c r="Z254" s="28"/>
      <c r="AA254" s="28"/>
    </row>
    <row r="255" ht="18.75" customHeight="1">
      <c r="A255" s="28"/>
      <c r="B255" s="28"/>
      <c r="C255" s="28"/>
      <c r="D255" s="28"/>
      <c r="E255" s="28"/>
      <c r="F255" s="28"/>
      <c r="G255" s="28"/>
      <c r="H255" s="28"/>
      <c r="I255" s="28"/>
      <c r="J255" s="28"/>
      <c r="K255" s="28"/>
      <c r="L255" s="28"/>
      <c r="M255" s="33"/>
      <c r="N255" s="33"/>
      <c r="O255" s="33"/>
      <c r="P255" s="33"/>
      <c r="Q255" s="28"/>
      <c r="R255" s="28"/>
      <c r="S255" s="28"/>
      <c r="T255" s="28"/>
      <c r="U255" s="28"/>
      <c r="V255" s="28"/>
      <c r="W255" s="28"/>
      <c r="X255" s="28"/>
      <c r="Y255" s="28"/>
      <c r="Z255" s="28"/>
      <c r="AA255" s="28"/>
    </row>
    <row r="256" ht="18.75" customHeight="1">
      <c r="A256" s="28"/>
      <c r="B256" s="28"/>
      <c r="C256" s="28"/>
      <c r="D256" s="28"/>
      <c r="E256" s="28"/>
      <c r="F256" s="28"/>
      <c r="G256" s="28"/>
      <c r="H256" s="28"/>
      <c r="I256" s="28"/>
      <c r="J256" s="28"/>
      <c r="K256" s="28"/>
      <c r="L256" s="28"/>
      <c r="M256" s="33"/>
      <c r="N256" s="33"/>
      <c r="O256" s="33"/>
      <c r="P256" s="33"/>
      <c r="Q256" s="28"/>
      <c r="R256" s="28"/>
      <c r="S256" s="28"/>
      <c r="T256" s="28"/>
      <c r="U256" s="28"/>
      <c r="V256" s="28"/>
      <c r="W256" s="28"/>
      <c r="X256" s="28"/>
      <c r="Y256" s="28"/>
      <c r="Z256" s="28"/>
      <c r="AA256" s="28"/>
    </row>
    <row r="257" ht="18.75" customHeight="1">
      <c r="A257" s="28"/>
      <c r="B257" s="28"/>
      <c r="C257" s="28"/>
      <c r="D257" s="28"/>
      <c r="E257" s="28"/>
      <c r="F257" s="28"/>
      <c r="G257" s="28"/>
      <c r="H257" s="28"/>
      <c r="I257" s="28"/>
      <c r="J257" s="28"/>
      <c r="K257" s="28"/>
      <c r="L257" s="28"/>
      <c r="M257" s="33"/>
      <c r="N257" s="33"/>
      <c r="O257" s="33"/>
      <c r="P257" s="33"/>
      <c r="Q257" s="28"/>
      <c r="R257" s="28"/>
      <c r="S257" s="28"/>
      <c r="T257" s="28"/>
      <c r="U257" s="28"/>
      <c r="V257" s="28"/>
      <c r="W257" s="28"/>
      <c r="X257" s="28"/>
      <c r="Y257" s="28"/>
      <c r="Z257" s="28"/>
      <c r="AA257" s="28"/>
    </row>
    <row r="258" ht="18.75" customHeight="1">
      <c r="A258" s="28"/>
      <c r="B258" s="28"/>
      <c r="C258" s="28"/>
      <c r="D258" s="28"/>
      <c r="E258" s="28"/>
      <c r="F258" s="28"/>
      <c r="G258" s="28"/>
      <c r="H258" s="28"/>
      <c r="I258" s="28"/>
      <c r="J258" s="28"/>
      <c r="K258" s="28"/>
      <c r="L258" s="28"/>
      <c r="M258" s="33"/>
      <c r="N258" s="33"/>
      <c r="O258" s="33"/>
      <c r="P258" s="33"/>
      <c r="Q258" s="28"/>
      <c r="R258" s="28"/>
      <c r="S258" s="28"/>
      <c r="T258" s="28"/>
      <c r="U258" s="28"/>
      <c r="V258" s="28"/>
      <c r="W258" s="28"/>
      <c r="X258" s="28"/>
      <c r="Y258" s="28"/>
      <c r="Z258" s="28"/>
      <c r="AA258" s="28"/>
    </row>
    <row r="259" ht="18.75" customHeight="1">
      <c r="A259" s="28"/>
      <c r="B259" s="28"/>
      <c r="C259" s="28"/>
      <c r="D259" s="28"/>
      <c r="E259" s="28"/>
      <c r="F259" s="28"/>
      <c r="G259" s="28"/>
      <c r="H259" s="28"/>
      <c r="I259" s="28"/>
      <c r="J259" s="28"/>
      <c r="K259" s="28"/>
      <c r="L259" s="28"/>
      <c r="M259" s="33"/>
      <c r="N259" s="33"/>
      <c r="O259" s="33"/>
      <c r="P259" s="33"/>
      <c r="Q259" s="28"/>
      <c r="R259" s="28"/>
      <c r="S259" s="28"/>
      <c r="T259" s="28"/>
      <c r="U259" s="28"/>
      <c r="V259" s="28"/>
      <c r="W259" s="28"/>
      <c r="X259" s="28"/>
      <c r="Y259" s="28"/>
      <c r="Z259" s="28"/>
      <c r="AA259" s="28"/>
    </row>
    <row r="260" ht="18.75" customHeight="1">
      <c r="A260" s="28"/>
      <c r="B260" s="28"/>
      <c r="C260" s="28"/>
      <c r="D260" s="28"/>
      <c r="E260" s="28"/>
      <c r="F260" s="28"/>
      <c r="G260" s="28"/>
      <c r="H260" s="28"/>
      <c r="I260" s="28"/>
      <c r="J260" s="28"/>
      <c r="K260" s="28"/>
      <c r="L260" s="28"/>
      <c r="M260" s="33"/>
      <c r="N260" s="33"/>
      <c r="O260" s="33"/>
      <c r="P260" s="33"/>
      <c r="Q260" s="28"/>
      <c r="R260" s="28"/>
      <c r="S260" s="28"/>
      <c r="T260" s="28"/>
      <c r="U260" s="28"/>
      <c r="V260" s="28"/>
      <c r="W260" s="28"/>
      <c r="X260" s="28"/>
      <c r="Y260" s="28"/>
      <c r="Z260" s="28"/>
      <c r="AA260" s="28"/>
    </row>
    <row r="261" ht="18.75" customHeight="1">
      <c r="A261" s="28"/>
      <c r="B261" s="28"/>
      <c r="C261" s="28"/>
      <c r="D261" s="28"/>
      <c r="E261" s="28"/>
      <c r="F261" s="28"/>
      <c r="G261" s="28"/>
      <c r="H261" s="28"/>
      <c r="I261" s="28"/>
      <c r="J261" s="28"/>
      <c r="K261" s="28"/>
      <c r="L261" s="28"/>
      <c r="M261" s="33"/>
      <c r="N261" s="33"/>
      <c r="O261" s="33"/>
      <c r="P261" s="33"/>
      <c r="Q261" s="28"/>
      <c r="R261" s="28"/>
      <c r="S261" s="28"/>
      <c r="T261" s="28"/>
      <c r="U261" s="28"/>
      <c r="V261" s="28"/>
      <c r="W261" s="28"/>
      <c r="X261" s="28"/>
      <c r="Y261" s="28"/>
      <c r="Z261" s="28"/>
      <c r="AA261" s="28"/>
    </row>
    <row r="262" ht="18.75" customHeight="1">
      <c r="A262" s="28"/>
      <c r="B262" s="28"/>
      <c r="C262" s="28"/>
      <c r="D262" s="28"/>
      <c r="E262" s="28"/>
      <c r="F262" s="28"/>
      <c r="G262" s="28"/>
      <c r="H262" s="28"/>
      <c r="I262" s="28"/>
      <c r="J262" s="28"/>
      <c r="K262" s="28"/>
      <c r="L262" s="28"/>
      <c r="M262" s="33"/>
      <c r="N262" s="33"/>
      <c r="O262" s="33"/>
      <c r="P262" s="33"/>
      <c r="Q262" s="28"/>
      <c r="R262" s="28"/>
      <c r="S262" s="28"/>
      <c r="T262" s="28"/>
      <c r="U262" s="28"/>
      <c r="V262" s="28"/>
      <c r="W262" s="28"/>
      <c r="X262" s="28"/>
      <c r="Y262" s="28"/>
      <c r="Z262" s="28"/>
      <c r="AA262" s="28"/>
    </row>
    <row r="263" ht="18.75" customHeight="1">
      <c r="A263" s="28"/>
      <c r="B263" s="28"/>
      <c r="C263" s="28"/>
      <c r="D263" s="28"/>
      <c r="E263" s="28"/>
      <c r="F263" s="28"/>
      <c r="G263" s="28"/>
      <c r="H263" s="28"/>
      <c r="I263" s="28"/>
      <c r="J263" s="28"/>
      <c r="K263" s="28"/>
      <c r="L263" s="28"/>
      <c r="M263" s="33"/>
      <c r="N263" s="33"/>
      <c r="O263" s="33"/>
      <c r="P263" s="33"/>
      <c r="Q263" s="28"/>
      <c r="R263" s="28"/>
      <c r="S263" s="28"/>
      <c r="T263" s="28"/>
      <c r="U263" s="28"/>
      <c r="V263" s="28"/>
      <c r="W263" s="28"/>
      <c r="X263" s="28"/>
      <c r="Y263" s="28"/>
      <c r="Z263" s="28"/>
      <c r="AA263" s="28"/>
    </row>
    <row r="264" ht="18.75" customHeight="1">
      <c r="A264" s="28"/>
      <c r="B264" s="28"/>
      <c r="C264" s="28"/>
      <c r="D264" s="28"/>
      <c r="E264" s="28"/>
      <c r="F264" s="28"/>
      <c r="G264" s="28"/>
      <c r="H264" s="28"/>
      <c r="I264" s="28"/>
      <c r="J264" s="28"/>
      <c r="K264" s="28"/>
      <c r="L264" s="28"/>
      <c r="M264" s="33"/>
      <c r="N264" s="33"/>
      <c r="O264" s="33"/>
      <c r="P264" s="33"/>
      <c r="Q264" s="28"/>
      <c r="R264" s="28"/>
      <c r="S264" s="28"/>
      <c r="T264" s="28"/>
      <c r="U264" s="28"/>
      <c r="V264" s="28"/>
      <c r="W264" s="28"/>
      <c r="X264" s="28"/>
      <c r="Y264" s="28"/>
      <c r="Z264" s="28"/>
      <c r="AA264" s="28"/>
    </row>
    <row r="265" ht="18.75" customHeight="1">
      <c r="A265" s="28"/>
      <c r="B265" s="28"/>
      <c r="C265" s="28"/>
      <c r="D265" s="28"/>
      <c r="E265" s="28"/>
      <c r="F265" s="28"/>
      <c r="G265" s="28"/>
      <c r="H265" s="28"/>
      <c r="I265" s="28"/>
      <c r="J265" s="28"/>
      <c r="K265" s="28"/>
      <c r="L265" s="28"/>
      <c r="M265" s="33"/>
      <c r="N265" s="33"/>
      <c r="O265" s="33"/>
      <c r="P265" s="33"/>
      <c r="Q265" s="28"/>
      <c r="R265" s="28"/>
      <c r="S265" s="28"/>
      <c r="T265" s="28"/>
      <c r="U265" s="28"/>
      <c r="V265" s="28"/>
      <c r="W265" s="28"/>
      <c r="X265" s="28"/>
      <c r="Y265" s="28"/>
      <c r="Z265" s="28"/>
      <c r="AA265" s="28"/>
    </row>
    <row r="266" ht="18.75" customHeight="1">
      <c r="A266" s="28"/>
      <c r="B266" s="28"/>
      <c r="C266" s="28"/>
      <c r="D266" s="28"/>
      <c r="E266" s="28"/>
      <c r="F266" s="28"/>
      <c r="G266" s="28"/>
      <c r="H266" s="28"/>
      <c r="I266" s="28"/>
      <c r="J266" s="28"/>
      <c r="K266" s="28"/>
      <c r="L266" s="28"/>
      <c r="M266" s="33"/>
      <c r="N266" s="33"/>
      <c r="O266" s="33"/>
      <c r="P266" s="33"/>
      <c r="Q266" s="28"/>
      <c r="R266" s="28"/>
      <c r="S266" s="28"/>
      <c r="T266" s="28"/>
      <c r="U266" s="28"/>
      <c r="V266" s="28"/>
      <c r="W266" s="28"/>
      <c r="X266" s="28"/>
      <c r="Y266" s="28"/>
      <c r="Z266" s="28"/>
      <c r="AA266" s="28"/>
    </row>
    <row r="267" ht="18.75" customHeight="1">
      <c r="A267" s="28"/>
      <c r="B267" s="28"/>
      <c r="C267" s="28"/>
      <c r="D267" s="28"/>
      <c r="E267" s="28"/>
      <c r="F267" s="28"/>
      <c r="G267" s="28"/>
      <c r="H267" s="28"/>
      <c r="I267" s="28"/>
      <c r="J267" s="28"/>
      <c r="K267" s="28"/>
      <c r="L267" s="28"/>
      <c r="M267" s="33"/>
      <c r="N267" s="33"/>
      <c r="O267" s="33"/>
      <c r="P267" s="33"/>
      <c r="Q267" s="28"/>
      <c r="R267" s="28"/>
      <c r="S267" s="28"/>
      <c r="T267" s="28"/>
      <c r="U267" s="28"/>
      <c r="V267" s="28"/>
      <c r="W267" s="28"/>
      <c r="X267" s="28"/>
      <c r="Y267" s="28"/>
      <c r="Z267" s="28"/>
      <c r="AA267" s="28"/>
    </row>
    <row r="268" ht="18.75" customHeight="1">
      <c r="A268" s="28"/>
      <c r="B268" s="28"/>
      <c r="C268" s="28"/>
      <c r="D268" s="28"/>
      <c r="E268" s="28"/>
      <c r="F268" s="28"/>
      <c r="G268" s="28"/>
      <c r="H268" s="28"/>
      <c r="I268" s="28"/>
      <c r="J268" s="28"/>
      <c r="K268" s="28"/>
      <c r="L268" s="28"/>
      <c r="M268" s="33"/>
      <c r="N268" s="33"/>
      <c r="O268" s="33"/>
      <c r="P268" s="33"/>
      <c r="Q268" s="28"/>
      <c r="R268" s="28"/>
      <c r="S268" s="28"/>
      <c r="T268" s="28"/>
      <c r="U268" s="28"/>
      <c r="V268" s="28"/>
      <c r="W268" s="28"/>
      <c r="X268" s="28"/>
      <c r="Y268" s="28"/>
      <c r="Z268" s="28"/>
      <c r="AA268" s="28"/>
    </row>
    <row r="269" ht="18.75" customHeight="1">
      <c r="A269" s="28"/>
      <c r="B269" s="28"/>
      <c r="C269" s="28"/>
      <c r="D269" s="28"/>
      <c r="E269" s="28"/>
      <c r="F269" s="28"/>
      <c r="G269" s="28"/>
      <c r="H269" s="28"/>
      <c r="I269" s="28"/>
      <c r="J269" s="28"/>
      <c r="K269" s="28"/>
      <c r="L269" s="28"/>
      <c r="M269" s="33"/>
      <c r="N269" s="33"/>
      <c r="O269" s="33"/>
      <c r="P269" s="33"/>
      <c r="Q269" s="28"/>
      <c r="R269" s="28"/>
      <c r="S269" s="28"/>
      <c r="T269" s="28"/>
      <c r="U269" s="28"/>
      <c r="V269" s="28"/>
      <c r="W269" s="28"/>
      <c r="X269" s="28"/>
      <c r="Y269" s="28"/>
      <c r="Z269" s="28"/>
      <c r="AA269" s="28"/>
    </row>
    <row r="270" ht="18.75" customHeight="1">
      <c r="A270" s="28"/>
      <c r="B270" s="28"/>
      <c r="C270" s="28"/>
      <c r="D270" s="28"/>
      <c r="E270" s="28"/>
      <c r="F270" s="28"/>
      <c r="G270" s="28"/>
      <c r="H270" s="28"/>
      <c r="I270" s="28"/>
      <c r="J270" s="28"/>
      <c r="K270" s="28"/>
      <c r="L270" s="28"/>
      <c r="M270" s="33"/>
      <c r="N270" s="33"/>
      <c r="O270" s="33"/>
      <c r="P270" s="33"/>
      <c r="Q270" s="28"/>
      <c r="R270" s="28"/>
      <c r="S270" s="28"/>
      <c r="T270" s="28"/>
      <c r="U270" s="28"/>
      <c r="V270" s="28"/>
      <c r="W270" s="28"/>
      <c r="X270" s="28"/>
      <c r="Y270" s="28"/>
      <c r="Z270" s="28"/>
      <c r="AA270" s="28"/>
    </row>
    <row r="271" ht="18.75" customHeight="1">
      <c r="A271" s="28"/>
      <c r="B271" s="28"/>
      <c r="C271" s="28"/>
      <c r="D271" s="28"/>
      <c r="E271" s="28"/>
      <c r="F271" s="28"/>
      <c r="G271" s="28"/>
      <c r="H271" s="28"/>
      <c r="I271" s="28"/>
      <c r="J271" s="28"/>
      <c r="K271" s="28"/>
      <c r="L271" s="28"/>
      <c r="M271" s="33"/>
      <c r="N271" s="33"/>
      <c r="O271" s="33"/>
      <c r="P271" s="33"/>
      <c r="Q271" s="28"/>
      <c r="R271" s="28"/>
      <c r="S271" s="28"/>
      <c r="T271" s="28"/>
      <c r="U271" s="28"/>
      <c r="V271" s="28"/>
      <c r="W271" s="28"/>
      <c r="X271" s="28"/>
      <c r="Y271" s="28"/>
      <c r="Z271" s="28"/>
      <c r="AA271" s="28"/>
    </row>
    <row r="272" ht="18.75" customHeight="1">
      <c r="A272" s="28"/>
      <c r="B272" s="28"/>
      <c r="C272" s="28"/>
      <c r="D272" s="28"/>
      <c r="E272" s="28"/>
      <c r="F272" s="28"/>
      <c r="G272" s="28"/>
      <c r="H272" s="28"/>
      <c r="I272" s="28"/>
      <c r="J272" s="28"/>
      <c r="K272" s="28"/>
      <c r="L272" s="28"/>
      <c r="M272" s="33"/>
      <c r="N272" s="33"/>
      <c r="O272" s="33"/>
      <c r="P272" s="33"/>
      <c r="Q272" s="28"/>
      <c r="R272" s="28"/>
      <c r="S272" s="28"/>
      <c r="T272" s="28"/>
      <c r="U272" s="28"/>
      <c r="V272" s="28"/>
      <c r="W272" s="28"/>
      <c r="X272" s="28"/>
      <c r="Y272" s="28"/>
      <c r="Z272" s="28"/>
      <c r="AA272" s="28"/>
    </row>
    <row r="273" ht="18.75" customHeight="1">
      <c r="A273" s="28"/>
      <c r="B273" s="28"/>
      <c r="C273" s="28"/>
      <c r="D273" s="28"/>
      <c r="E273" s="28"/>
      <c r="F273" s="28"/>
      <c r="G273" s="28"/>
      <c r="H273" s="28"/>
      <c r="I273" s="28"/>
      <c r="J273" s="28"/>
      <c r="K273" s="28"/>
      <c r="L273" s="28"/>
      <c r="M273" s="33"/>
      <c r="N273" s="33"/>
      <c r="O273" s="33"/>
      <c r="P273" s="33"/>
      <c r="Q273" s="28"/>
      <c r="R273" s="28"/>
      <c r="S273" s="28"/>
      <c r="T273" s="28"/>
      <c r="U273" s="28"/>
      <c r="V273" s="28"/>
      <c r="W273" s="28"/>
      <c r="X273" s="28"/>
      <c r="Y273" s="28"/>
      <c r="Z273" s="28"/>
      <c r="AA273" s="28"/>
    </row>
    <row r="274" ht="18.75" customHeight="1">
      <c r="A274" s="28"/>
      <c r="B274" s="28"/>
      <c r="C274" s="28"/>
      <c r="D274" s="28"/>
      <c r="E274" s="28"/>
      <c r="F274" s="28"/>
      <c r="G274" s="28"/>
      <c r="H274" s="28"/>
      <c r="I274" s="28"/>
      <c r="J274" s="28"/>
      <c r="K274" s="28"/>
      <c r="L274" s="28"/>
      <c r="M274" s="33"/>
      <c r="N274" s="33"/>
      <c r="O274" s="33"/>
      <c r="P274" s="33"/>
      <c r="Q274" s="28"/>
      <c r="R274" s="28"/>
      <c r="S274" s="28"/>
      <c r="T274" s="28"/>
      <c r="U274" s="28"/>
      <c r="V274" s="28"/>
      <c r="W274" s="28"/>
      <c r="X274" s="28"/>
      <c r="Y274" s="28"/>
      <c r="Z274" s="28"/>
      <c r="AA274" s="28"/>
    </row>
    <row r="275" ht="18.75" customHeight="1">
      <c r="A275" s="28"/>
      <c r="B275" s="28"/>
      <c r="C275" s="28"/>
      <c r="D275" s="28"/>
      <c r="E275" s="28"/>
      <c r="F275" s="28"/>
      <c r="G275" s="28"/>
      <c r="H275" s="28"/>
      <c r="I275" s="28"/>
      <c r="J275" s="28"/>
      <c r="K275" s="28"/>
      <c r="L275" s="28"/>
      <c r="M275" s="33"/>
      <c r="N275" s="33"/>
      <c r="O275" s="33"/>
      <c r="P275" s="33"/>
      <c r="Q275" s="28"/>
      <c r="R275" s="28"/>
      <c r="S275" s="28"/>
      <c r="T275" s="28"/>
      <c r="U275" s="28"/>
      <c r="V275" s="28"/>
      <c r="W275" s="28"/>
      <c r="X275" s="28"/>
      <c r="Y275" s="28"/>
      <c r="Z275" s="28"/>
      <c r="AA275" s="28"/>
    </row>
    <row r="276" ht="18.75" customHeight="1">
      <c r="A276" s="28"/>
      <c r="B276" s="28"/>
      <c r="C276" s="28"/>
      <c r="D276" s="28"/>
      <c r="E276" s="28"/>
      <c r="F276" s="28"/>
      <c r="G276" s="28"/>
      <c r="H276" s="28"/>
      <c r="I276" s="28"/>
      <c r="J276" s="28"/>
      <c r="K276" s="28"/>
      <c r="L276" s="28"/>
      <c r="M276" s="33"/>
      <c r="N276" s="33"/>
      <c r="O276" s="33"/>
      <c r="P276" s="33"/>
      <c r="Q276" s="28"/>
      <c r="R276" s="28"/>
      <c r="S276" s="28"/>
      <c r="T276" s="28"/>
      <c r="U276" s="28"/>
      <c r="V276" s="28"/>
      <c r="W276" s="28"/>
      <c r="X276" s="28"/>
      <c r="Y276" s="28"/>
      <c r="Z276" s="28"/>
      <c r="AA276" s="28"/>
    </row>
    <row r="277" ht="18.75" customHeight="1">
      <c r="A277" s="28"/>
      <c r="B277" s="28"/>
      <c r="C277" s="28"/>
      <c r="D277" s="28"/>
      <c r="E277" s="28"/>
      <c r="F277" s="28"/>
      <c r="G277" s="28"/>
      <c r="H277" s="28"/>
      <c r="I277" s="28"/>
      <c r="J277" s="28"/>
      <c r="K277" s="28"/>
      <c r="L277" s="28"/>
      <c r="M277" s="33"/>
      <c r="N277" s="33"/>
      <c r="O277" s="33"/>
      <c r="P277" s="33"/>
      <c r="Q277" s="28"/>
      <c r="R277" s="28"/>
      <c r="S277" s="28"/>
      <c r="T277" s="28"/>
      <c r="U277" s="28"/>
      <c r="V277" s="28"/>
      <c r="W277" s="28"/>
      <c r="X277" s="28"/>
      <c r="Y277" s="28"/>
      <c r="Z277" s="28"/>
      <c r="AA277" s="28"/>
    </row>
    <row r="278" ht="18.75" customHeight="1">
      <c r="A278" s="28"/>
      <c r="B278" s="28"/>
      <c r="C278" s="28"/>
      <c r="D278" s="28"/>
      <c r="E278" s="28"/>
      <c r="F278" s="28"/>
      <c r="G278" s="28"/>
      <c r="H278" s="28"/>
      <c r="I278" s="28"/>
      <c r="J278" s="28"/>
      <c r="K278" s="28"/>
      <c r="L278" s="28"/>
      <c r="M278" s="33"/>
      <c r="N278" s="33"/>
      <c r="O278" s="33"/>
      <c r="P278" s="33"/>
      <c r="Q278" s="28"/>
      <c r="R278" s="28"/>
      <c r="S278" s="28"/>
      <c r="T278" s="28"/>
      <c r="U278" s="28"/>
      <c r="V278" s="28"/>
      <c r="W278" s="28"/>
      <c r="X278" s="28"/>
      <c r="Y278" s="28"/>
      <c r="Z278" s="28"/>
      <c r="AA278" s="28"/>
    </row>
    <row r="279" ht="18.75" customHeight="1">
      <c r="A279" s="28"/>
      <c r="B279" s="28"/>
      <c r="C279" s="28"/>
      <c r="D279" s="28"/>
      <c r="E279" s="28"/>
      <c r="F279" s="28"/>
      <c r="G279" s="28"/>
      <c r="H279" s="28"/>
      <c r="I279" s="28"/>
      <c r="J279" s="28"/>
      <c r="K279" s="28"/>
      <c r="L279" s="28"/>
      <c r="M279" s="33"/>
      <c r="N279" s="33"/>
      <c r="O279" s="33"/>
      <c r="P279" s="33"/>
      <c r="Q279" s="28"/>
      <c r="R279" s="28"/>
      <c r="S279" s="28"/>
      <c r="T279" s="28"/>
      <c r="U279" s="28"/>
      <c r="V279" s="28"/>
      <c r="W279" s="28"/>
      <c r="X279" s="28"/>
      <c r="Y279" s="28"/>
      <c r="Z279" s="28"/>
      <c r="AA279" s="28"/>
    </row>
    <row r="280" ht="18.75" customHeight="1">
      <c r="A280" s="28"/>
      <c r="B280" s="28"/>
      <c r="C280" s="28"/>
      <c r="D280" s="28"/>
      <c r="E280" s="28"/>
      <c r="F280" s="28"/>
      <c r="G280" s="28"/>
      <c r="H280" s="28"/>
      <c r="I280" s="28"/>
      <c r="J280" s="28"/>
      <c r="K280" s="28"/>
      <c r="L280" s="28"/>
      <c r="M280" s="33"/>
      <c r="N280" s="33"/>
      <c r="O280" s="33"/>
      <c r="P280" s="33"/>
      <c r="Q280" s="28"/>
      <c r="R280" s="28"/>
      <c r="S280" s="28"/>
      <c r="T280" s="28"/>
      <c r="U280" s="28"/>
      <c r="V280" s="28"/>
      <c r="W280" s="28"/>
      <c r="X280" s="28"/>
      <c r="Y280" s="28"/>
      <c r="Z280" s="28"/>
      <c r="AA280" s="28"/>
    </row>
    <row r="281" ht="18.75" customHeight="1">
      <c r="A281" s="28"/>
      <c r="B281" s="28"/>
      <c r="C281" s="28"/>
      <c r="D281" s="28"/>
      <c r="E281" s="28"/>
      <c r="F281" s="28"/>
      <c r="G281" s="28"/>
      <c r="H281" s="28"/>
      <c r="I281" s="28"/>
      <c r="J281" s="28"/>
      <c r="K281" s="28"/>
      <c r="L281" s="28"/>
      <c r="M281" s="33"/>
      <c r="N281" s="33"/>
      <c r="O281" s="33"/>
      <c r="P281" s="33"/>
      <c r="Q281" s="28"/>
      <c r="R281" s="28"/>
      <c r="S281" s="28"/>
      <c r="T281" s="28"/>
      <c r="U281" s="28"/>
      <c r="V281" s="28"/>
      <c r="W281" s="28"/>
      <c r="X281" s="28"/>
      <c r="Y281" s="28"/>
      <c r="Z281" s="28"/>
      <c r="AA281" s="28"/>
    </row>
    <row r="282" ht="18.75" customHeight="1">
      <c r="A282" s="28"/>
      <c r="B282" s="28"/>
      <c r="C282" s="28"/>
      <c r="D282" s="28"/>
      <c r="E282" s="28"/>
      <c r="F282" s="28"/>
      <c r="G282" s="28"/>
      <c r="H282" s="28"/>
      <c r="I282" s="28"/>
      <c r="J282" s="28"/>
      <c r="K282" s="28"/>
      <c r="L282" s="28"/>
      <c r="M282" s="33"/>
      <c r="N282" s="33"/>
      <c r="O282" s="33"/>
      <c r="P282" s="33"/>
      <c r="Q282" s="28"/>
      <c r="R282" s="28"/>
      <c r="S282" s="28"/>
      <c r="T282" s="28"/>
      <c r="U282" s="28"/>
      <c r="V282" s="28"/>
      <c r="W282" s="28"/>
      <c r="X282" s="28"/>
      <c r="Y282" s="28"/>
      <c r="Z282" s="28"/>
      <c r="AA282" s="28"/>
    </row>
    <row r="283" ht="18.75" customHeight="1">
      <c r="A283" s="28"/>
      <c r="B283" s="28"/>
      <c r="C283" s="28"/>
      <c r="D283" s="28"/>
      <c r="E283" s="28"/>
      <c r="F283" s="28"/>
      <c r="G283" s="28"/>
      <c r="H283" s="28"/>
      <c r="I283" s="28"/>
      <c r="J283" s="28"/>
      <c r="K283" s="28"/>
      <c r="L283" s="28"/>
      <c r="M283" s="33"/>
      <c r="N283" s="33"/>
      <c r="O283" s="33"/>
      <c r="P283" s="33"/>
      <c r="Q283" s="28"/>
      <c r="R283" s="28"/>
      <c r="S283" s="28"/>
      <c r="T283" s="28"/>
      <c r="U283" s="28"/>
      <c r="V283" s="28"/>
      <c r="W283" s="28"/>
      <c r="X283" s="28"/>
      <c r="Y283" s="28"/>
      <c r="Z283" s="28"/>
      <c r="AA283" s="28"/>
    </row>
    <row r="284" ht="18.75" customHeight="1">
      <c r="A284" s="28"/>
      <c r="B284" s="28"/>
      <c r="C284" s="28"/>
      <c r="D284" s="28"/>
      <c r="E284" s="28"/>
      <c r="F284" s="28"/>
      <c r="G284" s="28"/>
      <c r="H284" s="28"/>
      <c r="I284" s="28"/>
      <c r="J284" s="28"/>
      <c r="K284" s="28"/>
      <c r="L284" s="28"/>
      <c r="M284" s="33"/>
      <c r="N284" s="33"/>
      <c r="O284" s="33"/>
      <c r="P284" s="33"/>
      <c r="Q284" s="28"/>
      <c r="R284" s="28"/>
      <c r="S284" s="28"/>
      <c r="T284" s="28"/>
      <c r="U284" s="28"/>
      <c r="V284" s="28"/>
      <c r="W284" s="28"/>
      <c r="X284" s="28"/>
      <c r="Y284" s="28"/>
      <c r="Z284" s="28"/>
      <c r="AA284" s="28"/>
    </row>
    <row r="285" ht="18.75" customHeight="1">
      <c r="A285" s="28"/>
      <c r="B285" s="28"/>
      <c r="C285" s="28"/>
      <c r="D285" s="28"/>
      <c r="E285" s="28"/>
      <c r="F285" s="28"/>
      <c r="G285" s="28"/>
      <c r="H285" s="28"/>
      <c r="I285" s="28"/>
      <c r="J285" s="28"/>
      <c r="K285" s="28"/>
      <c r="L285" s="28"/>
      <c r="M285" s="33"/>
      <c r="N285" s="33"/>
      <c r="O285" s="33"/>
      <c r="P285" s="33"/>
      <c r="Q285" s="28"/>
      <c r="R285" s="28"/>
      <c r="S285" s="28"/>
      <c r="T285" s="28"/>
      <c r="U285" s="28"/>
      <c r="V285" s="28"/>
      <c r="W285" s="28"/>
      <c r="X285" s="28"/>
      <c r="Y285" s="28"/>
      <c r="Z285" s="28"/>
      <c r="AA285" s="28"/>
    </row>
    <row r="286" ht="18.75" customHeight="1">
      <c r="A286" s="28"/>
      <c r="B286" s="28"/>
      <c r="C286" s="28"/>
      <c r="D286" s="28"/>
      <c r="E286" s="28"/>
      <c r="F286" s="28"/>
      <c r="G286" s="28"/>
      <c r="H286" s="28"/>
      <c r="I286" s="28"/>
      <c r="J286" s="28"/>
      <c r="K286" s="28"/>
      <c r="L286" s="28"/>
      <c r="M286" s="33"/>
      <c r="N286" s="33"/>
      <c r="O286" s="33"/>
      <c r="P286" s="33"/>
      <c r="Q286" s="28"/>
      <c r="R286" s="28"/>
      <c r="S286" s="28"/>
      <c r="T286" s="28"/>
      <c r="U286" s="28"/>
      <c r="V286" s="28"/>
      <c r="W286" s="28"/>
      <c r="X286" s="28"/>
      <c r="Y286" s="28"/>
      <c r="Z286" s="28"/>
      <c r="AA286" s="28"/>
    </row>
    <row r="287" ht="18.75" customHeight="1">
      <c r="A287" s="28"/>
      <c r="B287" s="28"/>
      <c r="C287" s="28"/>
      <c r="D287" s="28"/>
      <c r="E287" s="28"/>
      <c r="F287" s="28"/>
      <c r="G287" s="28"/>
      <c r="H287" s="28"/>
      <c r="I287" s="28"/>
      <c r="J287" s="28"/>
      <c r="K287" s="28"/>
      <c r="L287" s="28"/>
      <c r="M287" s="33"/>
      <c r="N287" s="33"/>
      <c r="O287" s="33"/>
      <c r="P287" s="33"/>
      <c r="Q287" s="28"/>
      <c r="R287" s="28"/>
      <c r="S287" s="28"/>
      <c r="T287" s="28"/>
      <c r="U287" s="28"/>
      <c r="V287" s="28"/>
      <c r="W287" s="28"/>
      <c r="X287" s="28"/>
      <c r="Y287" s="28"/>
      <c r="Z287" s="28"/>
      <c r="AA287" s="28"/>
    </row>
    <row r="288" ht="18.75" customHeight="1">
      <c r="A288" s="28"/>
      <c r="B288" s="28"/>
      <c r="C288" s="28"/>
      <c r="D288" s="28"/>
      <c r="E288" s="28"/>
      <c r="F288" s="28"/>
      <c r="G288" s="28"/>
      <c r="H288" s="28"/>
      <c r="I288" s="28"/>
      <c r="J288" s="28"/>
      <c r="K288" s="28"/>
      <c r="L288" s="28"/>
      <c r="M288" s="33"/>
      <c r="N288" s="33"/>
      <c r="O288" s="33"/>
      <c r="P288" s="33"/>
      <c r="Q288" s="28"/>
      <c r="R288" s="28"/>
      <c r="S288" s="28"/>
      <c r="T288" s="28"/>
      <c r="U288" s="28"/>
      <c r="V288" s="28"/>
      <c r="W288" s="28"/>
      <c r="X288" s="28"/>
      <c r="Y288" s="28"/>
      <c r="Z288" s="28"/>
      <c r="AA288" s="28"/>
    </row>
    <row r="289" ht="18.75" customHeight="1">
      <c r="A289" s="28"/>
      <c r="B289" s="28"/>
      <c r="C289" s="28"/>
      <c r="D289" s="28"/>
      <c r="E289" s="28"/>
      <c r="F289" s="28"/>
      <c r="G289" s="28"/>
      <c r="H289" s="28"/>
      <c r="I289" s="28"/>
      <c r="J289" s="28"/>
      <c r="K289" s="28"/>
      <c r="L289" s="28"/>
      <c r="M289" s="33"/>
      <c r="N289" s="33"/>
      <c r="O289" s="33"/>
      <c r="P289" s="33"/>
      <c r="Q289" s="28"/>
      <c r="R289" s="28"/>
      <c r="S289" s="28"/>
      <c r="T289" s="28"/>
      <c r="U289" s="28"/>
      <c r="V289" s="28"/>
      <c r="W289" s="28"/>
      <c r="X289" s="28"/>
      <c r="Y289" s="28"/>
      <c r="Z289" s="28"/>
      <c r="AA289" s="28"/>
    </row>
    <row r="290" ht="18.75" customHeight="1">
      <c r="A290" s="28"/>
      <c r="B290" s="28"/>
      <c r="C290" s="28"/>
      <c r="D290" s="28"/>
      <c r="E290" s="28"/>
      <c r="F290" s="28"/>
      <c r="G290" s="28"/>
      <c r="H290" s="28"/>
      <c r="I290" s="28"/>
      <c r="J290" s="28"/>
      <c r="K290" s="28"/>
      <c r="L290" s="28"/>
      <c r="M290" s="33"/>
      <c r="N290" s="33"/>
      <c r="O290" s="33"/>
      <c r="P290" s="33"/>
      <c r="Q290" s="28"/>
      <c r="R290" s="28"/>
      <c r="S290" s="28"/>
      <c r="T290" s="28"/>
      <c r="U290" s="28"/>
      <c r="V290" s="28"/>
      <c r="W290" s="28"/>
      <c r="X290" s="28"/>
      <c r="Y290" s="28"/>
      <c r="Z290" s="28"/>
      <c r="AA290" s="28"/>
    </row>
    <row r="291" ht="18.75" customHeight="1">
      <c r="A291" s="28"/>
      <c r="B291" s="28"/>
      <c r="C291" s="28"/>
      <c r="D291" s="28"/>
      <c r="E291" s="28"/>
      <c r="F291" s="28"/>
      <c r="G291" s="28"/>
      <c r="H291" s="28"/>
      <c r="I291" s="28"/>
      <c r="J291" s="28"/>
      <c r="K291" s="28"/>
      <c r="L291" s="28"/>
      <c r="M291" s="33"/>
      <c r="N291" s="33"/>
      <c r="O291" s="33"/>
      <c r="P291" s="33"/>
      <c r="Q291" s="28"/>
      <c r="R291" s="28"/>
      <c r="S291" s="28"/>
      <c r="T291" s="28"/>
      <c r="U291" s="28"/>
      <c r="V291" s="28"/>
      <c r="W291" s="28"/>
      <c r="X291" s="28"/>
      <c r="Y291" s="28"/>
      <c r="Z291" s="28"/>
      <c r="AA291" s="28"/>
    </row>
    <row r="292" ht="18.75" customHeight="1">
      <c r="A292" s="28"/>
      <c r="B292" s="28"/>
      <c r="C292" s="28"/>
      <c r="D292" s="28"/>
      <c r="E292" s="28"/>
      <c r="F292" s="28"/>
      <c r="G292" s="28"/>
      <c r="H292" s="28"/>
      <c r="I292" s="28"/>
      <c r="J292" s="28"/>
      <c r="K292" s="28"/>
      <c r="L292" s="28"/>
      <c r="M292" s="33"/>
      <c r="N292" s="33"/>
      <c r="O292" s="33"/>
      <c r="P292" s="33"/>
      <c r="Q292" s="28"/>
      <c r="R292" s="28"/>
      <c r="S292" s="28"/>
      <c r="T292" s="28"/>
      <c r="U292" s="28"/>
      <c r="V292" s="28"/>
      <c r="W292" s="28"/>
      <c r="X292" s="28"/>
      <c r="Y292" s="28"/>
      <c r="Z292" s="28"/>
      <c r="AA292" s="28"/>
    </row>
    <row r="293" ht="18.75" customHeight="1">
      <c r="A293" s="28"/>
      <c r="B293" s="28"/>
      <c r="C293" s="28"/>
      <c r="D293" s="28"/>
      <c r="E293" s="28"/>
      <c r="F293" s="28"/>
      <c r="G293" s="28"/>
      <c r="H293" s="28"/>
      <c r="I293" s="28"/>
      <c r="J293" s="28"/>
      <c r="K293" s="28"/>
      <c r="L293" s="28"/>
      <c r="M293" s="33"/>
      <c r="N293" s="33"/>
      <c r="O293" s="33"/>
      <c r="P293" s="33"/>
      <c r="Q293" s="28"/>
      <c r="R293" s="28"/>
      <c r="S293" s="28"/>
      <c r="T293" s="28"/>
      <c r="U293" s="28"/>
      <c r="V293" s="28"/>
      <c r="W293" s="28"/>
      <c r="X293" s="28"/>
      <c r="Y293" s="28"/>
      <c r="Z293" s="28"/>
      <c r="AA293" s="28"/>
    </row>
    <row r="294" ht="18.75" customHeight="1">
      <c r="A294" s="28"/>
      <c r="B294" s="28"/>
      <c r="C294" s="28"/>
      <c r="D294" s="28"/>
      <c r="E294" s="28"/>
      <c r="F294" s="28"/>
      <c r="G294" s="28"/>
      <c r="H294" s="28"/>
      <c r="I294" s="28"/>
      <c r="J294" s="28"/>
      <c r="K294" s="28"/>
      <c r="L294" s="28"/>
      <c r="M294" s="33"/>
      <c r="N294" s="33"/>
      <c r="O294" s="33"/>
      <c r="P294" s="33"/>
      <c r="Q294" s="28"/>
      <c r="R294" s="28"/>
      <c r="S294" s="28"/>
      <c r="T294" s="28"/>
      <c r="U294" s="28"/>
      <c r="V294" s="28"/>
      <c r="W294" s="28"/>
      <c r="X294" s="28"/>
      <c r="Y294" s="28"/>
      <c r="Z294" s="28"/>
      <c r="AA294" s="28"/>
    </row>
    <row r="295" ht="18.75" customHeight="1">
      <c r="A295" s="28"/>
      <c r="B295" s="28"/>
      <c r="C295" s="28"/>
      <c r="D295" s="28"/>
      <c r="E295" s="28"/>
      <c r="F295" s="28"/>
      <c r="G295" s="28"/>
      <c r="H295" s="28"/>
      <c r="I295" s="28"/>
      <c r="J295" s="28"/>
      <c r="K295" s="28"/>
      <c r="L295" s="28"/>
      <c r="M295" s="33"/>
      <c r="N295" s="33"/>
      <c r="O295" s="33"/>
      <c r="P295" s="33"/>
      <c r="Q295" s="28"/>
      <c r="R295" s="28"/>
      <c r="S295" s="28"/>
      <c r="T295" s="28"/>
      <c r="U295" s="28"/>
      <c r="V295" s="28"/>
      <c r="W295" s="28"/>
      <c r="X295" s="28"/>
      <c r="Y295" s="28"/>
      <c r="Z295" s="28"/>
      <c r="AA295" s="28"/>
    </row>
    <row r="296" ht="18.75" customHeight="1">
      <c r="A296" s="28"/>
      <c r="B296" s="28"/>
      <c r="C296" s="28"/>
      <c r="D296" s="28"/>
      <c r="E296" s="28"/>
      <c r="F296" s="28"/>
      <c r="G296" s="28"/>
      <c r="H296" s="28"/>
      <c r="I296" s="28"/>
      <c r="J296" s="28"/>
      <c r="K296" s="28"/>
      <c r="L296" s="28"/>
      <c r="M296" s="33"/>
      <c r="N296" s="33"/>
      <c r="O296" s="33"/>
      <c r="P296" s="33"/>
      <c r="Q296" s="28"/>
      <c r="R296" s="28"/>
      <c r="S296" s="28"/>
      <c r="T296" s="28"/>
      <c r="U296" s="28"/>
      <c r="V296" s="28"/>
      <c r="W296" s="28"/>
      <c r="X296" s="28"/>
      <c r="Y296" s="28"/>
      <c r="Z296" s="28"/>
      <c r="AA296" s="28"/>
    </row>
    <row r="297" ht="18.75" customHeight="1">
      <c r="A297" s="28"/>
      <c r="B297" s="28"/>
      <c r="C297" s="28"/>
      <c r="D297" s="28"/>
      <c r="E297" s="28"/>
      <c r="F297" s="28"/>
      <c r="G297" s="28"/>
      <c r="H297" s="28"/>
      <c r="I297" s="28"/>
      <c r="J297" s="28"/>
      <c r="K297" s="28"/>
      <c r="L297" s="28"/>
      <c r="M297" s="33"/>
      <c r="N297" s="33"/>
      <c r="O297" s="33"/>
      <c r="P297" s="33"/>
      <c r="Q297" s="28"/>
      <c r="R297" s="28"/>
      <c r="S297" s="28"/>
      <c r="T297" s="28"/>
      <c r="U297" s="28"/>
      <c r="V297" s="28"/>
      <c r="W297" s="28"/>
      <c r="X297" s="28"/>
      <c r="Y297" s="28"/>
      <c r="Z297" s="28"/>
      <c r="AA297" s="28"/>
    </row>
    <row r="298" ht="18.75" customHeight="1">
      <c r="A298" s="28"/>
      <c r="B298" s="28"/>
      <c r="C298" s="28"/>
      <c r="D298" s="28"/>
      <c r="E298" s="28"/>
      <c r="F298" s="28"/>
      <c r="G298" s="28"/>
      <c r="H298" s="28"/>
      <c r="I298" s="28"/>
      <c r="J298" s="28"/>
      <c r="K298" s="28"/>
      <c r="L298" s="28"/>
      <c r="M298" s="33"/>
      <c r="N298" s="33"/>
      <c r="O298" s="33"/>
      <c r="P298" s="33"/>
      <c r="Q298" s="28"/>
      <c r="R298" s="28"/>
      <c r="S298" s="28"/>
      <c r="T298" s="28"/>
      <c r="U298" s="28"/>
      <c r="V298" s="28"/>
      <c r="W298" s="28"/>
      <c r="X298" s="28"/>
      <c r="Y298" s="28"/>
      <c r="Z298" s="28"/>
      <c r="AA298" s="28"/>
    </row>
    <row r="299" ht="18.75" customHeight="1">
      <c r="A299" s="28"/>
      <c r="B299" s="28"/>
      <c r="C299" s="28"/>
      <c r="D299" s="28"/>
      <c r="E299" s="28"/>
      <c r="F299" s="28"/>
      <c r="G299" s="28"/>
      <c r="H299" s="28"/>
      <c r="I299" s="28"/>
      <c r="J299" s="28"/>
      <c r="K299" s="28"/>
      <c r="L299" s="28"/>
      <c r="M299" s="33"/>
      <c r="N299" s="33"/>
      <c r="O299" s="33"/>
      <c r="P299" s="33"/>
      <c r="Q299" s="28"/>
      <c r="R299" s="28"/>
      <c r="S299" s="28"/>
      <c r="T299" s="28"/>
      <c r="U299" s="28"/>
      <c r="V299" s="28"/>
      <c r="W299" s="28"/>
      <c r="X299" s="28"/>
      <c r="Y299" s="28"/>
      <c r="Z299" s="28"/>
      <c r="AA299" s="28"/>
    </row>
    <row r="300" ht="18.75" customHeight="1">
      <c r="A300" s="28"/>
      <c r="B300" s="28"/>
      <c r="C300" s="28"/>
      <c r="D300" s="28"/>
      <c r="E300" s="28"/>
      <c r="F300" s="28"/>
      <c r="G300" s="28"/>
      <c r="H300" s="28"/>
      <c r="I300" s="28"/>
      <c r="J300" s="28"/>
      <c r="K300" s="28"/>
      <c r="L300" s="28"/>
      <c r="M300" s="33"/>
      <c r="N300" s="33"/>
      <c r="O300" s="33"/>
      <c r="P300" s="33"/>
      <c r="Q300" s="28"/>
      <c r="R300" s="28"/>
      <c r="S300" s="28"/>
      <c r="T300" s="28"/>
      <c r="U300" s="28"/>
      <c r="V300" s="28"/>
      <c r="W300" s="28"/>
      <c r="X300" s="28"/>
      <c r="Y300" s="28"/>
      <c r="Z300" s="28"/>
      <c r="AA300" s="28"/>
    </row>
    <row r="301" ht="18.75" customHeight="1">
      <c r="A301" s="28"/>
      <c r="B301" s="28"/>
      <c r="C301" s="28"/>
      <c r="D301" s="28"/>
      <c r="E301" s="28"/>
      <c r="F301" s="28"/>
      <c r="G301" s="28"/>
      <c r="H301" s="28"/>
      <c r="I301" s="28"/>
      <c r="J301" s="28"/>
      <c r="K301" s="28"/>
      <c r="L301" s="28"/>
      <c r="M301" s="33"/>
      <c r="N301" s="33"/>
      <c r="O301" s="33"/>
      <c r="P301" s="33"/>
      <c r="Q301" s="28"/>
      <c r="R301" s="28"/>
      <c r="S301" s="28"/>
      <c r="T301" s="28"/>
      <c r="U301" s="28"/>
      <c r="V301" s="28"/>
      <c r="W301" s="28"/>
      <c r="X301" s="28"/>
      <c r="Y301" s="28"/>
      <c r="Z301" s="28"/>
      <c r="AA301" s="28"/>
    </row>
    <row r="302" ht="18.75" customHeight="1">
      <c r="A302" s="28"/>
      <c r="B302" s="28"/>
      <c r="C302" s="28"/>
      <c r="D302" s="28"/>
      <c r="E302" s="28"/>
      <c r="F302" s="28"/>
      <c r="G302" s="28"/>
      <c r="H302" s="28"/>
      <c r="I302" s="28"/>
      <c r="J302" s="28"/>
      <c r="K302" s="28"/>
      <c r="L302" s="28"/>
      <c r="M302" s="33"/>
      <c r="N302" s="33"/>
      <c r="O302" s="33"/>
      <c r="P302" s="33"/>
      <c r="Q302" s="28"/>
      <c r="R302" s="28"/>
      <c r="S302" s="28"/>
      <c r="T302" s="28"/>
      <c r="U302" s="28"/>
      <c r="V302" s="28"/>
      <c r="W302" s="28"/>
      <c r="X302" s="28"/>
      <c r="Y302" s="28"/>
      <c r="Z302" s="28"/>
      <c r="AA302" s="28"/>
    </row>
    <row r="303" ht="18.75" customHeight="1">
      <c r="A303" s="28"/>
      <c r="B303" s="28"/>
      <c r="C303" s="28"/>
      <c r="D303" s="28"/>
      <c r="E303" s="28"/>
      <c r="F303" s="28"/>
      <c r="G303" s="28"/>
      <c r="H303" s="28"/>
      <c r="I303" s="28"/>
      <c r="J303" s="28"/>
      <c r="K303" s="28"/>
      <c r="L303" s="28"/>
      <c r="M303" s="33"/>
      <c r="N303" s="33"/>
      <c r="O303" s="33"/>
      <c r="P303" s="33"/>
      <c r="Q303" s="28"/>
      <c r="R303" s="28"/>
      <c r="S303" s="28"/>
      <c r="T303" s="28"/>
      <c r="U303" s="28"/>
      <c r="V303" s="28"/>
      <c r="W303" s="28"/>
      <c r="X303" s="28"/>
      <c r="Y303" s="28"/>
      <c r="Z303" s="28"/>
      <c r="AA303" s="28"/>
    </row>
    <row r="304" ht="18.75" customHeight="1">
      <c r="A304" s="28"/>
      <c r="B304" s="28"/>
      <c r="C304" s="28"/>
      <c r="D304" s="28"/>
      <c r="E304" s="28"/>
      <c r="F304" s="28"/>
      <c r="G304" s="28"/>
      <c r="H304" s="28"/>
      <c r="I304" s="28"/>
      <c r="J304" s="28"/>
      <c r="K304" s="28"/>
      <c r="L304" s="28"/>
      <c r="M304" s="33"/>
      <c r="N304" s="33"/>
      <c r="O304" s="33"/>
      <c r="P304" s="33"/>
      <c r="Q304" s="28"/>
      <c r="R304" s="28"/>
      <c r="S304" s="28"/>
      <c r="T304" s="28"/>
      <c r="U304" s="28"/>
      <c r="V304" s="28"/>
      <c r="W304" s="28"/>
      <c r="X304" s="28"/>
      <c r="Y304" s="28"/>
      <c r="Z304" s="28"/>
      <c r="AA304" s="28"/>
    </row>
    <row r="305" ht="18.75" customHeight="1">
      <c r="A305" s="28"/>
      <c r="B305" s="28"/>
      <c r="C305" s="28"/>
      <c r="D305" s="28"/>
      <c r="E305" s="28"/>
      <c r="F305" s="28"/>
      <c r="G305" s="28"/>
      <c r="H305" s="28"/>
      <c r="I305" s="28"/>
      <c r="J305" s="28"/>
      <c r="K305" s="28"/>
      <c r="L305" s="28"/>
      <c r="M305" s="33"/>
      <c r="N305" s="33"/>
      <c r="O305" s="33"/>
      <c r="P305" s="33"/>
      <c r="Q305" s="28"/>
      <c r="R305" s="28"/>
      <c r="S305" s="28"/>
      <c r="T305" s="28"/>
      <c r="U305" s="28"/>
      <c r="V305" s="28"/>
      <c r="W305" s="28"/>
      <c r="X305" s="28"/>
      <c r="Y305" s="28"/>
      <c r="Z305" s="28"/>
      <c r="AA305" s="28"/>
    </row>
    <row r="306" ht="18.75" customHeight="1">
      <c r="A306" s="28"/>
      <c r="B306" s="28"/>
      <c r="C306" s="28"/>
      <c r="D306" s="28"/>
      <c r="E306" s="28"/>
      <c r="F306" s="28"/>
      <c r="G306" s="28"/>
      <c r="H306" s="28"/>
      <c r="I306" s="28"/>
      <c r="J306" s="28"/>
      <c r="K306" s="28"/>
      <c r="L306" s="28"/>
      <c r="M306" s="33"/>
      <c r="N306" s="33"/>
      <c r="O306" s="33"/>
      <c r="P306" s="33"/>
      <c r="Q306" s="28"/>
      <c r="R306" s="28"/>
      <c r="S306" s="28"/>
      <c r="T306" s="28"/>
      <c r="U306" s="28"/>
      <c r="V306" s="28"/>
      <c r="W306" s="28"/>
      <c r="X306" s="28"/>
      <c r="Y306" s="28"/>
      <c r="Z306" s="28"/>
      <c r="AA306" s="28"/>
    </row>
    <row r="307" ht="18.75" customHeight="1">
      <c r="A307" s="28"/>
      <c r="B307" s="28"/>
      <c r="C307" s="28"/>
      <c r="D307" s="28"/>
      <c r="E307" s="28"/>
      <c r="F307" s="28"/>
      <c r="G307" s="28"/>
      <c r="H307" s="28"/>
      <c r="I307" s="28"/>
      <c r="J307" s="28"/>
      <c r="K307" s="28"/>
      <c r="L307" s="28"/>
      <c r="M307" s="33"/>
      <c r="N307" s="33"/>
      <c r="O307" s="33"/>
      <c r="P307" s="33"/>
      <c r="Q307" s="28"/>
      <c r="R307" s="28"/>
      <c r="S307" s="28"/>
      <c r="T307" s="28"/>
      <c r="U307" s="28"/>
      <c r="V307" s="28"/>
      <c r="W307" s="28"/>
      <c r="X307" s="28"/>
      <c r="Y307" s="28"/>
      <c r="Z307" s="28"/>
      <c r="AA307" s="28"/>
    </row>
    <row r="308" ht="18.75" customHeight="1">
      <c r="A308" s="28"/>
      <c r="B308" s="28"/>
      <c r="C308" s="28"/>
      <c r="D308" s="28"/>
      <c r="E308" s="28"/>
      <c r="F308" s="28"/>
      <c r="G308" s="28"/>
      <c r="H308" s="28"/>
      <c r="I308" s="28"/>
      <c r="J308" s="28"/>
      <c r="K308" s="28"/>
      <c r="L308" s="28"/>
      <c r="M308" s="33"/>
      <c r="N308" s="33"/>
      <c r="O308" s="33"/>
      <c r="P308" s="33"/>
      <c r="Q308" s="28"/>
      <c r="R308" s="28"/>
      <c r="S308" s="28"/>
      <c r="T308" s="28"/>
      <c r="U308" s="28"/>
      <c r="V308" s="28"/>
      <c r="W308" s="28"/>
      <c r="X308" s="28"/>
      <c r="Y308" s="28"/>
      <c r="Z308" s="28"/>
      <c r="AA308" s="28"/>
    </row>
    <row r="309" ht="18.75" customHeight="1">
      <c r="A309" s="28"/>
      <c r="B309" s="28"/>
      <c r="C309" s="28"/>
      <c r="D309" s="28"/>
      <c r="E309" s="28"/>
      <c r="F309" s="28"/>
      <c r="G309" s="28"/>
      <c r="H309" s="28"/>
      <c r="I309" s="28"/>
      <c r="J309" s="28"/>
      <c r="K309" s="28"/>
      <c r="L309" s="28"/>
      <c r="M309" s="33"/>
      <c r="N309" s="33"/>
      <c r="O309" s="33"/>
      <c r="P309" s="33"/>
      <c r="Q309" s="28"/>
      <c r="R309" s="28"/>
      <c r="S309" s="28"/>
      <c r="T309" s="28"/>
      <c r="U309" s="28"/>
      <c r="V309" s="28"/>
      <c r="W309" s="28"/>
      <c r="X309" s="28"/>
      <c r="Y309" s="28"/>
      <c r="Z309" s="28"/>
      <c r="AA309" s="28"/>
    </row>
    <row r="310" ht="18.75" customHeight="1">
      <c r="A310" s="28"/>
      <c r="B310" s="28"/>
      <c r="C310" s="28"/>
      <c r="D310" s="28"/>
      <c r="E310" s="28"/>
      <c r="F310" s="28"/>
      <c r="G310" s="28"/>
      <c r="H310" s="28"/>
      <c r="I310" s="28"/>
      <c r="J310" s="28"/>
      <c r="K310" s="28"/>
      <c r="L310" s="28"/>
      <c r="M310" s="33"/>
      <c r="N310" s="33"/>
      <c r="O310" s="33"/>
      <c r="P310" s="33"/>
      <c r="Q310" s="28"/>
      <c r="R310" s="28"/>
      <c r="S310" s="28"/>
      <c r="T310" s="28"/>
      <c r="U310" s="28"/>
      <c r="V310" s="28"/>
      <c r="W310" s="28"/>
      <c r="X310" s="28"/>
      <c r="Y310" s="28"/>
      <c r="Z310" s="28"/>
      <c r="AA310" s="28"/>
    </row>
    <row r="311" ht="18.75" customHeight="1">
      <c r="A311" s="28"/>
      <c r="B311" s="28"/>
      <c r="C311" s="28"/>
      <c r="D311" s="28"/>
      <c r="E311" s="28"/>
      <c r="F311" s="28"/>
      <c r="G311" s="28"/>
      <c r="H311" s="28"/>
      <c r="I311" s="28"/>
      <c r="J311" s="28"/>
      <c r="K311" s="28"/>
      <c r="L311" s="28"/>
      <c r="M311" s="33"/>
      <c r="N311" s="33"/>
      <c r="O311" s="33"/>
      <c r="P311" s="33"/>
      <c r="Q311" s="28"/>
      <c r="R311" s="28"/>
      <c r="S311" s="28"/>
      <c r="T311" s="28"/>
      <c r="U311" s="28"/>
      <c r="V311" s="28"/>
      <c r="W311" s="28"/>
      <c r="X311" s="28"/>
      <c r="Y311" s="28"/>
      <c r="Z311" s="28"/>
      <c r="AA311" s="28"/>
    </row>
    <row r="312" ht="18.75" customHeight="1">
      <c r="A312" s="28"/>
      <c r="B312" s="28"/>
      <c r="C312" s="28"/>
      <c r="D312" s="28"/>
      <c r="E312" s="28"/>
      <c r="F312" s="28"/>
      <c r="G312" s="28"/>
      <c r="H312" s="28"/>
      <c r="I312" s="28"/>
      <c r="J312" s="28"/>
      <c r="K312" s="28"/>
      <c r="L312" s="28"/>
      <c r="M312" s="33"/>
      <c r="N312" s="33"/>
      <c r="O312" s="33"/>
      <c r="P312" s="33"/>
      <c r="Q312" s="28"/>
      <c r="R312" s="28"/>
      <c r="S312" s="28"/>
      <c r="T312" s="28"/>
      <c r="U312" s="28"/>
      <c r="V312" s="28"/>
      <c r="W312" s="28"/>
      <c r="X312" s="28"/>
      <c r="Y312" s="28"/>
      <c r="Z312" s="28"/>
      <c r="AA312" s="28"/>
    </row>
    <row r="313" ht="18.75" customHeight="1">
      <c r="A313" s="28"/>
      <c r="B313" s="28"/>
      <c r="C313" s="28"/>
      <c r="D313" s="28"/>
      <c r="E313" s="28"/>
      <c r="F313" s="28"/>
      <c r="G313" s="28"/>
      <c r="H313" s="28"/>
      <c r="I313" s="28"/>
      <c r="J313" s="28"/>
      <c r="K313" s="28"/>
      <c r="L313" s="28"/>
      <c r="M313" s="33"/>
      <c r="N313" s="33"/>
      <c r="O313" s="33"/>
      <c r="P313" s="33"/>
      <c r="Q313" s="28"/>
      <c r="R313" s="28"/>
      <c r="S313" s="28"/>
      <c r="T313" s="28"/>
      <c r="U313" s="28"/>
      <c r="V313" s="28"/>
      <c r="W313" s="28"/>
      <c r="X313" s="28"/>
      <c r="Y313" s="28"/>
      <c r="Z313" s="28"/>
      <c r="AA313" s="28"/>
    </row>
    <row r="314" ht="18.75" customHeight="1">
      <c r="A314" s="28"/>
      <c r="B314" s="28"/>
      <c r="C314" s="28"/>
      <c r="D314" s="28"/>
      <c r="E314" s="28"/>
      <c r="F314" s="28"/>
      <c r="G314" s="28"/>
      <c r="H314" s="28"/>
      <c r="I314" s="28"/>
      <c r="J314" s="28"/>
      <c r="K314" s="28"/>
      <c r="L314" s="28"/>
      <c r="M314" s="33"/>
      <c r="N314" s="33"/>
      <c r="O314" s="33"/>
      <c r="P314" s="33"/>
      <c r="Q314" s="28"/>
      <c r="R314" s="28"/>
      <c r="S314" s="28"/>
      <c r="T314" s="28"/>
      <c r="U314" s="28"/>
      <c r="V314" s="28"/>
      <c r="W314" s="28"/>
      <c r="X314" s="28"/>
      <c r="Y314" s="28"/>
      <c r="Z314" s="28"/>
      <c r="AA314" s="28"/>
    </row>
    <row r="315" ht="18.75" customHeight="1">
      <c r="A315" s="28"/>
      <c r="B315" s="28"/>
      <c r="C315" s="28"/>
      <c r="D315" s="28"/>
      <c r="E315" s="28"/>
      <c r="F315" s="28"/>
      <c r="G315" s="28"/>
      <c r="H315" s="28"/>
      <c r="I315" s="28"/>
      <c r="J315" s="28"/>
      <c r="K315" s="28"/>
      <c r="L315" s="28"/>
      <c r="M315" s="33"/>
      <c r="N315" s="33"/>
      <c r="O315" s="33"/>
      <c r="P315" s="33"/>
      <c r="Q315" s="28"/>
      <c r="R315" s="28"/>
      <c r="S315" s="28"/>
      <c r="T315" s="28"/>
      <c r="U315" s="28"/>
      <c r="V315" s="28"/>
      <c r="W315" s="28"/>
      <c r="X315" s="28"/>
      <c r="Y315" s="28"/>
      <c r="Z315" s="28"/>
      <c r="AA315" s="28"/>
    </row>
    <row r="316" ht="18.75" customHeight="1">
      <c r="A316" s="28"/>
      <c r="B316" s="28"/>
      <c r="C316" s="28"/>
      <c r="D316" s="28"/>
      <c r="E316" s="28"/>
      <c r="F316" s="28"/>
      <c r="G316" s="28"/>
      <c r="H316" s="28"/>
      <c r="I316" s="28"/>
      <c r="J316" s="28"/>
      <c r="K316" s="28"/>
      <c r="L316" s="28"/>
      <c r="M316" s="33"/>
      <c r="N316" s="33"/>
      <c r="O316" s="33"/>
      <c r="P316" s="33"/>
      <c r="Q316" s="28"/>
      <c r="R316" s="28"/>
      <c r="S316" s="28"/>
      <c r="T316" s="28"/>
      <c r="U316" s="28"/>
      <c r="V316" s="28"/>
      <c r="W316" s="28"/>
      <c r="X316" s="28"/>
      <c r="Y316" s="28"/>
      <c r="Z316" s="28"/>
      <c r="AA316" s="28"/>
    </row>
    <row r="317" ht="18.75" customHeight="1">
      <c r="A317" s="28"/>
      <c r="B317" s="28"/>
      <c r="C317" s="28"/>
      <c r="D317" s="28"/>
      <c r="E317" s="28"/>
      <c r="F317" s="28"/>
      <c r="G317" s="28"/>
      <c r="H317" s="28"/>
      <c r="I317" s="28"/>
      <c r="J317" s="28"/>
      <c r="K317" s="28"/>
      <c r="L317" s="28"/>
      <c r="M317" s="33"/>
      <c r="N317" s="33"/>
      <c r="O317" s="33"/>
      <c r="P317" s="33"/>
      <c r="Q317" s="28"/>
      <c r="R317" s="28"/>
      <c r="S317" s="28"/>
      <c r="T317" s="28"/>
      <c r="U317" s="28"/>
      <c r="V317" s="28"/>
      <c r="W317" s="28"/>
      <c r="X317" s="28"/>
      <c r="Y317" s="28"/>
      <c r="Z317" s="28"/>
      <c r="AA317" s="28"/>
    </row>
    <row r="318" ht="18.75" customHeight="1">
      <c r="A318" s="28"/>
      <c r="B318" s="28"/>
      <c r="C318" s="28"/>
      <c r="D318" s="28"/>
      <c r="E318" s="28"/>
      <c r="F318" s="28"/>
      <c r="G318" s="28"/>
      <c r="H318" s="28"/>
      <c r="I318" s="28"/>
      <c r="J318" s="28"/>
      <c r="K318" s="28"/>
      <c r="L318" s="28"/>
      <c r="M318" s="33"/>
      <c r="N318" s="33"/>
      <c r="O318" s="33"/>
      <c r="P318" s="33"/>
      <c r="Q318" s="28"/>
      <c r="R318" s="28"/>
      <c r="S318" s="28"/>
      <c r="T318" s="28"/>
      <c r="U318" s="28"/>
      <c r="V318" s="28"/>
      <c r="W318" s="28"/>
      <c r="X318" s="28"/>
      <c r="Y318" s="28"/>
      <c r="Z318" s="28"/>
      <c r="AA318" s="28"/>
    </row>
    <row r="319" ht="18.75" customHeight="1">
      <c r="A319" s="28"/>
      <c r="B319" s="28"/>
      <c r="C319" s="28"/>
      <c r="D319" s="28"/>
      <c r="E319" s="28"/>
      <c r="F319" s="28"/>
      <c r="G319" s="28"/>
      <c r="H319" s="28"/>
      <c r="I319" s="28"/>
      <c r="J319" s="28"/>
      <c r="K319" s="28"/>
      <c r="L319" s="28"/>
      <c r="M319" s="33"/>
      <c r="N319" s="33"/>
      <c r="O319" s="33"/>
      <c r="P319" s="33"/>
      <c r="Q319" s="28"/>
      <c r="R319" s="28"/>
      <c r="S319" s="28"/>
      <c r="T319" s="28"/>
      <c r="U319" s="28"/>
      <c r="V319" s="28"/>
      <c r="W319" s="28"/>
      <c r="X319" s="28"/>
      <c r="Y319" s="28"/>
      <c r="Z319" s="28"/>
      <c r="AA319" s="28"/>
    </row>
    <row r="320" ht="18.75" customHeight="1">
      <c r="A320" s="28"/>
      <c r="B320" s="28"/>
      <c r="C320" s="28"/>
      <c r="D320" s="28"/>
      <c r="E320" s="28"/>
      <c r="F320" s="28"/>
      <c r="G320" s="28"/>
      <c r="H320" s="28"/>
      <c r="I320" s="28"/>
      <c r="J320" s="28"/>
      <c r="K320" s="28"/>
      <c r="L320" s="28"/>
      <c r="M320" s="33"/>
      <c r="N320" s="33"/>
      <c r="O320" s="33"/>
      <c r="P320" s="33"/>
      <c r="Q320" s="28"/>
      <c r="R320" s="28"/>
      <c r="S320" s="28"/>
      <c r="T320" s="28"/>
      <c r="U320" s="28"/>
      <c r="V320" s="28"/>
      <c r="W320" s="28"/>
      <c r="X320" s="28"/>
      <c r="Y320" s="28"/>
      <c r="Z320" s="28"/>
      <c r="AA320" s="28"/>
    </row>
    <row r="321" ht="18.75" customHeight="1">
      <c r="A321" s="28"/>
      <c r="B321" s="28"/>
      <c r="C321" s="28"/>
      <c r="D321" s="28"/>
      <c r="E321" s="28"/>
      <c r="F321" s="28"/>
      <c r="G321" s="28"/>
      <c r="H321" s="28"/>
      <c r="I321" s="28"/>
      <c r="J321" s="28"/>
      <c r="K321" s="28"/>
      <c r="L321" s="28"/>
      <c r="M321" s="33"/>
      <c r="N321" s="33"/>
      <c r="O321" s="33"/>
      <c r="P321" s="33"/>
      <c r="Q321" s="28"/>
      <c r="R321" s="28"/>
      <c r="S321" s="28"/>
      <c r="T321" s="28"/>
      <c r="U321" s="28"/>
      <c r="V321" s="28"/>
      <c r="W321" s="28"/>
      <c r="X321" s="28"/>
      <c r="Y321" s="28"/>
      <c r="Z321" s="28"/>
      <c r="AA321" s="28"/>
    </row>
    <row r="322" ht="18.75" customHeight="1">
      <c r="A322" s="28"/>
      <c r="B322" s="28"/>
      <c r="C322" s="28"/>
      <c r="D322" s="28"/>
      <c r="E322" s="28"/>
      <c r="F322" s="28"/>
      <c r="G322" s="28"/>
      <c r="H322" s="28"/>
      <c r="I322" s="28"/>
      <c r="J322" s="28"/>
      <c r="K322" s="28"/>
      <c r="L322" s="28"/>
      <c r="M322" s="33"/>
      <c r="N322" s="33"/>
      <c r="O322" s="33"/>
      <c r="P322" s="33"/>
      <c r="Q322" s="28"/>
      <c r="R322" s="28"/>
      <c r="S322" s="28"/>
      <c r="T322" s="28"/>
      <c r="U322" s="28"/>
      <c r="V322" s="28"/>
      <c r="W322" s="28"/>
      <c r="X322" s="28"/>
      <c r="Y322" s="28"/>
      <c r="Z322" s="28"/>
      <c r="AA322" s="28"/>
    </row>
    <row r="323" ht="18.75" customHeight="1">
      <c r="A323" s="28"/>
      <c r="B323" s="28"/>
      <c r="C323" s="28"/>
      <c r="D323" s="28"/>
      <c r="E323" s="28"/>
      <c r="F323" s="28"/>
      <c r="G323" s="28"/>
      <c r="H323" s="28"/>
      <c r="I323" s="28"/>
      <c r="J323" s="28"/>
      <c r="K323" s="28"/>
      <c r="L323" s="28"/>
      <c r="M323" s="33"/>
      <c r="N323" s="33"/>
      <c r="O323" s="33"/>
      <c r="P323" s="33"/>
      <c r="Q323" s="28"/>
      <c r="R323" s="28"/>
      <c r="S323" s="28"/>
      <c r="T323" s="28"/>
      <c r="U323" s="28"/>
      <c r="V323" s="28"/>
      <c r="W323" s="28"/>
      <c r="X323" s="28"/>
      <c r="Y323" s="28"/>
      <c r="Z323" s="28"/>
      <c r="AA323" s="28"/>
    </row>
    <row r="324" ht="18.75" customHeight="1">
      <c r="A324" s="28"/>
      <c r="B324" s="28"/>
      <c r="C324" s="28"/>
      <c r="D324" s="28"/>
      <c r="E324" s="28"/>
      <c r="F324" s="28"/>
      <c r="G324" s="28"/>
      <c r="H324" s="28"/>
      <c r="I324" s="28"/>
      <c r="J324" s="28"/>
      <c r="K324" s="28"/>
      <c r="L324" s="28"/>
      <c r="M324" s="33"/>
      <c r="N324" s="33"/>
      <c r="O324" s="33"/>
      <c r="P324" s="33"/>
      <c r="Q324" s="28"/>
      <c r="R324" s="28"/>
      <c r="S324" s="28"/>
      <c r="T324" s="28"/>
      <c r="U324" s="28"/>
      <c r="V324" s="28"/>
      <c r="W324" s="28"/>
      <c r="X324" s="28"/>
      <c r="Y324" s="28"/>
      <c r="Z324" s="28"/>
      <c r="AA324" s="28"/>
    </row>
    <row r="325" ht="18.75" customHeight="1">
      <c r="A325" s="28"/>
      <c r="B325" s="28"/>
      <c r="C325" s="28"/>
      <c r="D325" s="28"/>
      <c r="E325" s="28"/>
      <c r="F325" s="28"/>
      <c r="G325" s="28"/>
      <c r="H325" s="28"/>
      <c r="I325" s="28"/>
      <c r="J325" s="28"/>
      <c r="K325" s="28"/>
      <c r="L325" s="28"/>
      <c r="M325" s="33"/>
      <c r="N325" s="33"/>
      <c r="O325" s="33"/>
      <c r="P325" s="33"/>
      <c r="Q325" s="28"/>
      <c r="R325" s="28"/>
      <c r="S325" s="28"/>
      <c r="T325" s="28"/>
      <c r="U325" s="28"/>
      <c r="V325" s="28"/>
      <c r="W325" s="28"/>
      <c r="X325" s="28"/>
      <c r="Y325" s="28"/>
      <c r="Z325" s="28"/>
      <c r="AA325" s="28"/>
    </row>
    <row r="326" ht="18.75" customHeight="1">
      <c r="A326" s="28"/>
      <c r="B326" s="28"/>
      <c r="C326" s="28"/>
      <c r="D326" s="28"/>
      <c r="E326" s="28"/>
      <c r="F326" s="28"/>
      <c r="G326" s="28"/>
      <c r="H326" s="28"/>
      <c r="I326" s="28"/>
      <c r="J326" s="28"/>
      <c r="K326" s="28"/>
      <c r="L326" s="28"/>
      <c r="M326" s="33"/>
      <c r="N326" s="33"/>
      <c r="O326" s="33"/>
      <c r="P326" s="33"/>
      <c r="Q326" s="28"/>
      <c r="R326" s="28"/>
      <c r="S326" s="28"/>
      <c r="T326" s="28"/>
      <c r="U326" s="28"/>
      <c r="V326" s="28"/>
      <c r="W326" s="28"/>
      <c r="X326" s="28"/>
      <c r="Y326" s="28"/>
      <c r="Z326" s="28"/>
      <c r="AA326" s="28"/>
    </row>
    <row r="327" ht="18.75" customHeight="1">
      <c r="A327" s="28"/>
      <c r="B327" s="28"/>
      <c r="C327" s="28"/>
      <c r="D327" s="28"/>
      <c r="E327" s="28"/>
      <c r="F327" s="28"/>
      <c r="G327" s="28"/>
      <c r="H327" s="28"/>
      <c r="I327" s="28"/>
      <c r="J327" s="28"/>
      <c r="K327" s="28"/>
      <c r="L327" s="28"/>
      <c r="M327" s="33"/>
      <c r="N327" s="33"/>
      <c r="O327" s="33"/>
      <c r="P327" s="33"/>
      <c r="Q327" s="28"/>
      <c r="R327" s="28"/>
      <c r="S327" s="28"/>
      <c r="T327" s="28"/>
      <c r="U327" s="28"/>
      <c r="V327" s="28"/>
      <c r="W327" s="28"/>
      <c r="X327" s="28"/>
      <c r="Y327" s="28"/>
      <c r="Z327" s="28"/>
      <c r="AA327" s="28"/>
    </row>
    <row r="328" ht="18.75" customHeight="1">
      <c r="A328" s="28"/>
      <c r="B328" s="28"/>
      <c r="C328" s="28"/>
      <c r="D328" s="28"/>
      <c r="E328" s="28"/>
      <c r="F328" s="28"/>
      <c r="G328" s="28"/>
      <c r="H328" s="28"/>
      <c r="I328" s="28"/>
      <c r="J328" s="28"/>
      <c r="K328" s="28"/>
      <c r="L328" s="28"/>
      <c r="M328" s="33"/>
      <c r="N328" s="33"/>
      <c r="O328" s="33"/>
      <c r="P328" s="33"/>
      <c r="Q328" s="28"/>
      <c r="R328" s="28"/>
      <c r="S328" s="28"/>
      <c r="T328" s="28"/>
      <c r="U328" s="28"/>
      <c r="V328" s="28"/>
      <c r="W328" s="28"/>
      <c r="X328" s="28"/>
      <c r="Y328" s="28"/>
      <c r="Z328" s="28"/>
      <c r="AA328" s="28"/>
    </row>
    <row r="329" ht="18.75" customHeight="1">
      <c r="A329" s="28"/>
      <c r="B329" s="28"/>
      <c r="C329" s="28"/>
      <c r="D329" s="28"/>
      <c r="E329" s="28"/>
      <c r="F329" s="28"/>
      <c r="G329" s="28"/>
      <c r="H329" s="28"/>
      <c r="I329" s="28"/>
      <c r="J329" s="28"/>
      <c r="K329" s="28"/>
      <c r="L329" s="28"/>
      <c r="M329" s="33"/>
      <c r="N329" s="33"/>
      <c r="O329" s="33"/>
      <c r="P329" s="33"/>
      <c r="Q329" s="28"/>
      <c r="R329" s="28"/>
      <c r="S329" s="28"/>
      <c r="T329" s="28"/>
      <c r="U329" s="28"/>
      <c r="V329" s="28"/>
      <c r="W329" s="28"/>
      <c r="X329" s="28"/>
      <c r="Y329" s="28"/>
      <c r="Z329" s="28"/>
      <c r="AA329" s="28"/>
    </row>
    <row r="330" ht="18.75" customHeight="1">
      <c r="A330" s="28"/>
      <c r="B330" s="28"/>
      <c r="C330" s="28"/>
      <c r="D330" s="28"/>
      <c r="E330" s="28"/>
      <c r="F330" s="28"/>
      <c r="G330" s="28"/>
      <c r="H330" s="28"/>
      <c r="I330" s="28"/>
      <c r="J330" s="28"/>
      <c r="K330" s="28"/>
      <c r="L330" s="28"/>
      <c r="M330" s="33"/>
      <c r="N330" s="33"/>
      <c r="O330" s="33"/>
      <c r="P330" s="33"/>
      <c r="Q330" s="28"/>
      <c r="R330" s="28"/>
      <c r="S330" s="28"/>
      <c r="T330" s="28"/>
      <c r="U330" s="28"/>
      <c r="V330" s="28"/>
      <c r="W330" s="28"/>
      <c r="X330" s="28"/>
      <c r="Y330" s="28"/>
      <c r="Z330" s="28"/>
      <c r="AA330" s="28"/>
    </row>
    <row r="331" ht="18.75" customHeight="1">
      <c r="A331" s="28"/>
      <c r="B331" s="28"/>
      <c r="C331" s="28"/>
      <c r="D331" s="28"/>
      <c r="E331" s="28"/>
      <c r="F331" s="28"/>
      <c r="G331" s="28"/>
      <c r="H331" s="28"/>
      <c r="I331" s="28"/>
      <c r="J331" s="28"/>
      <c r="K331" s="28"/>
      <c r="L331" s="28"/>
      <c r="M331" s="33"/>
      <c r="N331" s="33"/>
      <c r="O331" s="33"/>
      <c r="P331" s="33"/>
      <c r="Q331" s="28"/>
      <c r="R331" s="28"/>
      <c r="S331" s="28"/>
      <c r="T331" s="28"/>
      <c r="U331" s="28"/>
      <c r="V331" s="28"/>
      <c r="W331" s="28"/>
      <c r="X331" s="28"/>
      <c r="Y331" s="28"/>
      <c r="Z331" s="28"/>
      <c r="AA331" s="28"/>
    </row>
    <row r="332" ht="18.75" customHeight="1">
      <c r="A332" s="28"/>
      <c r="B332" s="28"/>
      <c r="C332" s="28"/>
      <c r="D332" s="28"/>
      <c r="E332" s="28"/>
      <c r="F332" s="28"/>
      <c r="G332" s="28"/>
      <c r="H332" s="28"/>
      <c r="I332" s="28"/>
      <c r="J332" s="28"/>
      <c r="K332" s="28"/>
      <c r="L332" s="28"/>
      <c r="M332" s="33"/>
      <c r="N332" s="33"/>
      <c r="O332" s="33"/>
      <c r="P332" s="33"/>
      <c r="Q332" s="28"/>
      <c r="R332" s="28"/>
      <c r="S332" s="28"/>
      <c r="T332" s="28"/>
      <c r="U332" s="28"/>
      <c r="V332" s="28"/>
      <c r="W332" s="28"/>
      <c r="X332" s="28"/>
      <c r="Y332" s="28"/>
      <c r="Z332" s="28"/>
      <c r="AA332" s="28"/>
    </row>
    <row r="333" ht="18.75" customHeight="1">
      <c r="A333" s="28"/>
      <c r="B333" s="28"/>
      <c r="C333" s="28"/>
      <c r="D333" s="28"/>
      <c r="E333" s="28"/>
      <c r="F333" s="28"/>
      <c r="G333" s="28"/>
      <c r="H333" s="28"/>
      <c r="I333" s="28"/>
      <c r="J333" s="28"/>
      <c r="K333" s="28"/>
      <c r="L333" s="28"/>
      <c r="M333" s="33"/>
      <c r="N333" s="33"/>
      <c r="O333" s="33"/>
      <c r="P333" s="33"/>
      <c r="Q333" s="28"/>
      <c r="R333" s="28"/>
      <c r="S333" s="28"/>
      <c r="T333" s="28"/>
      <c r="U333" s="28"/>
      <c r="V333" s="28"/>
      <c r="W333" s="28"/>
      <c r="X333" s="28"/>
      <c r="Y333" s="28"/>
      <c r="Z333" s="28"/>
      <c r="AA333" s="28"/>
    </row>
    <row r="334" ht="18.75" customHeight="1">
      <c r="A334" s="28"/>
      <c r="B334" s="28"/>
      <c r="C334" s="28"/>
      <c r="D334" s="28"/>
      <c r="E334" s="28"/>
      <c r="F334" s="28"/>
      <c r="G334" s="28"/>
      <c r="H334" s="28"/>
      <c r="I334" s="28"/>
      <c r="J334" s="28"/>
      <c r="K334" s="28"/>
      <c r="L334" s="28"/>
      <c r="M334" s="33"/>
      <c r="N334" s="33"/>
      <c r="O334" s="33"/>
      <c r="P334" s="33"/>
      <c r="Q334" s="28"/>
      <c r="R334" s="28"/>
      <c r="S334" s="28"/>
      <c r="T334" s="28"/>
      <c r="U334" s="28"/>
      <c r="V334" s="28"/>
      <c r="W334" s="28"/>
      <c r="X334" s="28"/>
      <c r="Y334" s="28"/>
      <c r="Z334" s="28"/>
      <c r="AA334" s="28"/>
    </row>
    <row r="335" ht="18.75" customHeight="1">
      <c r="A335" s="28"/>
      <c r="B335" s="28"/>
      <c r="C335" s="28"/>
      <c r="D335" s="28"/>
      <c r="E335" s="28"/>
      <c r="F335" s="28"/>
      <c r="G335" s="28"/>
      <c r="H335" s="28"/>
      <c r="I335" s="28"/>
      <c r="J335" s="28"/>
      <c r="K335" s="28"/>
      <c r="L335" s="28"/>
      <c r="M335" s="33"/>
      <c r="N335" s="33"/>
      <c r="O335" s="33"/>
      <c r="P335" s="33"/>
      <c r="Q335" s="28"/>
      <c r="R335" s="28"/>
      <c r="S335" s="28"/>
      <c r="T335" s="28"/>
      <c r="U335" s="28"/>
      <c r="V335" s="28"/>
      <c r="W335" s="28"/>
      <c r="X335" s="28"/>
      <c r="Y335" s="28"/>
      <c r="Z335" s="28"/>
      <c r="AA335" s="28"/>
    </row>
    <row r="336" ht="18.75" customHeight="1">
      <c r="A336" s="28"/>
      <c r="B336" s="28"/>
      <c r="C336" s="28"/>
      <c r="D336" s="28"/>
      <c r="E336" s="28"/>
      <c r="F336" s="28"/>
      <c r="G336" s="28"/>
      <c r="H336" s="28"/>
      <c r="I336" s="28"/>
      <c r="J336" s="28"/>
      <c r="K336" s="28"/>
      <c r="L336" s="28"/>
      <c r="M336" s="33"/>
      <c r="N336" s="33"/>
      <c r="O336" s="33"/>
      <c r="P336" s="33"/>
      <c r="Q336" s="28"/>
      <c r="R336" s="28"/>
      <c r="S336" s="28"/>
      <c r="T336" s="28"/>
      <c r="U336" s="28"/>
      <c r="V336" s="28"/>
      <c r="W336" s="28"/>
      <c r="X336" s="28"/>
      <c r="Y336" s="28"/>
      <c r="Z336" s="28"/>
      <c r="AA336" s="28"/>
    </row>
    <row r="337" ht="18.75" customHeight="1">
      <c r="A337" s="28"/>
      <c r="B337" s="28"/>
      <c r="C337" s="28"/>
      <c r="D337" s="28"/>
      <c r="E337" s="28"/>
      <c r="F337" s="28"/>
      <c r="G337" s="28"/>
      <c r="H337" s="28"/>
      <c r="I337" s="28"/>
      <c r="J337" s="28"/>
      <c r="K337" s="28"/>
      <c r="L337" s="28"/>
      <c r="M337" s="33"/>
      <c r="N337" s="33"/>
      <c r="O337" s="33"/>
      <c r="P337" s="33"/>
      <c r="Q337" s="28"/>
      <c r="R337" s="28"/>
      <c r="S337" s="28"/>
      <c r="T337" s="28"/>
      <c r="U337" s="28"/>
      <c r="V337" s="28"/>
      <c r="W337" s="28"/>
      <c r="X337" s="28"/>
      <c r="Y337" s="28"/>
      <c r="Z337" s="28"/>
      <c r="AA337" s="28"/>
    </row>
    <row r="338" ht="18.75" customHeight="1">
      <c r="A338" s="28"/>
      <c r="B338" s="28"/>
      <c r="C338" s="28"/>
      <c r="D338" s="28"/>
      <c r="E338" s="28"/>
      <c r="F338" s="28"/>
      <c r="G338" s="28"/>
      <c r="H338" s="28"/>
      <c r="I338" s="28"/>
      <c r="J338" s="28"/>
      <c r="K338" s="28"/>
      <c r="L338" s="28"/>
      <c r="M338" s="33"/>
      <c r="N338" s="33"/>
      <c r="O338" s="33"/>
      <c r="P338" s="33"/>
      <c r="Q338" s="28"/>
      <c r="R338" s="28"/>
      <c r="S338" s="28"/>
      <c r="T338" s="28"/>
      <c r="U338" s="28"/>
      <c r="V338" s="28"/>
      <c r="W338" s="28"/>
      <c r="X338" s="28"/>
      <c r="Y338" s="28"/>
      <c r="Z338" s="28"/>
      <c r="AA338" s="28"/>
    </row>
    <row r="339" ht="18.75" customHeight="1">
      <c r="A339" s="28"/>
      <c r="B339" s="28"/>
      <c r="C339" s="28"/>
      <c r="D339" s="28"/>
      <c r="E339" s="28"/>
      <c r="F339" s="28"/>
      <c r="G339" s="28"/>
      <c r="H339" s="28"/>
      <c r="I339" s="28"/>
      <c r="J339" s="28"/>
      <c r="K339" s="28"/>
      <c r="L339" s="28"/>
      <c r="M339" s="33"/>
      <c r="N339" s="33"/>
      <c r="O339" s="33"/>
      <c r="P339" s="33"/>
      <c r="Q339" s="28"/>
      <c r="R339" s="28"/>
      <c r="S339" s="28"/>
      <c r="T339" s="28"/>
      <c r="U339" s="28"/>
      <c r="V339" s="28"/>
      <c r="W339" s="28"/>
      <c r="X339" s="28"/>
      <c r="Y339" s="28"/>
      <c r="Z339" s="28"/>
      <c r="AA339" s="28"/>
    </row>
    <row r="340" ht="18.75" customHeight="1">
      <c r="A340" s="28"/>
      <c r="B340" s="28"/>
      <c r="C340" s="28"/>
      <c r="D340" s="28"/>
      <c r="E340" s="28"/>
      <c r="F340" s="28"/>
      <c r="G340" s="28"/>
      <c r="H340" s="28"/>
      <c r="I340" s="28"/>
      <c r="J340" s="28"/>
      <c r="K340" s="28"/>
      <c r="L340" s="28"/>
      <c r="M340" s="33"/>
      <c r="N340" s="33"/>
      <c r="O340" s="33"/>
      <c r="P340" s="33"/>
      <c r="Q340" s="28"/>
      <c r="R340" s="28"/>
      <c r="S340" s="28"/>
      <c r="T340" s="28"/>
      <c r="U340" s="28"/>
      <c r="V340" s="28"/>
      <c r="W340" s="28"/>
      <c r="X340" s="28"/>
      <c r="Y340" s="28"/>
      <c r="Z340" s="28"/>
      <c r="AA340" s="28"/>
    </row>
    <row r="341" ht="18.75" customHeight="1">
      <c r="A341" s="28"/>
      <c r="B341" s="28"/>
      <c r="C341" s="28"/>
      <c r="D341" s="28"/>
      <c r="E341" s="28"/>
      <c r="F341" s="28"/>
      <c r="G341" s="28"/>
      <c r="H341" s="28"/>
      <c r="I341" s="28"/>
      <c r="J341" s="28"/>
      <c r="K341" s="28"/>
      <c r="L341" s="28"/>
      <c r="M341" s="33"/>
      <c r="N341" s="33"/>
      <c r="O341" s="33"/>
      <c r="P341" s="33"/>
      <c r="Q341" s="28"/>
      <c r="R341" s="28"/>
      <c r="S341" s="28"/>
      <c r="T341" s="28"/>
      <c r="U341" s="28"/>
      <c r="V341" s="28"/>
      <c r="W341" s="28"/>
      <c r="X341" s="28"/>
      <c r="Y341" s="28"/>
      <c r="Z341" s="28"/>
      <c r="AA341" s="28"/>
    </row>
    <row r="342" ht="18.75" customHeight="1">
      <c r="A342" s="28"/>
      <c r="B342" s="28"/>
      <c r="C342" s="28"/>
      <c r="D342" s="28"/>
      <c r="E342" s="28"/>
      <c r="F342" s="28"/>
      <c r="G342" s="28"/>
      <c r="H342" s="28"/>
      <c r="I342" s="28"/>
      <c r="J342" s="28"/>
      <c r="K342" s="28"/>
      <c r="L342" s="28"/>
      <c r="M342" s="33"/>
      <c r="N342" s="33"/>
      <c r="O342" s="33"/>
      <c r="P342" s="33"/>
      <c r="Q342" s="28"/>
      <c r="R342" s="28"/>
      <c r="S342" s="28"/>
      <c r="T342" s="28"/>
      <c r="U342" s="28"/>
      <c r="V342" s="28"/>
      <c r="W342" s="28"/>
      <c r="X342" s="28"/>
      <c r="Y342" s="28"/>
      <c r="Z342" s="28"/>
      <c r="AA342" s="28"/>
    </row>
    <row r="343" ht="18.75" customHeight="1">
      <c r="A343" s="28"/>
      <c r="B343" s="28"/>
      <c r="C343" s="28"/>
      <c r="D343" s="28"/>
      <c r="E343" s="28"/>
      <c r="F343" s="28"/>
      <c r="G343" s="28"/>
      <c r="H343" s="28"/>
      <c r="I343" s="28"/>
      <c r="J343" s="28"/>
      <c r="K343" s="28"/>
      <c r="L343" s="28"/>
      <c r="M343" s="33"/>
      <c r="N343" s="33"/>
      <c r="O343" s="33"/>
      <c r="P343" s="33"/>
      <c r="Q343" s="28"/>
      <c r="R343" s="28"/>
      <c r="S343" s="28"/>
      <c r="T343" s="28"/>
      <c r="U343" s="28"/>
      <c r="V343" s="28"/>
      <c r="W343" s="28"/>
      <c r="X343" s="28"/>
      <c r="Y343" s="28"/>
      <c r="Z343" s="28"/>
      <c r="AA343" s="28"/>
    </row>
    <row r="344" ht="18.75" customHeight="1">
      <c r="A344" s="28"/>
      <c r="B344" s="28"/>
      <c r="C344" s="28"/>
      <c r="D344" s="28"/>
      <c r="E344" s="28"/>
      <c r="F344" s="28"/>
      <c r="G344" s="28"/>
      <c r="H344" s="28"/>
      <c r="I344" s="28"/>
      <c r="J344" s="28"/>
      <c r="K344" s="28"/>
      <c r="L344" s="28"/>
      <c r="M344" s="33"/>
      <c r="N344" s="33"/>
      <c r="O344" s="33"/>
      <c r="P344" s="33"/>
      <c r="Q344" s="28"/>
      <c r="R344" s="28"/>
      <c r="S344" s="28"/>
      <c r="T344" s="28"/>
      <c r="U344" s="28"/>
      <c r="V344" s="28"/>
      <c r="W344" s="28"/>
      <c r="X344" s="28"/>
      <c r="Y344" s="28"/>
      <c r="Z344" s="28"/>
      <c r="AA344" s="28"/>
    </row>
    <row r="345" ht="18.75" customHeight="1">
      <c r="A345" s="28"/>
      <c r="B345" s="28"/>
      <c r="C345" s="28"/>
      <c r="D345" s="28"/>
      <c r="E345" s="28"/>
      <c r="F345" s="28"/>
      <c r="G345" s="28"/>
      <c r="H345" s="28"/>
      <c r="I345" s="28"/>
      <c r="J345" s="28"/>
      <c r="K345" s="28"/>
      <c r="L345" s="28"/>
      <c r="M345" s="33"/>
      <c r="N345" s="33"/>
      <c r="O345" s="33"/>
      <c r="P345" s="33"/>
      <c r="Q345" s="28"/>
      <c r="R345" s="28"/>
      <c r="S345" s="28"/>
      <c r="T345" s="28"/>
      <c r="U345" s="28"/>
      <c r="V345" s="28"/>
      <c r="W345" s="28"/>
      <c r="X345" s="28"/>
      <c r="Y345" s="28"/>
      <c r="Z345" s="28"/>
      <c r="AA345" s="28"/>
    </row>
    <row r="346" ht="18.75" customHeight="1">
      <c r="A346" s="28"/>
      <c r="B346" s="28"/>
      <c r="C346" s="28"/>
      <c r="D346" s="28"/>
      <c r="E346" s="28"/>
      <c r="F346" s="28"/>
      <c r="G346" s="28"/>
      <c r="H346" s="28"/>
      <c r="I346" s="28"/>
      <c r="J346" s="28"/>
      <c r="K346" s="28"/>
      <c r="L346" s="28"/>
      <c r="M346" s="33"/>
      <c r="N346" s="33"/>
      <c r="O346" s="33"/>
      <c r="P346" s="33"/>
      <c r="Q346" s="28"/>
      <c r="R346" s="28"/>
      <c r="S346" s="28"/>
      <c r="T346" s="28"/>
      <c r="U346" s="28"/>
      <c r="V346" s="28"/>
      <c r="W346" s="28"/>
      <c r="X346" s="28"/>
      <c r="Y346" s="28"/>
      <c r="Z346" s="28"/>
      <c r="AA346" s="28"/>
    </row>
    <row r="347" ht="18.75" customHeight="1">
      <c r="A347" s="28"/>
      <c r="B347" s="28"/>
      <c r="C347" s="28"/>
      <c r="D347" s="28"/>
      <c r="E347" s="28"/>
      <c r="F347" s="28"/>
      <c r="G347" s="28"/>
      <c r="H347" s="28"/>
      <c r="I347" s="28"/>
      <c r="J347" s="28"/>
      <c r="K347" s="28"/>
      <c r="L347" s="28"/>
      <c r="M347" s="33"/>
      <c r="N347" s="33"/>
      <c r="O347" s="33"/>
      <c r="P347" s="33"/>
      <c r="Q347" s="28"/>
      <c r="R347" s="28"/>
      <c r="S347" s="28"/>
      <c r="T347" s="28"/>
      <c r="U347" s="28"/>
      <c r="V347" s="28"/>
      <c r="W347" s="28"/>
      <c r="X347" s="28"/>
      <c r="Y347" s="28"/>
      <c r="Z347" s="28"/>
      <c r="AA347" s="28"/>
    </row>
    <row r="348" ht="18.75" customHeight="1">
      <c r="A348" s="28"/>
      <c r="B348" s="28"/>
      <c r="C348" s="28"/>
      <c r="D348" s="28"/>
      <c r="E348" s="28"/>
      <c r="F348" s="28"/>
      <c r="G348" s="28"/>
      <c r="H348" s="28"/>
      <c r="I348" s="28"/>
      <c r="J348" s="28"/>
      <c r="K348" s="28"/>
      <c r="L348" s="28"/>
      <c r="M348" s="33"/>
      <c r="N348" s="33"/>
      <c r="O348" s="33"/>
      <c r="P348" s="33"/>
      <c r="Q348" s="28"/>
      <c r="R348" s="28"/>
      <c r="S348" s="28"/>
      <c r="T348" s="28"/>
      <c r="U348" s="28"/>
      <c r="V348" s="28"/>
      <c r="W348" s="28"/>
      <c r="X348" s="28"/>
      <c r="Y348" s="28"/>
      <c r="Z348" s="28"/>
      <c r="AA348" s="28"/>
    </row>
    <row r="349" ht="18.75" customHeight="1">
      <c r="A349" s="28"/>
      <c r="B349" s="28"/>
      <c r="C349" s="28"/>
      <c r="D349" s="28"/>
      <c r="E349" s="28"/>
      <c r="F349" s="28"/>
      <c r="G349" s="28"/>
      <c r="H349" s="28"/>
      <c r="I349" s="28"/>
      <c r="J349" s="28"/>
      <c r="K349" s="28"/>
      <c r="L349" s="28"/>
      <c r="M349" s="33"/>
      <c r="N349" s="33"/>
      <c r="O349" s="33"/>
      <c r="P349" s="33"/>
      <c r="Q349" s="28"/>
      <c r="R349" s="28"/>
      <c r="S349" s="28"/>
      <c r="T349" s="28"/>
      <c r="U349" s="28"/>
      <c r="V349" s="28"/>
      <c r="W349" s="28"/>
      <c r="X349" s="28"/>
      <c r="Y349" s="28"/>
      <c r="Z349" s="28"/>
      <c r="AA349" s="28"/>
    </row>
    <row r="350" ht="18.75" customHeight="1">
      <c r="A350" s="28"/>
      <c r="B350" s="28"/>
      <c r="C350" s="28"/>
      <c r="D350" s="28"/>
      <c r="E350" s="28"/>
      <c r="F350" s="28"/>
      <c r="G350" s="28"/>
      <c r="H350" s="28"/>
      <c r="I350" s="28"/>
      <c r="J350" s="28"/>
      <c r="K350" s="28"/>
      <c r="L350" s="28"/>
      <c r="M350" s="33"/>
      <c r="N350" s="33"/>
      <c r="O350" s="33"/>
      <c r="P350" s="33"/>
      <c r="Q350" s="28"/>
      <c r="R350" s="28"/>
      <c r="S350" s="28"/>
      <c r="T350" s="28"/>
      <c r="U350" s="28"/>
      <c r="V350" s="28"/>
      <c r="W350" s="28"/>
      <c r="X350" s="28"/>
      <c r="Y350" s="28"/>
      <c r="Z350" s="28"/>
      <c r="AA350" s="28"/>
    </row>
    <row r="351" ht="18.75" customHeight="1">
      <c r="A351" s="28"/>
      <c r="B351" s="28"/>
      <c r="C351" s="28"/>
      <c r="D351" s="28"/>
      <c r="E351" s="28"/>
      <c r="F351" s="28"/>
      <c r="G351" s="28"/>
      <c r="H351" s="28"/>
      <c r="I351" s="28"/>
      <c r="J351" s="28"/>
      <c r="K351" s="28"/>
      <c r="L351" s="28"/>
      <c r="M351" s="33"/>
      <c r="N351" s="33"/>
      <c r="O351" s="33"/>
      <c r="P351" s="33"/>
      <c r="Q351" s="28"/>
      <c r="R351" s="28"/>
      <c r="S351" s="28"/>
      <c r="T351" s="28"/>
      <c r="U351" s="28"/>
      <c r="V351" s="28"/>
      <c r="W351" s="28"/>
      <c r="X351" s="28"/>
      <c r="Y351" s="28"/>
      <c r="Z351" s="28"/>
      <c r="AA351" s="28"/>
    </row>
    <row r="352" ht="18.75" customHeight="1">
      <c r="A352" s="28"/>
      <c r="B352" s="28"/>
      <c r="C352" s="28"/>
      <c r="D352" s="28"/>
      <c r="E352" s="28"/>
      <c r="F352" s="28"/>
      <c r="G352" s="28"/>
      <c r="H352" s="28"/>
      <c r="I352" s="28"/>
      <c r="J352" s="28"/>
      <c r="K352" s="28"/>
      <c r="L352" s="28"/>
      <c r="M352" s="33"/>
      <c r="N352" s="33"/>
      <c r="O352" s="33"/>
      <c r="P352" s="33"/>
      <c r="Q352" s="28"/>
      <c r="R352" s="28"/>
      <c r="S352" s="28"/>
      <c r="T352" s="28"/>
      <c r="U352" s="28"/>
      <c r="V352" s="28"/>
      <c r="W352" s="28"/>
      <c r="X352" s="28"/>
      <c r="Y352" s="28"/>
      <c r="Z352" s="28"/>
      <c r="AA352" s="28"/>
    </row>
    <row r="353" ht="18.75" customHeight="1">
      <c r="A353" s="28"/>
      <c r="B353" s="28"/>
      <c r="C353" s="28"/>
      <c r="D353" s="28"/>
      <c r="E353" s="28"/>
      <c r="F353" s="28"/>
      <c r="G353" s="28"/>
      <c r="H353" s="28"/>
      <c r="I353" s="28"/>
      <c r="J353" s="28"/>
      <c r="K353" s="28"/>
      <c r="L353" s="28"/>
      <c r="M353" s="33"/>
      <c r="N353" s="33"/>
      <c r="O353" s="33"/>
      <c r="P353" s="33"/>
      <c r="Q353" s="28"/>
      <c r="R353" s="28"/>
      <c r="S353" s="28"/>
      <c r="T353" s="28"/>
      <c r="U353" s="28"/>
      <c r="V353" s="28"/>
      <c r="W353" s="28"/>
      <c r="X353" s="28"/>
      <c r="Y353" s="28"/>
      <c r="Z353" s="28"/>
      <c r="AA353" s="28"/>
    </row>
    <row r="354" ht="18.75" customHeight="1">
      <c r="A354" s="28"/>
      <c r="B354" s="28"/>
      <c r="C354" s="28"/>
      <c r="D354" s="28"/>
      <c r="E354" s="28"/>
      <c r="F354" s="28"/>
      <c r="G354" s="28"/>
      <c r="H354" s="28"/>
      <c r="I354" s="28"/>
      <c r="J354" s="28"/>
      <c r="K354" s="28"/>
      <c r="L354" s="28"/>
      <c r="M354" s="33"/>
      <c r="N354" s="33"/>
      <c r="O354" s="33"/>
      <c r="P354" s="33"/>
      <c r="Q354" s="28"/>
      <c r="R354" s="28"/>
      <c r="S354" s="28"/>
      <c r="T354" s="28"/>
      <c r="U354" s="28"/>
      <c r="V354" s="28"/>
      <c r="W354" s="28"/>
      <c r="X354" s="28"/>
      <c r="Y354" s="28"/>
      <c r="Z354" s="28"/>
      <c r="AA354" s="28"/>
    </row>
    <row r="355" ht="18.75" customHeight="1">
      <c r="A355" s="28"/>
      <c r="B355" s="28"/>
      <c r="C355" s="28"/>
      <c r="D355" s="28"/>
      <c r="E355" s="28"/>
      <c r="F355" s="28"/>
      <c r="G355" s="28"/>
      <c r="H355" s="28"/>
      <c r="I355" s="28"/>
      <c r="J355" s="28"/>
      <c r="K355" s="28"/>
      <c r="L355" s="28"/>
      <c r="M355" s="33"/>
      <c r="N355" s="33"/>
      <c r="O355" s="33"/>
      <c r="P355" s="33"/>
      <c r="Q355" s="28"/>
      <c r="R355" s="28"/>
      <c r="S355" s="28"/>
      <c r="T355" s="28"/>
      <c r="U355" s="28"/>
      <c r="V355" s="28"/>
      <c r="W355" s="28"/>
      <c r="X355" s="28"/>
      <c r="Y355" s="28"/>
      <c r="Z355" s="28"/>
      <c r="AA355" s="28"/>
    </row>
    <row r="356" ht="18.75" customHeight="1">
      <c r="A356" s="28"/>
      <c r="B356" s="28"/>
      <c r="C356" s="28"/>
      <c r="D356" s="28"/>
      <c r="E356" s="28"/>
      <c r="F356" s="28"/>
      <c r="G356" s="28"/>
      <c r="H356" s="28"/>
      <c r="I356" s="28"/>
      <c r="J356" s="28"/>
      <c r="K356" s="28"/>
      <c r="L356" s="28"/>
      <c r="M356" s="33"/>
      <c r="N356" s="33"/>
      <c r="O356" s="33"/>
      <c r="P356" s="33"/>
      <c r="Q356" s="28"/>
      <c r="R356" s="28"/>
      <c r="S356" s="28"/>
      <c r="T356" s="28"/>
      <c r="U356" s="28"/>
      <c r="V356" s="28"/>
      <c r="W356" s="28"/>
      <c r="X356" s="28"/>
      <c r="Y356" s="28"/>
      <c r="Z356" s="28"/>
      <c r="AA356" s="28"/>
    </row>
    <row r="357" ht="18.75" customHeight="1">
      <c r="A357" s="28"/>
      <c r="B357" s="28"/>
      <c r="C357" s="28"/>
      <c r="D357" s="28"/>
      <c r="E357" s="28"/>
      <c r="F357" s="28"/>
      <c r="G357" s="28"/>
      <c r="H357" s="28"/>
      <c r="I357" s="28"/>
      <c r="J357" s="28"/>
      <c r="K357" s="28"/>
      <c r="L357" s="28"/>
      <c r="M357" s="33"/>
      <c r="N357" s="33"/>
      <c r="O357" s="33"/>
      <c r="P357" s="33"/>
      <c r="Q357" s="28"/>
      <c r="R357" s="28"/>
      <c r="S357" s="28"/>
      <c r="T357" s="28"/>
      <c r="U357" s="28"/>
      <c r="V357" s="28"/>
      <c r="W357" s="28"/>
      <c r="X357" s="28"/>
      <c r="Y357" s="28"/>
      <c r="Z357" s="28"/>
      <c r="AA357" s="28"/>
    </row>
    <row r="358" ht="18.75" customHeight="1">
      <c r="A358" s="28"/>
      <c r="B358" s="28"/>
      <c r="C358" s="28"/>
      <c r="D358" s="28"/>
      <c r="E358" s="28"/>
      <c r="F358" s="28"/>
      <c r="G358" s="28"/>
      <c r="H358" s="28"/>
      <c r="I358" s="28"/>
      <c r="J358" s="28"/>
      <c r="K358" s="28"/>
      <c r="L358" s="28"/>
      <c r="M358" s="33"/>
      <c r="N358" s="33"/>
      <c r="O358" s="33"/>
      <c r="P358" s="33"/>
      <c r="Q358" s="28"/>
      <c r="R358" s="28"/>
      <c r="S358" s="28"/>
      <c r="T358" s="28"/>
      <c r="U358" s="28"/>
      <c r="V358" s="28"/>
      <c r="W358" s="28"/>
      <c r="X358" s="28"/>
      <c r="Y358" s="28"/>
      <c r="Z358" s="28"/>
      <c r="AA358" s="28"/>
    </row>
    <row r="359" ht="18.75" customHeight="1">
      <c r="A359" s="28"/>
      <c r="B359" s="28"/>
      <c r="C359" s="28"/>
      <c r="D359" s="28"/>
      <c r="E359" s="28"/>
      <c r="F359" s="28"/>
      <c r="G359" s="28"/>
      <c r="H359" s="28"/>
      <c r="I359" s="28"/>
      <c r="J359" s="28"/>
      <c r="K359" s="28"/>
      <c r="L359" s="28"/>
      <c r="M359" s="33"/>
      <c r="N359" s="33"/>
      <c r="O359" s="33"/>
      <c r="P359" s="33"/>
      <c r="Q359" s="28"/>
      <c r="R359" s="28"/>
      <c r="S359" s="28"/>
      <c r="T359" s="28"/>
      <c r="U359" s="28"/>
      <c r="V359" s="28"/>
      <c r="W359" s="28"/>
      <c r="X359" s="28"/>
      <c r="Y359" s="28"/>
      <c r="Z359" s="28"/>
      <c r="AA359" s="28"/>
    </row>
    <row r="360" ht="18.75" customHeight="1">
      <c r="A360" s="28"/>
      <c r="B360" s="28"/>
      <c r="C360" s="28"/>
      <c r="D360" s="28"/>
      <c r="E360" s="28"/>
      <c r="F360" s="28"/>
      <c r="G360" s="28"/>
      <c r="H360" s="28"/>
      <c r="I360" s="28"/>
      <c r="J360" s="28"/>
      <c r="K360" s="28"/>
      <c r="L360" s="28"/>
      <c r="M360" s="33"/>
      <c r="N360" s="33"/>
      <c r="O360" s="33"/>
      <c r="P360" s="33"/>
      <c r="Q360" s="28"/>
      <c r="R360" s="28"/>
      <c r="S360" s="28"/>
      <c r="T360" s="28"/>
      <c r="U360" s="28"/>
      <c r="V360" s="28"/>
      <c r="W360" s="28"/>
      <c r="X360" s="28"/>
      <c r="Y360" s="28"/>
      <c r="Z360" s="28"/>
      <c r="AA360" s="28"/>
    </row>
    <row r="361" ht="18.75" customHeight="1">
      <c r="A361" s="28"/>
      <c r="B361" s="28"/>
      <c r="C361" s="28"/>
      <c r="D361" s="28"/>
      <c r="E361" s="28"/>
      <c r="F361" s="28"/>
      <c r="G361" s="28"/>
      <c r="H361" s="28"/>
      <c r="I361" s="28"/>
      <c r="J361" s="28"/>
      <c r="K361" s="28"/>
      <c r="L361" s="28"/>
      <c r="M361" s="33"/>
      <c r="N361" s="33"/>
      <c r="O361" s="33"/>
      <c r="P361" s="33"/>
      <c r="Q361" s="28"/>
      <c r="R361" s="28"/>
      <c r="S361" s="28"/>
      <c r="T361" s="28"/>
      <c r="U361" s="28"/>
      <c r="V361" s="28"/>
      <c r="W361" s="28"/>
      <c r="X361" s="28"/>
      <c r="Y361" s="28"/>
      <c r="Z361" s="28"/>
      <c r="AA361" s="28"/>
    </row>
    <row r="362" ht="18.75" customHeight="1">
      <c r="A362" s="28"/>
      <c r="B362" s="28"/>
      <c r="C362" s="28"/>
      <c r="D362" s="28"/>
      <c r="E362" s="28"/>
      <c r="F362" s="28"/>
      <c r="G362" s="28"/>
      <c r="H362" s="28"/>
      <c r="I362" s="28"/>
      <c r="J362" s="28"/>
      <c r="K362" s="28"/>
      <c r="L362" s="28"/>
      <c r="M362" s="33"/>
      <c r="N362" s="33"/>
      <c r="O362" s="33"/>
      <c r="P362" s="33"/>
      <c r="Q362" s="28"/>
      <c r="R362" s="28"/>
      <c r="S362" s="28"/>
      <c r="T362" s="28"/>
      <c r="U362" s="28"/>
      <c r="V362" s="28"/>
      <c r="W362" s="28"/>
      <c r="X362" s="28"/>
      <c r="Y362" s="28"/>
      <c r="Z362" s="28"/>
      <c r="AA362" s="28"/>
    </row>
    <row r="363" ht="18.75" customHeight="1">
      <c r="A363" s="28"/>
      <c r="B363" s="28"/>
      <c r="C363" s="28"/>
      <c r="D363" s="28"/>
      <c r="E363" s="28"/>
      <c r="F363" s="28"/>
      <c r="G363" s="28"/>
      <c r="H363" s="28"/>
      <c r="I363" s="28"/>
      <c r="J363" s="28"/>
      <c r="K363" s="28"/>
      <c r="L363" s="28"/>
      <c r="M363" s="33"/>
      <c r="N363" s="33"/>
      <c r="O363" s="33"/>
      <c r="P363" s="33"/>
      <c r="Q363" s="28"/>
      <c r="R363" s="28"/>
      <c r="S363" s="28"/>
      <c r="T363" s="28"/>
      <c r="U363" s="28"/>
      <c r="V363" s="28"/>
      <c r="W363" s="28"/>
      <c r="X363" s="28"/>
      <c r="Y363" s="28"/>
      <c r="Z363" s="28"/>
      <c r="AA363" s="28"/>
    </row>
    <row r="364" ht="18.75" customHeight="1">
      <c r="A364" s="28"/>
      <c r="B364" s="28"/>
      <c r="C364" s="28"/>
      <c r="D364" s="28"/>
      <c r="E364" s="28"/>
      <c r="F364" s="28"/>
      <c r="G364" s="28"/>
      <c r="H364" s="28"/>
      <c r="I364" s="28"/>
      <c r="J364" s="28"/>
      <c r="K364" s="28"/>
      <c r="L364" s="28"/>
      <c r="M364" s="33"/>
      <c r="N364" s="33"/>
      <c r="O364" s="33"/>
      <c r="P364" s="33"/>
      <c r="Q364" s="28"/>
      <c r="R364" s="28"/>
      <c r="S364" s="28"/>
      <c r="T364" s="28"/>
      <c r="U364" s="28"/>
      <c r="V364" s="28"/>
      <c r="W364" s="28"/>
      <c r="X364" s="28"/>
      <c r="Y364" s="28"/>
      <c r="Z364" s="28"/>
      <c r="AA364" s="28"/>
    </row>
    <row r="365" ht="18.75" customHeight="1">
      <c r="A365" s="28"/>
      <c r="B365" s="28"/>
      <c r="C365" s="28"/>
      <c r="D365" s="28"/>
      <c r="E365" s="28"/>
      <c r="F365" s="28"/>
      <c r="G365" s="28"/>
      <c r="H365" s="28"/>
      <c r="I365" s="28"/>
      <c r="J365" s="28"/>
      <c r="K365" s="28"/>
      <c r="L365" s="28"/>
      <c r="M365" s="33"/>
      <c r="N365" s="33"/>
      <c r="O365" s="33"/>
      <c r="P365" s="33"/>
      <c r="Q365" s="28"/>
      <c r="R365" s="28"/>
      <c r="S365" s="28"/>
      <c r="T365" s="28"/>
      <c r="U365" s="28"/>
      <c r="V365" s="28"/>
      <c r="W365" s="28"/>
      <c r="X365" s="28"/>
      <c r="Y365" s="28"/>
      <c r="Z365" s="28"/>
      <c r="AA365" s="28"/>
    </row>
    <row r="366" ht="18.75" customHeight="1">
      <c r="A366" s="28"/>
      <c r="B366" s="28"/>
      <c r="C366" s="28"/>
      <c r="D366" s="28"/>
      <c r="E366" s="28"/>
      <c r="F366" s="28"/>
      <c r="G366" s="28"/>
      <c r="H366" s="28"/>
      <c r="I366" s="28"/>
      <c r="J366" s="28"/>
      <c r="K366" s="28"/>
      <c r="L366" s="28"/>
      <c r="M366" s="33"/>
      <c r="N366" s="33"/>
      <c r="O366" s="33"/>
      <c r="P366" s="33"/>
      <c r="Q366" s="28"/>
      <c r="R366" s="28"/>
      <c r="S366" s="28"/>
      <c r="T366" s="28"/>
      <c r="U366" s="28"/>
      <c r="V366" s="28"/>
      <c r="W366" s="28"/>
      <c r="X366" s="28"/>
      <c r="Y366" s="28"/>
      <c r="Z366" s="28"/>
      <c r="AA366" s="28"/>
    </row>
    <row r="367" ht="18.75" customHeight="1">
      <c r="A367" s="28"/>
      <c r="B367" s="28"/>
      <c r="C367" s="28"/>
      <c r="D367" s="28"/>
      <c r="E367" s="28"/>
      <c r="F367" s="28"/>
      <c r="G367" s="28"/>
      <c r="H367" s="28"/>
      <c r="I367" s="28"/>
      <c r="J367" s="28"/>
      <c r="K367" s="28"/>
      <c r="L367" s="28"/>
      <c r="M367" s="33"/>
      <c r="N367" s="33"/>
      <c r="O367" s="33"/>
      <c r="P367" s="33"/>
      <c r="Q367" s="28"/>
      <c r="R367" s="28"/>
      <c r="S367" s="28"/>
      <c r="T367" s="28"/>
      <c r="U367" s="28"/>
      <c r="V367" s="28"/>
      <c r="W367" s="28"/>
      <c r="X367" s="28"/>
      <c r="Y367" s="28"/>
      <c r="Z367" s="28"/>
      <c r="AA367" s="28"/>
    </row>
    <row r="368" ht="18.75" customHeight="1">
      <c r="A368" s="28"/>
      <c r="B368" s="28"/>
      <c r="C368" s="28"/>
      <c r="D368" s="28"/>
      <c r="E368" s="28"/>
      <c r="F368" s="28"/>
      <c r="G368" s="28"/>
      <c r="H368" s="28"/>
      <c r="I368" s="28"/>
      <c r="J368" s="28"/>
      <c r="K368" s="28"/>
      <c r="L368" s="28"/>
      <c r="M368" s="33"/>
      <c r="N368" s="33"/>
      <c r="O368" s="33"/>
      <c r="P368" s="33"/>
      <c r="Q368" s="28"/>
      <c r="R368" s="28"/>
      <c r="S368" s="28"/>
      <c r="T368" s="28"/>
      <c r="U368" s="28"/>
      <c r="V368" s="28"/>
      <c r="W368" s="28"/>
      <c r="X368" s="28"/>
      <c r="Y368" s="28"/>
      <c r="Z368" s="28"/>
      <c r="AA368" s="28"/>
    </row>
    <row r="369" ht="18.75" customHeight="1">
      <c r="A369" s="28"/>
      <c r="B369" s="28"/>
      <c r="C369" s="28"/>
      <c r="D369" s="28"/>
      <c r="E369" s="28"/>
      <c r="F369" s="28"/>
      <c r="G369" s="28"/>
      <c r="H369" s="28"/>
      <c r="I369" s="28"/>
      <c r="J369" s="28"/>
      <c r="K369" s="28"/>
      <c r="L369" s="28"/>
      <c r="M369" s="33"/>
      <c r="N369" s="33"/>
      <c r="O369" s="33"/>
      <c r="P369" s="33"/>
      <c r="Q369" s="28"/>
      <c r="R369" s="28"/>
      <c r="S369" s="28"/>
      <c r="T369" s="28"/>
      <c r="U369" s="28"/>
      <c r="V369" s="28"/>
      <c r="W369" s="28"/>
      <c r="X369" s="28"/>
      <c r="Y369" s="28"/>
      <c r="Z369" s="28"/>
      <c r="AA369" s="28"/>
    </row>
    <row r="370" ht="18.75" customHeight="1">
      <c r="A370" s="28"/>
      <c r="B370" s="28"/>
      <c r="C370" s="28"/>
      <c r="D370" s="28"/>
      <c r="E370" s="28"/>
      <c r="F370" s="28"/>
      <c r="G370" s="28"/>
      <c r="H370" s="28"/>
      <c r="I370" s="28"/>
      <c r="J370" s="28"/>
      <c r="K370" s="28"/>
      <c r="L370" s="28"/>
      <c r="M370" s="33"/>
      <c r="N370" s="33"/>
      <c r="O370" s="33"/>
      <c r="P370" s="33"/>
      <c r="Q370" s="28"/>
      <c r="R370" s="28"/>
      <c r="S370" s="28"/>
      <c r="T370" s="28"/>
      <c r="U370" s="28"/>
      <c r="V370" s="28"/>
      <c r="W370" s="28"/>
      <c r="X370" s="28"/>
      <c r="Y370" s="28"/>
      <c r="Z370" s="28"/>
      <c r="AA370" s="28"/>
    </row>
    <row r="371" ht="18.75" customHeight="1">
      <c r="A371" s="28"/>
      <c r="B371" s="28"/>
      <c r="C371" s="28"/>
      <c r="D371" s="28"/>
      <c r="E371" s="28"/>
      <c r="F371" s="28"/>
      <c r="G371" s="28"/>
      <c r="H371" s="28"/>
      <c r="I371" s="28"/>
      <c r="J371" s="28"/>
      <c r="K371" s="28"/>
      <c r="L371" s="28"/>
      <c r="M371" s="33"/>
      <c r="N371" s="33"/>
      <c r="O371" s="33"/>
      <c r="P371" s="33"/>
      <c r="Q371" s="28"/>
      <c r="R371" s="28"/>
      <c r="S371" s="28"/>
      <c r="T371" s="28"/>
      <c r="U371" s="28"/>
      <c r="V371" s="28"/>
      <c r="W371" s="28"/>
      <c r="X371" s="28"/>
      <c r="Y371" s="28"/>
      <c r="Z371" s="28"/>
      <c r="AA371" s="28"/>
    </row>
    <row r="372" ht="18.75" customHeight="1">
      <c r="A372" s="28"/>
      <c r="B372" s="28"/>
      <c r="C372" s="28"/>
      <c r="D372" s="28"/>
      <c r="E372" s="28"/>
      <c r="F372" s="28"/>
      <c r="G372" s="28"/>
      <c r="H372" s="28"/>
      <c r="I372" s="28"/>
      <c r="J372" s="28"/>
      <c r="K372" s="28"/>
      <c r="L372" s="28"/>
      <c r="M372" s="33"/>
      <c r="N372" s="33"/>
      <c r="O372" s="33"/>
      <c r="P372" s="33"/>
      <c r="Q372" s="28"/>
      <c r="R372" s="28"/>
      <c r="S372" s="28"/>
      <c r="T372" s="28"/>
      <c r="U372" s="28"/>
      <c r="V372" s="28"/>
      <c r="W372" s="28"/>
      <c r="X372" s="28"/>
      <c r="Y372" s="28"/>
      <c r="Z372" s="28"/>
      <c r="AA372" s="28"/>
    </row>
    <row r="373" ht="18.75" customHeight="1">
      <c r="A373" s="28"/>
      <c r="B373" s="28"/>
      <c r="C373" s="28"/>
      <c r="D373" s="28"/>
      <c r="E373" s="28"/>
      <c r="F373" s="28"/>
      <c r="G373" s="28"/>
      <c r="H373" s="28"/>
      <c r="I373" s="28"/>
      <c r="J373" s="28"/>
      <c r="K373" s="28"/>
      <c r="L373" s="28"/>
      <c r="M373" s="33"/>
      <c r="N373" s="33"/>
      <c r="O373" s="33"/>
      <c r="P373" s="33"/>
      <c r="Q373" s="28"/>
      <c r="R373" s="28"/>
      <c r="S373" s="28"/>
      <c r="T373" s="28"/>
      <c r="U373" s="28"/>
      <c r="V373" s="28"/>
      <c r="W373" s="28"/>
      <c r="X373" s="28"/>
      <c r="Y373" s="28"/>
      <c r="Z373" s="28"/>
      <c r="AA373" s="28"/>
    </row>
    <row r="374" ht="18.75" customHeight="1">
      <c r="A374" s="28"/>
      <c r="B374" s="28"/>
      <c r="C374" s="28"/>
      <c r="D374" s="28"/>
      <c r="E374" s="28"/>
      <c r="F374" s="28"/>
      <c r="G374" s="28"/>
      <c r="H374" s="28"/>
      <c r="I374" s="28"/>
      <c r="J374" s="28"/>
      <c r="K374" s="28"/>
      <c r="L374" s="28"/>
      <c r="M374" s="33"/>
      <c r="N374" s="33"/>
      <c r="O374" s="33"/>
      <c r="P374" s="33"/>
      <c r="Q374" s="28"/>
      <c r="R374" s="28"/>
      <c r="S374" s="28"/>
      <c r="T374" s="28"/>
      <c r="U374" s="28"/>
      <c r="V374" s="28"/>
      <c r="W374" s="28"/>
      <c r="X374" s="28"/>
      <c r="Y374" s="28"/>
      <c r="Z374" s="28"/>
      <c r="AA374" s="28"/>
    </row>
    <row r="375" ht="18.75" customHeight="1">
      <c r="A375" s="28"/>
      <c r="B375" s="28"/>
      <c r="C375" s="28"/>
      <c r="D375" s="28"/>
      <c r="E375" s="28"/>
      <c r="F375" s="28"/>
      <c r="G375" s="28"/>
      <c r="H375" s="28"/>
      <c r="I375" s="28"/>
      <c r="J375" s="28"/>
      <c r="K375" s="28"/>
      <c r="L375" s="28"/>
      <c r="M375" s="33"/>
      <c r="N375" s="33"/>
      <c r="O375" s="33"/>
      <c r="P375" s="33"/>
      <c r="Q375" s="28"/>
      <c r="R375" s="28"/>
      <c r="S375" s="28"/>
      <c r="T375" s="28"/>
      <c r="U375" s="28"/>
      <c r="V375" s="28"/>
      <c r="W375" s="28"/>
      <c r="X375" s="28"/>
      <c r="Y375" s="28"/>
      <c r="Z375" s="28"/>
      <c r="AA375" s="28"/>
    </row>
    <row r="376" ht="18.75" customHeight="1">
      <c r="A376" s="28"/>
      <c r="B376" s="28"/>
      <c r="C376" s="28"/>
      <c r="D376" s="28"/>
      <c r="E376" s="28"/>
      <c r="F376" s="28"/>
      <c r="G376" s="28"/>
      <c r="H376" s="28"/>
      <c r="I376" s="28"/>
      <c r="J376" s="28"/>
      <c r="K376" s="28"/>
      <c r="L376" s="28"/>
      <c r="M376" s="33"/>
      <c r="N376" s="33"/>
      <c r="O376" s="33"/>
      <c r="P376" s="33"/>
      <c r="Q376" s="28"/>
      <c r="R376" s="28"/>
      <c r="S376" s="28"/>
      <c r="T376" s="28"/>
      <c r="U376" s="28"/>
      <c r="V376" s="28"/>
      <c r="W376" s="28"/>
      <c r="X376" s="28"/>
      <c r="Y376" s="28"/>
      <c r="Z376" s="28"/>
      <c r="AA376" s="28"/>
    </row>
    <row r="377" ht="18.75" customHeight="1">
      <c r="A377" s="28"/>
      <c r="B377" s="28"/>
      <c r="C377" s="28"/>
      <c r="D377" s="28"/>
      <c r="E377" s="28"/>
      <c r="F377" s="28"/>
      <c r="G377" s="28"/>
      <c r="H377" s="28"/>
      <c r="I377" s="28"/>
      <c r="J377" s="28"/>
      <c r="K377" s="28"/>
      <c r="L377" s="28"/>
      <c r="M377" s="33"/>
      <c r="N377" s="33"/>
      <c r="O377" s="33"/>
      <c r="P377" s="33"/>
      <c r="Q377" s="28"/>
      <c r="R377" s="28"/>
      <c r="S377" s="28"/>
      <c r="T377" s="28"/>
      <c r="U377" s="28"/>
      <c r="V377" s="28"/>
      <c r="W377" s="28"/>
      <c r="X377" s="28"/>
      <c r="Y377" s="28"/>
      <c r="Z377" s="28"/>
      <c r="AA377" s="28"/>
    </row>
    <row r="378" ht="18.75" customHeight="1">
      <c r="A378" s="28"/>
      <c r="B378" s="28"/>
      <c r="C378" s="28"/>
      <c r="D378" s="28"/>
      <c r="E378" s="28"/>
      <c r="F378" s="28"/>
      <c r="G378" s="28"/>
      <c r="H378" s="28"/>
      <c r="I378" s="28"/>
      <c r="J378" s="28"/>
      <c r="K378" s="28"/>
      <c r="L378" s="28"/>
      <c r="M378" s="33"/>
      <c r="N378" s="33"/>
      <c r="O378" s="33"/>
      <c r="P378" s="33"/>
      <c r="Q378" s="28"/>
      <c r="R378" s="28"/>
      <c r="S378" s="28"/>
      <c r="T378" s="28"/>
      <c r="U378" s="28"/>
      <c r="V378" s="28"/>
      <c r="W378" s="28"/>
      <c r="X378" s="28"/>
      <c r="Y378" s="28"/>
      <c r="Z378" s="28"/>
      <c r="AA378" s="28"/>
    </row>
    <row r="379" ht="18.75" customHeight="1">
      <c r="A379" s="28"/>
      <c r="B379" s="28"/>
      <c r="C379" s="28"/>
      <c r="D379" s="28"/>
      <c r="E379" s="28"/>
      <c r="F379" s="28"/>
      <c r="G379" s="28"/>
      <c r="H379" s="28"/>
      <c r="I379" s="28"/>
      <c r="J379" s="28"/>
      <c r="K379" s="28"/>
      <c r="L379" s="28"/>
      <c r="M379" s="33"/>
      <c r="N379" s="33"/>
      <c r="O379" s="33"/>
      <c r="P379" s="33"/>
      <c r="Q379" s="28"/>
      <c r="R379" s="28"/>
      <c r="S379" s="28"/>
      <c r="T379" s="28"/>
      <c r="U379" s="28"/>
      <c r="V379" s="28"/>
      <c r="W379" s="28"/>
      <c r="X379" s="28"/>
      <c r="Y379" s="28"/>
      <c r="Z379" s="28"/>
      <c r="AA379" s="28"/>
    </row>
    <row r="380" ht="18.75" customHeight="1">
      <c r="A380" s="28"/>
      <c r="B380" s="28"/>
      <c r="C380" s="28"/>
      <c r="D380" s="28"/>
      <c r="E380" s="28"/>
      <c r="F380" s="28"/>
      <c r="G380" s="28"/>
      <c r="H380" s="28"/>
      <c r="I380" s="28"/>
      <c r="J380" s="28"/>
      <c r="K380" s="28"/>
      <c r="L380" s="28"/>
      <c r="M380" s="33"/>
      <c r="N380" s="33"/>
      <c r="O380" s="33"/>
      <c r="P380" s="33"/>
      <c r="Q380" s="28"/>
      <c r="R380" s="28"/>
      <c r="S380" s="28"/>
      <c r="T380" s="28"/>
      <c r="U380" s="28"/>
      <c r="V380" s="28"/>
      <c r="W380" s="28"/>
      <c r="X380" s="28"/>
      <c r="Y380" s="28"/>
      <c r="Z380" s="28"/>
      <c r="AA380" s="28"/>
    </row>
    <row r="381" ht="18.75" customHeight="1">
      <c r="A381" s="28"/>
      <c r="B381" s="28"/>
      <c r="C381" s="28"/>
      <c r="D381" s="28"/>
      <c r="E381" s="28"/>
      <c r="F381" s="28"/>
      <c r="G381" s="28"/>
      <c r="H381" s="28"/>
      <c r="I381" s="28"/>
      <c r="J381" s="28"/>
      <c r="K381" s="28"/>
      <c r="L381" s="28"/>
      <c r="M381" s="33"/>
      <c r="N381" s="33"/>
      <c r="O381" s="33"/>
      <c r="P381" s="33"/>
      <c r="Q381" s="28"/>
      <c r="R381" s="28"/>
      <c r="S381" s="28"/>
      <c r="T381" s="28"/>
      <c r="U381" s="28"/>
      <c r="V381" s="28"/>
      <c r="W381" s="28"/>
      <c r="X381" s="28"/>
      <c r="Y381" s="28"/>
      <c r="Z381" s="28"/>
      <c r="AA381" s="28"/>
    </row>
    <row r="382" ht="18.75" customHeight="1">
      <c r="A382" s="28"/>
      <c r="B382" s="28"/>
      <c r="C382" s="28"/>
      <c r="D382" s="28"/>
      <c r="E382" s="28"/>
      <c r="F382" s="28"/>
      <c r="G382" s="28"/>
      <c r="H382" s="28"/>
      <c r="I382" s="28"/>
      <c r="J382" s="28"/>
      <c r="K382" s="28"/>
      <c r="L382" s="28"/>
      <c r="M382" s="33"/>
      <c r="N382" s="33"/>
      <c r="O382" s="33"/>
      <c r="P382" s="33"/>
      <c r="Q382" s="28"/>
      <c r="R382" s="28"/>
      <c r="S382" s="28"/>
      <c r="T382" s="28"/>
      <c r="U382" s="28"/>
      <c r="V382" s="28"/>
      <c r="W382" s="28"/>
      <c r="X382" s="28"/>
      <c r="Y382" s="28"/>
      <c r="Z382" s="28"/>
      <c r="AA382" s="28"/>
    </row>
    <row r="383" ht="18.75" customHeight="1">
      <c r="A383" s="28"/>
      <c r="B383" s="28"/>
      <c r="C383" s="28"/>
      <c r="D383" s="28"/>
      <c r="E383" s="28"/>
      <c r="F383" s="28"/>
      <c r="G383" s="28"/>
      <c r="H383" s="28"/>
      <c r="I383" s="28"/>
      <c r="J383" s="28"/>
      <c r="K383" s="28"/>
      <c r="L383" s="28"/>
      <c r="M383" s="33"/>
      <c r="N383" s="33"/>
      <c r="O383" s="33"/>
      <c r="P383" s="33"/>
      <c r="Q383" s="28"/>
      <c r="R383" s="28"/>
      <c r="S383" s="28"/>
      <c r="T383" s="28"/>
      <c r="U383" s="28"/>
      <c r="V383" s="28"/>
      <c r="W383" s="28"/>
      <c r="X383" s="28"/>
      <c r="Y383" s="28"/>
      <c r="Z383" s="28"/>
      <c r="AA383" s="28"/>
    </row>
    <row r="384" ht="18.75" customHeight="1">
      <c r="A384" s="28"/>
      <c r="B384" s="28"/>
      <c r="C384" s="28"/>
      <c r="D384" s="28"/>
      <c r="E384" s="28"/>
      <c r="F384" s="28"/>
      <c r="G384" s="28"/>
      <c r="H384" s="28"/>
      <c r="I384" s="28"/>
      <c r="J384" s="28"/>
      <c r="K384" s="28"/>
      <c r="L384" s="28"/>
      <c r="M384" s="33"/>
      <c r="N384" s="33"/>
      <c r="O384" s="33"/>
      <c r="P384" s="33"/>
      <c r="Q384" s="28"/>
      <c r="R384" s="28"/>
      <c r="S384" s="28"/>
      <c r="T384" s="28"/>
      <c r="U384" s="28"/>
      <c r="V384" s="28"/>
      <c r="W384" s="28"/>
      <c r="X384" s="28"/>
      <c r="Y384" s="28"/>
      <c r="Z384" s="28"/>
      <c r="AA384" s="28"/>
    </row>
    <row r="385" ht="18.75" customHeight="1">
      <c r="A385" s="28"/>
      <c r="B385" s="28"/>
      <c r="C385" s="28"/>
      <c r="D385" s="28"/>
      <c r="E385" s="28"/>
      <c r="F385" s="28"/>
      <c r="G385" s="28"/>
      <c r="H385" s="28"/>
      <c r="I385" s="28"/>
      <c r="J385" s="28"/>
      <c r="K385" s="28"/>
      <c r="L385" s="28"/>
      <c r="M385" s="33"/>
      <c r="N385" s="33"/>
      <c r="O385" s="33"/>
      <c r="P385" s="33"/>
      <c r="Q385" s="28"/>
      <c r="R385" s="28"/>
      <c r="S385" s="28"/>
      <c r="T385" s="28"/>
      <c r="U385" s="28"/>
      <c r="V385" s="28"/>
      <c r="W385" s="28"/>
      <c r="X385" s="28"/>
      <c r="Y385" s="28"/>
      <c r="Z385" s="28"/>
      <c r="AA385" s="28"/>
    </row>
    <row r="386" ht="18.75" customHeight="1">
      <c r="A386" s="28"/>
      <c r="B386" s="28"/>
      <c r="C386" s="28"/>
      <c r="D386" s="28"/>
      <c r="E386" s="28"/>
      <c r="F386" s="28"/>
      <c r="G386" s="28"/>
      <c r="H386" s="28"/>
      <c r="I386" s="28"/>
      <c r="J386" s="28"/>
      <c r="K386" s="28"/>
      <c r="L386" s="28"/>
      <c r="M386" s="33"/>
      <c r="N386" s="33"/>
      <c r="O386" s="33"/>
      <c r="P386" s="33"/>
      <c r="Q386" s="28"/>
      <c r="R386" s="28"/>
      <c r="S386" s="28"/>
      <c r="T386" s="28"/>
      <c r="U386" s="28"/>
      <c r="V386" s="28"/>
      <c r="W386" s="28"/>
      <c r="X386" s="28"/>
      <c r="Y386" s="28"/>
      <c r="Z386" s="28"/>
      <c r="AA386" s="28"/>
    </row>
    <row r="387" ht="18.75" customHeight="1">
      <c r="A387" s="28"/>
      <c r="B387" s="28"/>
      <c r="C387" s="28"/>
      <c r="D387" s="28"/>
      <c r="E387" s="28"/>
      <c r="F387" s="28"/>
      <c r="G387" s="28"/>
      <c r="H387" s="28"/>
      <c r="I387" s="28"/>
      <c r="J387" s="28"/>
      <c r="K387" s="28"/>
      <c r="L387" s="28"/>
      <c r="M387" s="33"/>
      <c r="N387" s="33"/>
      <c r="O387" s="33"/>
      <c r="P387" s="33"/>
      <c r="Q387" s="28"/>
      <c r="R387" s="28"/>
      <c r="S387" s="28"/>
      <c r="T387" s="28"/>
      <c r="U387" s="28"/>
      <c r="V387" s="28"/>
      <c r="W387" s="28"/>
      <c r="X387" s="28"/>
      <c r="Y387" s="28"/>
      <c r="Z387" s="28"/>
      <c r="AA387" s="28"/>
    </row>
    <row r="388" ht="18.75" customHeight="1">
      <c r="A388" s="28"/>
      <c r="B388" s="28"/>
      <c r="C388" s="28"/>
      <c r="D388" s="28"/>
      <c r="E388" s="28"/>
      <c r="F388" s="28"/>
      <c r="G388" s="28"/>
      <c r="H388" s="28"/>
      <c r="I388" s="28"/>
      <c r="J388" s="28"/>
      <c r="K388" s="28"/>
      <c r="L388" s="28"/>
      <c r="M388" s="33"/>
      <c r="N388" s="33"/>
      <c r="O388" s="33"/>
      <c r="P388" s="33"/>
      <c r="Q388" s="28"/>
      <c r="R388" s="28"/>
      <c r="S388" s="28"/>
      <c r="T388" s="28"/>
      <c r="U388" s="28"/>
      <c r="V388" s="28"/>
      <c r="W388" s="28"/>
      <c r="X388" s="28"/>
      <c r="Y388" s="28"/>
      <c r="Z388" s="28"/>
      <c r="AA388" s="28"/>
    </row>
    <row r="389" ht="18.75" customHeight="1">
      <c r="A389" s="28"/>
      <c r="B389" s="28"/>
      <c r="C389" s="28"/>
      <c r="D389" s="28"/>
      <c r="E389" s="28"/>
      <c r="F389" s="28"/>
      <c r="G389" s="28"/>
      <c r="H389" s="28"/>
      <c r="I389" s="28"/>
      <c r="J389" s="28"/>
      <c r="K389" s="28"/>
      <c r="L389" s="28"/>
      <c r="M389" s="33"/>
      <c r="N389" s="33"/>
      <c r="O389" s="33"/>
      <c r="P389" s="33"/>
      <c r="Q389" s="28"/>
      <c r="R389" s="28"/>
      <c r="S389" s="28"/>
      <c r="T389" s="28"/>
      <c r="U389" s="28"/>
      <c r="V389" s="28"/>
      <c r="W389" s="28"/>
      <c r="X389" s="28"/>
      <c r="Y389" s="28"/>
      <c r="Z389" s="28"/>
      <c r="AA389" s="28"/>
    </row>
    <row r="390" ht="18.75" customHeight="1">
      <c r="A390" s="28"/>
      <c r="B390" s="28"/>
      <c r="C390" s="28"/>
      <c r="D390" s="28"/>
      <c r="E390" s="28"/>
      <c r="F390" s="28"/>
      <c r="G390" s="28"/>
      <c r="H390" s="28"/>
      <c r="I390" s="28"/>
      <c r="J390" s="28"/>
      <c r="K390" s="28"/>
      <c r="L390" s="28"/>
      <c r="M390" s="33"/>
      <c r="N390" s="33"/>
      <c r="O390" s="33"/>
      <c r="P390" s="33"/>
      <c r="Q390" s="28"/>
      <c r="R390" s="28"/>
      <c r="S390" s="28"/>
      <c r="T390" s="28"/>
      <c r="U390" s="28"/>
      <c r="V390" s="28"/>
      <c r="W390" s="28"/>
      <c r="X390" s="28"/>
      <c r="Y390" s="28"/>
      <c r="Z390" s="28"/>
      <c r="AA390" s="28"/>
    </row>
    <row r="391" ht="18.75" customHeight="1">
      <c r="A391" s="28"/>
      <c r="B391" s="28"/>
      <c r="C391" s="28"/>
      <c r="D391" s="28"/>
      <c r="E391" s="28"/>
      <c r="F391" s="28"/>
      <c r="G391" s="28"/>
      <c r="H391" s="28"/>
      <c r="I391" s="28"/>
      <c r="J391" s="28"/>
      <c r="K391" s="28"/>
      <c r="L391" s="28"/>
      <c r="M391" s="33"/>
      <c r="N391" s="33"/>
      <c r="O391" s="33"/>
      <c r="P391" s="33"/>
      <c r="Q391" s="28"/>
      <c r="R391" s="28"/>
      <c r="S391" s="28"/>
      <c r="T391" s="28"/>
      <c r="U391" s="28"/>
      <c r="V391" s="28"/>
      <c r="W391" s="28"/>
      <c r="X391" s="28"/>
      <c r="Y391" s="28"/>
      <c r="Z391" s="28"/>
      <c r="AA391" s="28"/>
    </row>
    <row r="392" ht="18.75" customHeight="1">
      <c r="A392" s="28"/>
      <c r="B392" s="28"/>
      <c r="C392" s="28"/>
      <c r="D392" s="28"/>
      <c r="E392" s="28"/>
      <c r="F392" s="28"/>
      <c r="G392" s="28"/>
      <c r="H392" s="28"/>
      <c r="I392" s="28"/>
      <c r="J392" s="28"/>
      <c r="K392" s="28"/>
      <c r="L392" s="28"/>
      <c r="M392" s="33"/>
      <c r="N392" s="33"/>
      <c r="O392" s="33"/>
      <c r="P392" s="33"/>
      <c r="Q392" s="28"/>
      <c r="R392" s="28"/>
      <c r="S392" s="28"/>
      <c r="T392" s="28"/>
      <c r="U392" s="28"/>
      <c r="V392" s="28"/>
      <c r="W392" s="28"/>
      <c r="X392" s="28"/>
      <c r="Y392" s="28"/>
      <c r="Z392" s="28"/>
      <c r="AA392" s="28"/>
    </row>
    <row r="393" ht="18.75" customHeight="1">
      <c r="A393" s="28"/>
      <c r="B393" s="28"/>
      <c r="C393" s="28"/>
      <c r="D393" s="28"/>
      <c r="E393" s="28"/>
      <c r="F393" s="28"/>
      <c r="G393" s="28"/>
      <c r="H393" s="28"/>
      <c r="I393" s="28"/>
      <c r="J393" s="28"/>
      <c r="K393" s="28"/>
      <c r="L393" s="28"/>
      <c r="M393" s="33"/>
      <c r="N393" s="33"/>
      <c r="O393" s="33"/>
      <c r="P393" s="33"/>
      <c r="Q393" s="28"/>
      <c r="R393" s="28"/>
      <c r="S393" s="28"/>
      <c r="T393" s="28"/>
      <c r="U393" s="28"/>
      <c r="V393" s="28"/>
      <c r="W393" s="28"/>
      <c r="X393" s="28"/>
      <c r="Y393" s="28"/>
      <c r="Z393" s="28"/>
      <c r="AA393" s="28"/>
    </row>
    <row r="394" ht="18.75" customHeight="1">
      <c r="A394" s="28"/>
      <c r="B394" s="28"/>
      <c r="C394" s="28"/>
      <c r="D394" s="28"/>
      <c r="E394" s="28"/>
      <c r="F394" s="28"/>
      <c r="G394" s="28"/>
      <c r="H394" s="28"/>
      <c r="I394" s="28"/>
      <c r="J394" s="28"/>
      <c r="K394" s="28"/>
      <c r="L394" s="28"/>
      <c r="M394" s="33"/>
      <c r="N394" s="33"/>
      <c r="O394" s="33"/>
      <c r="P394" s="33"/>
      <c r="Q394" s="28"/>
      <c r="R394" s="28"/>
      <c r="S394" s="28"/>
      <c r="T394" s="28"/>
      <c r="U394" s="28"/>
      <c r="V394" s="28"/>
      <c r="W394" s="28"/>
      <c r="X394" s="28"/>
      <c r="Y394" s="28"/>
      <c r="Z394" s="28"/>
      <c r="AA394" s="28"/>
    </row>
    <row r="395" ht="18.75" customHeight="1">
      <c r="A395" s="28"/>
      <c r="B395" s="28"/>
      <c r="C395" s="28"/>
      <c r="D395" s="28"/>
      <c r="E395" s="28"/>
      <c r="F395" s="28"/>
      <c r="G395" s="28"/>
      <c r="H395" s="28"/>
      <c r="I395" s="28"/>
      <c r="J395" s="28"/>
      <c r="K395" s="28"/>
      <c r="L395" s="28"/>
      <c r="M395" s="33"/>
      <c r="N395" s="33"/>
      <c r="O395" s="33"/>
      <c r="P395" s="33"/>
      <c r="Q395" s="28"/>
      <c r="R395" s="28"/>
      <c r="S395" s="28"/>
      <c r="T395" s="28"/>
      <c r="U395" s="28"/>
      <c r="V395" s="28"/>
      <c r="W395" s="28"/>
      <c r="X395" s="28"/>
      <c r="Y395" s="28"/>
      <c r="Z395" s="28"/>
      <c r="AA395" s="28"/>
    </row>
    <row r="396" ht="18.75" customHeight="1">
      <c r="A396" s="28"/>
      <c r="B396" s="28"/>
      <c r="C396" s="28"/>
      <c r="D396" s="28"/>
      <c r="E396" s="28"/>
      <c r="F396" s="28"/>
      <c r="G396" s="28"/>
      <c r="H396" s="28"/>
      <c r="I396" s="28"/>
      <c r="J396" s="28"/>
      <c r="K396" s="28"/>
      <c r="L396" s="28"/>
      <c r="M396" s="33"/>
      <c r="N396" s="33"/>
      <c r="O396" s="33"/>
      <c r="P396" s="33"/>
      <c r="Q396" s="28"/>
      <c r="R396" s="28"/>
      <c r="S396" s="28"/>
      <c r="T396" s="28"/>
      <c r="U396" s="28"/>
      <c r="V396" s="28"/>
      <c r="W396" s="28"/>
      <c r="X396" s="28"/>
      <c r="Y396" s="28"/>
      <c r="Z396" s="28"/>
      <c r="AA396" s="28"/>
    </row>
    <row r="397" ht="18.75" customHeight="1">
      <c r="A397" s="28"/>
      <c r="B397" s="28"/>
      <c r="C397" s="28"/>
      <c r="D397" s="28"/>
      <c r="E397" s="28"/>
      <c r="F397" s="28"/>
      <c r="G397" s="28"/>
      <c r="H397" s="28"/>
      <c r="I397" s="28"/>
      <c r="J397" s="28"/>
      <c r="K397" s="28"/>
      <c r="L397" s="28"/>
      <c r="M397" s="33"/>
      <c r="N397" s="33"/>
      <c r="O397" s="33"/>
      <c r="P397" s="33"/>
      <c r="Q397" s="28"/>
      <c r="R397" s="28"/>
      <c r="S397" s="28"/>
      <c r="T397" s="28"/>
      <c r="U397" s="28"/>
      <c r="V397" s="28"/>
      <c r="W397" s="28"/>
      <c r="X397" s="28"/>
      <c r="Y397" s="28"/>
      <c r="Z397" s="28"/>
      <c r="AA397" s="28"/>
    </row>
    <row r="398" ht="18.75" customHeight="1">
      <c r="A398" s="28"/>
      <c r="B398" s="28"/>
      <c r="C398" s="28"/>
      <c r="D398" s="28"/>
      <c r="E398" s="28"/>
      <c r="F398" s="28"/>
      <c r="G398" s="28"/>
      <c r="H398" s="28"/>
      <c r="I398" s="28"/>
      <c r="J398" s="28"/>
      <c r="K398" s="28"/>
      <c r="L398" s="28"/>
      <c r="M398" s="33"/>
      <c r="N398" s="33"/>
      <c r="O398" s="33"/>
      <c r="P398" s="33"/>
      <c r="Q398" s="28"/>
      <c r="R398" s="28"/>
      <c r="S398" s="28"/>
      <c r="T398" s="28"/>
      <c r="U398" s="28"/>
      <c r="V398" s="28"/>
      <c r="W398" s="28"/>
      <c r="X398" s="28"/>
      <c r="Y398" s="28"/>
      <c r="Z398" s="28"/>
      <c r="AA398" s="28"/>
    </row>
    <row r="399" ht="18.75" customHeight="1">
      <c r="A399" s="28"/>
      <c r="B399" s="28"/>
      <c r="C399" s="28"/>
      <c r="D399" s="28"/>
      <c r="E399" s="28"/>
      <c r="F399" s="28"/>
      <c r="G399" s="28"/>
      <c r="H399" s="28"/>
      <c r="I399" s="28"/>
      <c r="J399" s="28"/>
      <c r="K399" s="28"/>
      <c r="L399" s="28"/>
      <c r="M399" s="33"/>
      <c r="N399" s="33"/>
      <c r="O399" s="33"/>
      <c r="P399" s="33"/>
      <c r="Q399" s="28"/>
      <c r="R399" s="28"/>
      <c r="S399" s="28"/>
      <c r="T399" s="28"/>
      <c r="U399" s="28"/>
      <c r="V399" s="28"/>
      <c r="W399" s="28"/>
      <c r="X399" s="28"/>
      <c r="Y399" s="28"/>
      <c r="Z399" s="28"/>
      <c r="AA399" s="28"/>
    </row>
    <row r="400" ht="18.75" customHeight="1">
      <c r="A400" s="28"/>
      <c r="B400" s="28"/>
      <c r="C400" s="28"/>
      <c r="D400" s="28"/>
      <c r="E400" s="28"/>
      <c r="F400" s="28"/>
      <c r="G400" s="28"/>
      <c r="H400" s="28"/>
      <c r="I400" s="28"/>
      <c r="J400" s="28"/>
      <c r="K400" s="28"/>
      <c r="L400" s="28"/>
      <c r="M400" s="33"/>
      <c r="N400" s="33"/>
      <c r="O400" s="33"/>
      <c r="P400" s="33"/>
      <c r="Q400" s="28"/>
      <c r="R400" s="28"/>
      <c r="S400" s="28"/>
      <c r="T400" s="28"/>
      <c r="U400" s="28"/>
      <c r="V400" s="28"/>
      <c r="W400" s="28"/>
      <c r="X400" s="28"/>
      <c r="Y400" s="28"/>
      <c r="Z400" s="28"/>
      <c r="AA400" s="28"/>
    </row>
    <row r="401" ht="18.75" customHeight="1">
      <c r="A401" s="28"/>
      <c r="B401" s="28"/>
      <c r="C401" s="28"/>
      <c r="D401" s="28"/>
      <c r="E401" s="28"/>
      <c r="F401" s="28"/>
      <c r="G401" s="28"/>
      <c r="H401" s="28"/>
      <c r="I401" s="28"/>
      <c r="J401" s="28"/>
      <c r="K401" s="28"/>
      <c r="L401" s="28"/>
      <c r="M401" s="33"/>
      <c r="N401" s="33"/>
      <c r="O401" s="33"/>
      <c r="P401" s="33"/>
      <c r="Q401" s="28"/>
      <c r="R401" s="28"/>
      <c r="S401" s="28"/>
      <c r="T401" s="28"/>
      <c r="U401" s="28"/>
      <c r="V401" s="28"/>
      <c r="W401" s="28"/>
      <c r="X401" s="28"/>
      <c r="Y401" s="28"/>
      <c r="Z401" s="28"/>
      <c r="AA401" s="28"/>
    </row>
    <row r="402" ht="18.75" customHeight="1">
      <c r="A402" s="28"/>
      <c r="B402" s="28"/>
      <c r="C402" s="28"/>
      <c r="D402" s="28"/>
      <c r="E402" s="28"/>
      <c r="F402" s="28"/>
      <c r="G402" s="28"/>
      <c r="H402" s="28"/>
      <c r="I402" s="28"/>
      <c r="J402" s="28"/>
      <c r="K402" s="28"/>
      <c r="L402" s="28"/>
      <c r="M402" s="33"/>
      <c r="N402" s="33"/>
      <c r="O402" s="33"/>
      <c r="P402" s="33"/>
      <c r="Q402" s="28"/>
      <c r="R402" s="28"/>
      <c r="S402" s="28"/>
      <c r="T402" s="28"/>
      <c r="U402" s="28"/>
      <c r="V402" s="28"/>
      <c r="W402" s="28"/>
      <c r="X402" s="28"/>
      <c r="Y402" s="28"/>
      <c r="Z402" s="28"/>
      <c r="AA402" s="28"/>
    </row>
    <row r="403" ht="18.75" customHeight="1">
      <c r="A403" s="28"/>
      <c r="B403" s="28"/>
      <c r="C403" s="28"/>
      <c r="D403" s="28"/>
      <c r="E403" s="28"/>
      <c r="F403" s="28"/>
      <c r="G403" s="28"/>
      <c r="H403" s="28"/>
      <c r="I403" s="28"/>
      <c r="J403" s="28"/>
      <c r="K403" s="28"/>
      <c r="L403" s="28"/>
      <c r="M403" s="33"/>
      <c r="N403" s="33"/>
      <c r="O403" s="33"/>
      <c r="P403" s="33"/>
      <c r="Q403" s="28"/>
      <c r="R403" s="28"/>
      <c r="S403" s="28"/>
      <c r="T403" s="28"/>
      <c r="U403" s="28"/>
      <c r="V403" s="28"/>
      <c r="W403" s="28"/>
      <c r="X403" s="28"/>
      <c r="Y403" s="28"/>
      <c r="Z403" s="28"/>
      <c r="AA403" s="28"/>
    </row>
    <row r="404" ht="18.75" customHeight="1">
      <c r="A404" s="28"/>
      <c r="B404" s="28"/>
      <c r="C404" s="28"/>
      <c r="D404" s="28"/>
      <c r="E404" s="28"/>
      <c r="F404" s="28"/>
      <c r="G404" s="28"/>
      <c r="H404" s="28"/>
      <c r="I404" s="28"/>
      <c r="J404" s="28"/>
      <c r="K404" s="28"/>
      <c r="L404" s="28"/>
      <c r="M404" s="33"/>
      <c r="N404" s="33"/>
      <c r="O404" s="33"/>
      <c r="P404" s="33"/>
      <c r="Q404" s="28"/>
      <c r="R404" s="28"/>
      <c r="S404" s="28"/>
      <c r="T404" s="28"/>
      <c r="U404" s="28"/>
      <c r="V404" s="28"/>
      <c r="W404" s="28"/>
      <c r="X404" s="28"/>
      <c r="Y404" s="28"/>
      <c r="Z404" s="28"/>
      <c r="AA404" s="28"/>
    </row>
    <row r="405" ht="18.75" customHeight="1">
      <c r="A405" s="28"/>
      <c r="B405" s="28"/>
      <c r="C405" s="28"/>
      <c r="D405" s="28"/>
      <c r="E405" s="28"/>
      <c r="F405" s="28"/>
      <c r="G405" s="28"/>
      <c r="H405" s="28"/>
      <c r="I405" s="28"/>
      <c r="J405" s="28"/>
      <c r="K405" s="28"/>
      <c r="L405" s="28"/>
      <c r="M405" s="33"/>
      <c r="N405" s="33"/>
      <c r="O405" s="33"/>
      <c r="P405" s="33"/>
      <c r="Q405" s="28"/>
      <c r="R405" s="28"/>
      <c r="S405" s="28"/>
      <c r="T405" s="28"/>
      <c r="U405" s="28"/>
      <c r="V405" s="28"/>
      <c r="W405" s="28"/>
      <c r="X405" s="28"/>
      <c r="Y405" s="28"/>
      <c r="Z405" s="28"/>
      <c r="AA405" s="28"/>
    </row>
    <row r="406" ht="18.75" customHeight="1">
      <c r="A406" s="28"/>
      <c r="B406" s="28"/>
      <c r="C406" s="28"/>
      <c r="D406" s="28"/>
      <c r="E406" s="28"/>
      <c r="F406" s="28"/>
      <c r="G406" s="28"/>
      <c r="H406" s="28"/>
      <c r="I406" s="28"/>
      <c r="J406" s="28"/>
      <c r="K406" s="28"/>
      <c r="L406" s="28"/>
      <c r="M406" s="33"/>
      <c r="N406" s="33"/>
      <c r="O406" s="33"/>
      <c r="P406" s="33"/>
      <c r="Q406" s="28"/>
      <c r="R406" s="28"/>
      <c r="S406" s="28"/>
      <c r="T406" s="28"/>
      <c r="U406" s="28"/>
      <c r="V406" s="28"/>
      <c r="W406" s="28"/>
      <c r="X406" s="28"/>
      <c r="Y406" s="28"/>
      <c r="Z406" s="28"/>
      <c r="AA406" s="28"/>
    </row>
    <row r="407" ht="18.75" customHeight="1">
      <c r="A407" s="28"/>
      <c r="B407" s="28"/>
      <c r="C407" s="28"/>
      <c r="D407" s="28"/>
      <c r="E407" s="28"/>
      <c r="F407" s="28"/>
      <c r="G407" s="28"/>
      <c r="H407" s="28"/>
      <c r="I407" s="28"/>
      <c r="J407" s="28"/>
      <c r="K407" s="28"/>
      <c r="L407" s="28"/>
      <c r="M407" s="33"/>
      <c r="N407" s="33"/>
      <c r="O407" s="33"/>
      <c r="P407" s="33"/>
      <c r="Q407" s="28"/>
      <c r="R407" s="28"/>
      <c r="S407" s="28"/>
      <c r="T407" s="28"/>
      <c r="U407" s="28"/>
      <c r="V407" s="28"/>
      <c r="W407" s="28"/>
      <c r="X407" s="28"/>
      <c r="Y407" s="28"/>
      <c r="Z407" s="28"/>
      <c r="AA407" s="28"/>
    </row>
    <row r="408" ht="18.75" customHeight="1">
      <c r="A408" s="28"/>
      <c r="B408" s="28"/>
      <c r="C408" s="28"/>
      <c r="D408" s="28"/>
      <c r="E408" s="28"/>
      <c r="F408" s="28"/>
      <c r="G408" s="28"/>
      <c r="H408" s="28"/>
      <c r="I408" s="28"/>
      <c r="J408" s="28"/>
      <c r="K408" s="28"/>
      <c r="L408" s="28"/>
      <c r="M408" s="33"/>
      <c r="N408" s="33"/>
      <c r="O408" s="33"/>
      <c r="P408" s="33"/>
      <c r="Q408" s="28"/>
      <c r="R408" s="28"/>
      <c r="S408" s="28"/>
      <c r="T408" s="28"/>
      <c r="U408" s="28"/>
      <c r="V408" s="28"/>
      <c r="W408" s="28"/>
      <c r="X408" s="28"/>
      <c r="Y408" s="28"/>
      <c r="Z408" s="28"/>
      <c r="AA408" s="28"/>
    </row>
    <row r="409" ht="18.75" customHeight="1">
      <c r="A409" s="28"/>
      <c r="B409" s="28"/>
      <c r="C409" s="28"/>
      <c r="D409" s="28"/>
      <c r="E409" s="28"/>
      <c r="F409" s="28"/>
      <c r="G409" s="28"/>
      <c r="H409" s="28"/>
      <c r="I409" s="28"/>
      <c r="J409" s="28"/>
      <c r="K409" s="28"/>
      <c r="L409" s="28"/>
      <c r="M409" s="33"/>
      <c r="N409" s="33"/>
      <c r="O409" s="33"/>
      <c r="P409" s="33"/>
      <c r="Q409" s="28"/>
      <c r="R409" s="28"/>
      <c r="S409" s="28"/>
      <c r="T409" s="28"/>
      <c r="U409" s="28"/>
      <c r="V409" s="28"/>
      <c r="W409" s="28"/>
      <c r="X409" s="28"/>
      <c r="Y409" s="28"/>
      <c r="Z409" s="28"/>
      <c r="AA409" s="28"/>
    </row>
    <row r="410" ht="18.75" customHeight="1">
      <c r="A410" s="28"/>
      <c r="B410" s="28"/>
      <c r="C410" s="28"/>
      <c r="D410" s="28"/>
      <c r="E410" s="28"/>
      <c r="F410" s="28"/>
      <c r="G410" s="28"/>
      <c r="H410" s="28"/>
      <c r="I410" s="28"/>
      <c r="J410" s="28"/>
      <c r="K410" s="28"/>
      <c r="L410" s="28"/>
      <c r="M410" s="33"/>
      <c r="N410" s="33"/>
      <c r="O410" s="33"/>
      <c r="P410" s="33"/>
      <c r="Q410" s="28"/>
      <c r="R410" s="28"/>
      <c r="S410" s="28"/>
      <c r="T410" s="28"/>
      <c r="U410" s="28"/>
      <c r="V410" s="28"/>
      <c r="W410" s="28"/>
      <c r="X410" s="28"/>
      <c r="Y410" s="28"/>
      <c r="Z410" s="28"/>
      <c r="AA410" s="28"/>
    </row>
    <row r="411" ht="18.75" customHeight="1">
      <c r="A411" s="28"/>
      <c r="B411" s="28"/>
      <c r="C411" s="28"/>
      <c r="D411" s="28"/>
      <c r="E411" s="28"/>
      <c r="F411" s="28"/>
      <c r="G411" s="28"/>
      <c r="H411" s="28"/>
      <c r="I411" s="28"/>
      <c r="J411" s="28"/>
      <c r="K411" s="28"/>
      <c r="L411" s="28"/>
      <c r="M411" s="33"/>
      <c r="N411" s="33"/>
      <c r="O411" s="33"/>
      <c r="P411" s="33"/>
      <c r="Q411" s="28"/>
      <c r="R411" s="28"/>
      <c r="S411" s="28"/>
      <c r="T411" s="28"/>
      <c r="U411" s="28"/>
      <c r="V411" s="28"/>
      <c r="W411" s="28"/>
      <c r="X411" s="28"/>
      <c r="Y411" s="28"/>
      <c r="Z411" s="28"/>
      <c r="AA411" s="28"/>
    </row>
    <row r="412" ht="18.75" customHeight="1">
      <c r="A412" s="28"/>
      <c r="B412" s="28"/>
      <c r="C412" s="28"/>
      <c r="D412" s="28"/>
      <c r="E412" s="28"/>
      <c r="F412" s="28"/>
      <c r="G412" s="28"/>
      <c r="H412" s="28"/>
      <c r="I412" s="28"/>
      <c r="J412" s="28"/>
      <c r="K412" s="28"/>
      <c r="L412" s="28"/>
      <c r="M412" s="33"/>
      <c r="N412" s="33"/>
      <c r="O412" s="33"/>
      <c r="P412" s="33"/>
      <c r="Q412" s="28"/>
      <c r="R412" s="28"/>
      <c r="S412" s="28"/>
      <c r="T412" s="28"/>
      <c r="U412" s="28"/>
      <c r="V412" s="28"/>
      <c r="W412" s="28"/>
      <c r="X412" s="28"/>
      <c r="Y412" s="28"/>
      <c r="Z412" s="28"/>
      <c r="AA412" s="28"/>
    </row>
    <row r="413" ht="18.75" customHeight="1">
      <c r="A413" s="28"/>
      <c r="B413" s="28"/>
      <c r="C413" s="28"/>
      <c r="D413" s="28"/>
      <c r="E413" s="28"/>
      <c r="F413" s="28"/>
      <c r="G413" s="28"/>
      <c r="H413" s="28"/>
      <c r="I413" s="28"/>
      <c r="J413" s="28"/>
      <c r="K413" s="28"/>
      <c r="L413" s="28"/>
      <c r="M413" s="33"/>
      <c r="N413" s="33"/>
      <c r="O413" s="33"/>
      <c r="P413" s="33"/>
      <c r="Q413" s="28"/>
      <c r="R413" s="28"/>
      <c r="S413" s="28"/>
      <c r="T413" s="28"/>
      <c r="U413" s="28"/>
      <c r="V413" s="28"/>
      <c r="W413" s="28"/>
      <c r="X413" s="28"/>
      <c r="Y413" s="28"/>
      <c r="Z413" s="28"/>
      <c r="AA413" s="28"/>
    </row>
    <row r="414" ht="18.75" customHeight="1">
      <c r="A414" s="28"/>
      <c r="B414" s="28"/>
      <c r="C414" s="28"/>
      <c r="D414" s="28"/>
      <c r="E414" s="28"/>
      <c r="F414" s="28"/>
      <c r="G414" s="28"/>
      <c r="H414" s="28"/>
      <c r="I414" s="28"/>
      <c r="J414" s="28"/>
      <c r="K414" s="28"/>
      <c r="L414" s="28"/>
      <c r="M414" s="33"/>
      <c r="N414" s="33"/>
      <c r="O414" s="33"/>
      <c r="P414" s="33"/>
      <c r="Q414" s="28"/>
      <c r="R414" s="28"/>
      <c r="S414" s="28"/>
      <c r="T414" s="28"/>
      <c r="U414" s="28"/>
      <c r="V414" s="28"/>
      <c r="W414" s="28"/>
      <c r="X414" s="28"/>
      <c r="Y414" s="28"/>
      <c r="Z414" s="28"/>
      <c r="AA414" s="28"/>
    </row>
    <row r="415" ht="18.75" customHeight="1">
      <c r="A415" s="28"/>
      <c r="B415" s="28"/>
      <c r="C415" s="28"/>
      <c r="D415" s="28"/>
      <c r="E415" s="28"/>
      <c r="F415" s="28"/>
      <c r="G415" s="28"/>
      <c r="H415" s="28"/>
      <c r="I415" s="28"/>
      <c r="J415" s="28"/>
      <c r="K415" s="28"/>
      <c r="L415" s="28"/>
      <c r="M415" s="33"/>
      <c r="N415" s="33"/>
      <c r="O415" s="33"/>
      <c r="P415" s="33"/>
      <c r="Q415" s="28"/>
      <c r="R415" s="28"/>
      <c r="S415" s="28"/>
      <c r="T415" s="28"/>
      <c r="U415" s="28"/>
      <c r="V415" s="28"/>
      <c r="W415" s="28"/>
      <c r="X415" s="28"/>
      <c r="Y415" s="28"/>
      <c r="Z415" s="28"/>
      <c r="AA415" s="28"/>
    </row>
    <row r="416" ht="18.75" customHeight="1">
      <c r="A416" s="28"/>
      <c r="B416" s="28"/>
      <c r="C416" s="28"/>
      <c r="D416" s="28"/>
      <c r="E416" s="28"/>
      <c r="F416" s="28"/>
      <c r="G416" s="28"/>
      <c r="H416" s="28"/>
      <c r="I416" s="28"/>
      <c r="J416" s="28"/>
      <c r="K416" s="28"/>
      <c r="L416" s="28"/>
      <c r="M416" s="33"/>
      <c r="N416" s="33"/>
      <c r="O416" s="33"/>
      <c r="P416" s="33"/>
      <c r="Q416" s="28"/>
      <c r="R416" s="28"/>
      <c r="S416" s="28"/>
      <c r="T416" s="28"/>
      <c r="U416" s="28"/>
      <c r="V416" s="28"/>
      <c r="W416" s="28"/>
      <c r="X416" s="28"/>
      <c r="Y416" s="28"/>
      <c r="Z416" s="28"/>
      <c r="AA416" s="28"/>
    </row>
    <row r="417" ht="18.75" customHeight="1">
      <c r="A417" s="28"/>
      <c r="B417" s="28"/>
      <c r="C417" s="28"/>
      <c r="D417" s="28"/>
      <c r="E417" s="28"/>
      <c r="F417" s="28"/>
      <c r="G417" s="28"/>
      <c r="H417" s="28"/>
      <c r="I417" s="28"/>
      <c r="J417" s="28"/>
      <c r="K417" s="28"/>
      <c r="L417" s="28"/>
      <c r="M417" s="33"/>
      <c r="N417" s="33"/>
      <c r="O417" s="33"/>
      <c r="P417" s="33"/>
      <c r="Q417" s="28"/>
      <c r="R417" s="28"/>
      <c r="S417" s="28"/>
      <c r="T417" s="28"/>
      <c r="U417" s="28"/>
      <c r="V417" s="28"/>
      <c r="W417" s="28"/>
      <c r="X417" s="28"/>
      <c r="Y417" s="28"/>
      <c r="Z417" s="28"/>
      <c r="AA417" s="28"/>
    </row>
    <row r="418" ht="18.75" customHeight="1">
      <c r="A418" s="28"/>
      <c r="B418" s="28"/>
      <c r="C418" s="28"/>
      <c r="D418" s="28"/>
      <c r="E418" s="28"/>
      <c r="F418" s="28"/>
      <c r="G418" s="28"/>
      <c r="H418" s="28"/>
      <c r="I418" s="28"/>
      <c r="J418" s="28"/>
      <c r="K418" s="28"/>
      <c r="L418" s="28"/>
      <c r="M418" s="33"/>
      <c r="N418" s="33"/>
      <c r="O418" s="33"/>
      <c r="P418" s="33"/>
      <c r="Q418" s="28"/>
      <c r="R418" s="28"/>
      <c r="S418" s="28"/>
      <c r="T418" s="28"/>
      <c r="U418" s="28"/>
      <c r="V418" s="28"/>
      <c r="W418" s="28"/>
      <c r="X418" s="28"/>
      <c r="Y418" s="28"/>
      <c r="Z418" s="28"/>
      <c r="AA418" s="28"/>
    </row>
    <row r="419" ht="18.75" customHeight="1">
      <c r="A419" s="28"/>
      <c r="B419" s="28"/>
      <c r="C419" s="28"/>
      <c r="D419" s="28"/>
      <c r="E419" s="28"/>
      <c r="F419" s="28"/>
      <c r="G419" s="28"/>
      <c r="H419" s="28"/>
      <c r="I419" s="28"/>
      <c r="J419" s="28"/>
      <c r="K419" s="28"/>
      <c r="L419" s="28"/>
      <c r="M419" s="33"/>
      <c r="N419" s="33"/>
      <c r="O419" s="33"/>
      <c r="P419" s="33"/>
      <c r="Q419" s="28"/>
      <c r="R419" s="28"/>
      <c r="S419" s="28"/>
      <c r="T419" s="28"/>
      <c r="U419" s="28"/>
      <c r="V419" s="28"/>
      <c r="W419" s="28"/>
      <c r="X419" s="28"/>
      <c r="Y419" s="28"/>
      <c r="Z419" s="28"/>
      <c r="AA419" s="28"/>
    </row>
    <row r="420" ht="18.75" customHeight="1">
      <c r="A420" s="28"/>
      <c r="B420" s="28"/>
      <c r="C420" s="28"/>
      <c r="D420" s="28"/>
      <c r="E420" s="28"/>
      <c r="F420" s="28"/>
      <c r="G420" s="28"/>
      <c r="H420" s="28"/>
      <c r="I420" s="28"/>
      <c r="J420" s="28"/>
      <c r="K420" s="28"/>
      <c r="L420" s="28"/>
      <c r="M420" s="33"/>
      <c r="N420" s="33"/>
      <c r="O420" s="33"/>
      <c r="P420" s="33"/>
      <c r="Q420" s="28"/>
      <c r="R420" s="28"/>
      <c r="S420" s="28"/>
      <c r="T420" s="28"/>
      <c r="U420" s="28"/>
      <c r="V420" s="28"/>
      <c r="W420" s="28"/>
      <c r="X420" s="28"/>
      <c r="Y420" s="28"/>
      <c r="Z420" s="28"/>
      <c r="AA420" s="28"/>
    </row>
    <row r="421" ht="18.75" customHeight="1">
      <c r="A421" s="28"/>
      <c r="B421" s="28"/>
      <c r="C421" s="28"/>
      <c r="D421" s="28"/>
      <c r="E421" s="28"/>
      <c r="F421" s="28"/>
      <c r="G421" s="28"/>
      <c r="H421" s="28"/>
      <c r="I421" s="28"/>
      <c r="J421" s="28"/>
      <c r="K421" s="28"/>
      <c r="L421" s="28"/>
      <c r="M421" s="33"/>
      <c r="N421" s="33"/>
      <c r="O421" s="33"/>
      <c r="P421" s="33"/>
      <c r="Q421" s="28"/>
      <c r="R421" s="28"/>
      <c r="S421" s="28"/>
      <c r="T421" s="28"/>
      <c r="U421" s="28"/>
      <c r="V421" s="28"/>
      <c r="W421" s="28"/>
      <c r="X421" s="28"/>
      <c r="Y421" s="28"/>
      <c r="Z421" s="28"/>
      <c r="AA421" s="28"/>
    </row>
    <row r="422" ht="18.75" customHeight="1">
      <c r="A422" s="28"/>
      <c r="B422" s="28"/>
      <c r="C422" s="28"/>
      <c r="D422" s="28"/>
      <c r="E422" s="28"/>
      <c r="F422" s="28"/>
      <c r="G422" s="28"/>
      <c r="H422" s="28"/>
      <c r="I422" s="28"/>
      <c r="J422" s="28"/>
      <c r="K422" s="28"/>
      <c r="L422" s="28"/>
      <c r="M422" s="33"/>
      <c r="N422" s="33"/>
      <c r="O422" s="33"/>
      <c r="P422" s="33"/>
      <c r="Q422" s="28"/>
      <c r="R422" s="28"/>
      <c r="S422" s="28"/>
      <c r="T422" s="28"/>
      <c r="U422" s="28"/>
      <c r="V422" s="28"/>
      <c r="W422" s="28"/>
      <c r="X422" s="28"/>
      <c r="Y422" s="28"/>
      <c r="Z422" s="28"/>
      <c r="AA422" s="28"/>
    </row>
    <row r="423" ht="18.75" customHeight="1">
      <c r="A423" s="28"/>
      <c r="B423" s="28"/>
      <c r="C423" s="28"/>
      <c r="D423" s="28"/>
      <c r="E423" s="28"/>
      <c r="F423" s="28"/>
      <c r="G423" s="28"/>
      <c r="H423" s="28"/>
      <c r="I423" s="28"/>
      <c r="J423" s="28"/>
      <c r="K423" s="28"/>
      <c r="L423" s="28"/>
      <c r="M423" s="33"/>
      <c r="N423" s="33"/>
      <c r="O423" s="33"/>
      <c r="P423" s="33"/>
      <c r="Q423" s="28"/>
      <c r="R423" s="28"/>
      <c r="S423" s="28"/>
      <c r="T423" s="28"/>
      <c r="U423" s="28"/>
      <c r="V423" s="28"/>
      <c r="W423" s="28"/>
      <c r="X423" s="28"/>
      <c r="Y423" s="28"/>
      <c r="Z423" s="28"/>
      <c r="AA423" s="28"/>
    </row>
    <row r="424" ht="18.75" customHeight="1">
      <c r="A424" s="28"/>
      <c r="B424" s="28"/>
      <c r="C424" s="28"/>
      <c r="D424" s="28"/>
      <c r="E424" s="28"/>
      <c r="F424" s="28"/>
      <c r="G424" s="28"/>
      <c r="H424" s="28"/>
      <c r="I424" s="28"/>
      <c r="J424" s="28"/>
      <c r="K424" s="28"/>
      <c r="L424" s="28"/>
      <c r="M424" s="33"/>
      <c r="N424" s="33"/>
      <c r="O424" s="33"/>
      <c r="P424" s="33"/>
      <c r="Q424" s="28"/>
      <c r="R424" s="28"/>
      <c r="S424" s="28"/>
      <c r="T424" s="28"/>
      <c r="U424" s="28"/>
      <c r="V424" s="28"/>
      <c r="W424" s="28"/>
      <c r="X424" s="28"/>
      <c r="Y424" s="28"/>
      <c r="Z424" s="28"/>
      <c r="AA424" s="28"/>
    </row>
    <row r="425" ht="18.75" customHeight="1">
      <c r="A425" s="28"/>
      <c r="B425" s="28"/>
      <c r="C425" s="28"/>
      <c r="D425" s="28"/>
      <c r="E425" s="28"/>
      <c r="F425" s="28"/>
      <c r="G425" s="28"/>
      <c r="H425" s="28"/>
      <c r="I425" s="28"/>
      <c r="J425" s="28"/>
      <c r="K425" s="28"/>
      <c r="L425" s="28"/>
      <c r="M425" s="33"/>
      <c r="N425" s="33"/>
      <c r="O425" s="33"/>
      <c r="P425" s="33"/>
      <c r="Q425" s="28"/>
      <c r="R425" s="28"/>
      <c r="S425" s="28"/>
      <c r="T425" s="28"/>
      <c r="U425" s="28"/>
      <c r="V425" s="28"/>
      <c r="W425" s="28"/>
      <c r="X425" s="28"/>
      <c r="Y425" s="28"/>
      <c r="Z425" s="28"/>
      <c r="AA425" s="28"/>
    </row>
    <row r="426" ht="18.75" customHeight="1">
      <c r="A426" s="28"/>
      <c r="B426" s="28"/>
      <c r="C426" s="28"/>
      <c r="D426" s="28"/>
      <c r="E426" s="28"/>
      <c r="F426" s="28"/>
      <c r="G426" s="28"/>
      <c r="H426" s="28"/>
      <c r="I426" s="28"/>
      <c r="J426" s="28"/>
      <c r="K426" s="28"/>
      <c r="L426" s="28"/>
      <c r="M426" s="33"/>
      <c r="N426" s="33"/>
      <c r="O426" s="33"/>
      <c r="P426" s="33"/>
      <c r="Q426" s="28"/>
      <c r="R426" s="28"/>
      <c r="S426" s="28"/>
      <c r="T426" s="28"/>
      <c r="U426" s="28"/>
      <c r="V426" s="28"/>
      <c r="W426" s="28"/>
      <c r="X426" s="28"/>
      <c r="Y426" s="28"/>
      <c r="Z426" s="28"/>
      <c r="AA426" s="28"/>
    </row>
    <row r="427" ht="18.75" customHeight="1">
      <c r="A427" s="28"/>
      <c r="B427" s="28"/>
      <c r="C427" s="28"/>
      <c r="D427" s="28"/>
      <c r="E427" s="28"/>
      <c r="F427" s="28"/>
      <c r="G427" s="28"/>
      <c r="H427" s="28"/>
      <c r="I427" s="28"/>
      <c r="J427" s="28"/>
      <c r="K427" s="28"/>
      <c r="L427" s="28"/>
      <c r="M427" s="33"/>
      <c r="N427" s="33"/>
      <c r="O427" s="33"/>
      <c r="P427" s="33"/>
      <c r="Q427" s="28"/>
      <c r="R427" s="28"/>
      <c r="S427" s="28"/>
      <c r="T427" s="28"/>
      <c r="U427" s="28"/>
      <c r="V427" s="28"/>
      <c r="W427" s="28"/>
      <c r="X427" s="28"/>
      <c r="Y427" s="28"/>
      <c r="Z427" s="28"/>
      <c r="AA427" s="28"/>
    </row>
    <row r="428" ht="18.75" customHeight="1">
      <c r="A428" s="28"/>
      <c r="B428" s="28"/>
      <c r="C428" s="28"/>
      <c r="D428" s="28"/>
      <c r="E428" s="28"/>
      <c r="F428" s="28"/>
      <c r="G428" s="28"/>
      <c r="H428" s="28"/>
      <c r="I428" s="28"/>
      <c r="J428" s="28"/>
      <c r="K428" s="28"/>
      <c r="L428" s="28"/>
      <c r="M428" s="33"/>
      <c r="N428" s="33"/>
      <c r="O428" s="33"/>
      <c r="P428" s="33"/>
      <c r="Q428" s="28"/>
      <c r="R428" s="28"/>
      <c r="S428" s="28"/>
      <c r="T428" s="28"/>
      <c r="U428" s="28"/>
      <c r="V428" s="28"/>
      <c r="W428" s="28"/>
      <c r="X428" s="28"/>
      <c r="Y428" s="28"/>
      <c r="Z428" s="28"/>
      <c r="AA428" s="28"/>
    </row>
    <row r="429" ht="18.75" customHeight="1">
      <c r="A429" s="28"/>
      <c r="B429" s="28"/>
      <c r="C429" s="28"/>
      <c r="D429" s="28"/>
      <c r="E429" s="28"/>
      <c r="F429" s="28"/>
      <c r="G429" s="28"/>
      <c r="H429" s="28"/>
      <c r="I429" s="28"/>
      <c r="J429" s="28"/>
      <c r="K429" s="28"/>
      <c r="L429" s="28"/>
      <c r="M429" s="33"/>
      <c r="N429" s="33"/>
      <c r="O429" s="33"/>
      <c r="P429" s="33"/>
      <c r="Q429" s="28"/>
      <c r="R429" s="28"/>
      <c r="S429" s="28"/>
      <c r="T429" s="28"/>
      <c r="U429" s="28"/>
      <c r="V429" s="28"/>
      <c r="W429" s="28"/>
      <c r="X429" s="28"/>
      <c r="Y429" s="28"/>
      <c r="Z429" s="28"/>
      <c r="AA429" s="28"/>
    </row>
    <row r="430" ht="18.75" customHeight="1">
      <c r="A430" s="28"/>
      <c r="B430" s="28"/>
      <c r="C430" s="28"/>
      <c r="D430" s="28"/>
      <c r="E430" s="28"/>
      <c r="F430" s="28"/>
      <c r="G430" s="28"/>
      <c r="H430" s="28"/>
      <c r="I430" s="28"/>
      <c r="J430" s="28"/>
      <c r="K430" s="28"/>
      <c r="L430" s="28"/>
      <c r="M430" s="33"/>
      <c r="N430" s="33"/>
      <c r="O430" s="33"/>
      <c r="P430" s="33"/>
      <c r="Q430" s="28"/>
      <c r="R430" s="28"/>
      <c r="S430" s="28"/>
      <c r="T430" s="28"/>
      <c r="U430" s="28"/>
      <c r="V430" s="28"/>
      <c r="W430" s="28"/>
      <c r="X430" s="28"/>
      <c r="Y430" s="28"/>
      <c r="Z430" s="28"/>
      <c r="AA430" s="28"/>
    </row>
    <row r="431" ht="18.75" customHeight="1">
      <c r="A431" s="28"/>
      <c r="B431" s="28"/>
      <c r="C431" s="28"/>
      <c r="D431" s="28"/>
      <c r="E431" s="28"/>
      <c r="F431" s="28"/>
      <c r="G431" s="28"/>
      <c r="H431" s="28"/>
      <c r="I431" s="28"/>
      <c r="J431" s="28"/>
      <c r="K431" s="28"/>
      <c r="L431" s="28"/>
      <c r="M431" s="33"/>
      <c r="N431" s="33"/>
      <c r="O431" s="33"/>
      <c r="P431" s="33"/>
      <c r="Q431" s="28"/>
      <c r="R431" s="28"/>
      <c r="S431" s="28"/>
      <c r="T431" s="28"/>
      <c r="U431" s="28"/>
      <c r="V431" s="28"/>
      <c r="W431" s="28"/>
      <c r="X431" s="28"/>
      <c r="Y431" s="28"/>
      <c r="Z431" s="28"/>
      <c r="AA431" s="28"/>
    </row>
    <row r="432" ht="18.75" customHeight="1">
      <c r="A432" s="28"/>
      <c r="B432" s="28"/>
      <c r="C432" s="28"/>
      <c r="D432" s="28"/>
      <c r="E432" s="28"/>
      <c r="F432" s="28"/>
      <c r="G432" s="28"/>
      <c r="H432" s="28"/>
      <c r="I432" s="28"/>
      <c r="J432" s="28"/>
      <c r="K432" s="28"/>
      <c r="L432" s="28"/>
      <c r="M432" s="33"/>
      <c r="N432" s="33"/>
      <c r="O432" s="33"/>
      <c r="P432" s="33"/>
      <c r="Q432" s="28"/>
      <c r="R432" s="28"/>
      <c r="S432" s="28"/>
      <c r="T432" s="28"/>
      <c r="U432" s="28"/>
      <c r="V432" s="28"/>
      <c r="W432" s="28"/>
      <c r="X432" s="28"/>
      <c r="Y432" s="28"/>
      <c r="Z432" s="28"/>
      <c r="AA432" s="28"/>
    </row>
    <row r="433" ht="18.75" customHeight="1">
      <c r="A433" s="28"/>
      <c r="B433" s="28"/>
      <c r="C433" s="28"/>
      <c r="D433" s="28"/>
      <c r="E433" s="28"/>
      <c r="F433" s="28"/>
      <c r="G433" s="28"/>
      <c r="H433" s="28"/>
      <c r="I433" s="28"/>
      <c r="J433" s="28"/>
      <c r="K433" s="28"/>
      <c r="L433" s="28"/>
      <c r="M433" s="33"/>
      <c r="N433" s="33"/>
      <c r="O433" s="33"/>
      <c r="P433" s="33"/>
      <c r="Q433" s="28"/>
      <c r="R433" s="28"/>
      <c r="S433" s="28"/>
      <c r="T433" s="28"/>
      <c r="U433" s="28"/>
      <c r="V433" s="28"/>
      <c r="W433" s="28"/>
      <c r="X433" s="28"/>
      <c r="Y433" s="28"/>
      <c r="Z433" s="28"/>
      <c r="AA433" s="28"/>
    </row>
    <row r="434" ht="18.75" customHeight="1">
      <c r="A434" s="28"/>
      <c r="B434" s="28"/>
      <c r="C434" s="28"/>
      <c r="D434" s="28"/>
      <c r="E434" s="28"/>
      <c r="F434" s="28"/>
      <c r="G434" s="28"/>
      <c r="H434" s="28"/>
      <c r="I434" s="28"/>
      <c r="J434" s="28"/>
      <c r="K434" s="28"/>
      <c r="L434" s="28"/>
      <c r="M434" s="33"/>
      <c r="N434" s="33"/>
      <c r="O434" s="33"/>
      <c r="P434" s="33"/>
      <c r="Q434" s="28"/>
      <c r="R434" s="28"/>
      <c r="S434" s="28"/>
      <c r="T434" s="28"/>
      <c r="U434" s="28"/>
      <c r="V434" s="28"/>
      <c r="W434" s="28"/>
      <c r="X434" s="28"/>
      <c r="Y434" s="28"/>
      <c r="Z434" s="28"/>
      <c r="AA434" s="28"/>
    </row>
    <row r="435" ht="18.75" customHeight="1">
      <c r="A435" s="28"/>
      <c r="B435" s="28"/>
      <c r="C435" s="28"/>
      <c r="D435" s="28"/>
      <c r="E435" s="28"/>
      <c r="F435" s="28"/>
      <c r="G435" s="28"/>
      <c r="H435" s="28"/>
      <c r="I435" s="28"/>
      <c r="J435" s="28"/>
      <c r="K435" s="28"/>
      <c r="L435" s="28"/>
      <c r="M435" s="33"/>
      <c r="N435" s="33"/>
      <c r="O435" s="33"/>
      <c r="P435" s="33"/>
      <c r="Q435" s="28"/>
      <c r="R435" s="28"/>
      <c r="S435" s="28"/>
      <c r="T435" s="28"/>
      <c r="U435" s="28"/>
      <c r="V435" s="28"/>
      <c r="W435" s="28"/>
      <c r="X435" s="28"/>
      <c r="Y435" s="28"/>
      <c r="Z435" s="28"/>
      <c r="AA435" s="28"/>
    </row>
    <row r="436" ht="18.75" customHeight="1">
      <c r="A436" s="28"/>
      <c r="B436" s="28"/>
      <c r="C436" s="28"/>
      <c r="D436" s="28"/>
      <c r="E436" s="28"/>
      <c r="F436" s="28"/>
      <c r="G436" s="28"/>
      <c r="H436" s="28"/>
      <c r="I436" s="28"/>
      <c r="J436" s="28"/>
      <c r="K436" s="28"/>
      <c r="L436" s="28"/>
      <c r="M436" s="33"/>
      <c r="N436" s="33"/>
      <c r="O436" s="33"/>
      <c r="P436" s="33"/>
      <c r="Q436" s="28"/>
      <c r="R436" s="28"/>
      <c r="S436" s="28"/>
      <c r="T436" s="28"/>
      <c r="U436" s="28"/>
      <c r="V436" s="28"/>
      <c r="W436" s="28"/>
      <c r="X436" s="28"/>
      <c r="Y436" s="28"/>
      <c r="Z436" s="28"/>
      <c r="AA436" s="28"/>
    </row>
    <row r="437" ht="18.75" customHeight="1">
      <c r="A437" s="28"/>
      <c r="B437" s="28"/>
      <c r="C437" s="28"/>
      <c r="D437" s="28"/>
      <c r="E437" s="28"/>
      <c r="F437" s="28"/>
      <c r="G437" s="28"/>
      <c r="H437" s="28"/>
      <c r="I437" s="28"/>
      <c r="J437" s="28"/>
      <c r="K437" s="28"/>
      <c r="L437" s="28"/>
      <c r="M437" s="33"/>
      <c r="N437" s="33"/>
      <c r="O437" s="33"/>
      <c r="P437" s="33"/>
      <c r="Q437" s="28"/>
      <c r="R437" s="28"/>
      <c r="S437" s="28"/>
      <c r="T437" s="28"/>
      <c r="U437" s="28"/>
      <c r="V437" s="28"/>
      <c r="W437" s="28"/>
      <c r="X437" s="28"/>
      <c r="Y437" s="28"/>
      <c r="Z437" s="28"/>
      <c r="AA437" s="28"/>
    </row>
    <row r="438" ht="18.75" customHeight="1">
      <c r="A438" s="28"/>
      <c r="B438" s="28"/>
      <c r="C438" s="28"/>
      <c r="D438" s="28"/>
      <c r="E438" s="28"/>
      <c r="F438" s="28"/>
      <c r="G438" s="28"/>
      <c r="H438" s="28"/>
      <c r="I438" s="28"/>
      <c r="J438" s="28"/>
      <c r="K438" s="28"/>
      <c r="L438" s="28"/>
      <c r="M438" s="33"/>
      <c r="N438" s="33"/>
      <c r="O438" s="33"/>
      <c r="P438" s="33"/>
      <c r="Q438" s="28"/>
      <c r="R438" s="28"/>
      <c r="S438" s="28"/>
      <c r="T438" s="28"/>
      <c r="U438" s="28"/>
      <c r="V438" s="28"/>
      <c r="W438" s="28"/>
      <c r="X438" s="28"/>
      <c r="Y438" s="28"/>
      <c r="Z438" s="28"/>
      <c r="AA438" s="28"/>
    </row>
    <row r="439" ht="18.75" customHeight="1">
      <c r="A439" s="28"/>
      <c r="B439" s="28"/>
      <c r="C439" s="28"/>
      <c r="D439" s="28"/>
      <c r="E439" s="28"/>
      <c r="F439" s="28"/>
      <c r="G439" s="28"/>
      <c r="H439" s="28"/>
      <c r="I439" s="28"/>
      <c r="J439" s="28"/>
      <c r="K439" s="28"/>
      <c r="L439" s="28"/>
      <c r="M439" s="33"/>
      <c r="N439" s="33"/>
      <c r="O439" s="33"/>
      <c r="P439" s="33"/>
      <c r="Q439" s="28"/>
      <c r="R439" s="28"/>
      <c r="S439" s="28"/>
      <c r="T439" s="28"/>
      <c r="U439" s="28"/>
      <c r="V439" s="28"/>
      <c r="W439" s="28"/>
      <c r="X439" s="28"/>
      <c r="Y439" s="28"/>
      <c r="Z439" s="28"/>
      <c r="AA439" s="28"/>
    </row>
    <row r="440" ht="18.75" customHeight="1">
      <c r="A440" s="28"/>
      <c r="B440" s="28"/>
      <c r="C440" s="28"/>
      <c r="D440" s="28"/>
      <c r="E440" s="28"/>
      <c r="F440" s="28"/>
      <c r="G440" s="28"/>
      <c r="H440" s="28"/>
      <c r="I440" s="28"/>
      <c r="J440" s="28"/>
      <c r="K440" s="28"/>
      <c r="L440" s="28"/>
      <c r="M440" s="33"/>
      <c r="N440" s="33"/>
      <c r="O440" s="33"/>
      <c r="P440" s="33"/>
      <c r="Q440" s="28"/>
      <c r="R440" s="28"/>
      <c r="S440" s="28"/>
      <c r="T440" s="28"/>
      <c r="U440" s="28"/>
      <c r="V440" s="28"/>
      <c r="W440" s="28"/>
      <c r="X440" s="28"/>
      <c r="Y440" s="28"/>
      <c r="Z440" s="28"/>
      <c r="AA440" s="28"/>
    </row>
    <row r="441" ht="18.75" customHeight="1">
      <c r="A441" s="28"/>
      <c r="B441" s="28"/>
      <c r="C441" s="28"/>
      <c r="D441" s="28"/>
      <c r="E441" s="28"/>
      <c r="F441" s="28"/>
      <c r="G441" s="28"/>
      <c r="H441" s="28"/>
      <c r="I441" s="28"/>
      <c r="J441" s="28"/>
      <c r="K441" s="28"/>
      <c r="L441" s="28"/>
      <c r="M441" s="33"/>
      <c r="N441" s="33"/>
      <c r="O441" s="33"/>
      <c r="P441" s="33"/>
      <c r="Q441" s="28"/>
      <c r="R441" s="28"/>
      <c r="S441" s="28"/>
      <c r="T441" s="28"/>
      <c r="U441" s="28"/>
      <c r="V441" s="28"/>
      <c r="W441" s="28"/>
      <c r="X441" s="28"/>
      <c r="Y441" s="28"/>
      <c r="Z441" s="28"/>
      <c r="AA441" s="28"/>
    </row>
    <row r="442" ht="18.75" customHeight="1">
      <c r="A442" s="28"/>
      <c r="B442" s="28"/>
      <c r="C442" s="28"/>
      <c r="D442" s="28"/>
      <c r="E442" s="28"/>
      <c r="F442" s="28"/>
      <c r="G442" s="28"/>
      <c r="H442" s="28"/>
      <c r="I442" s="28"/>
      <c r="J442" s="28"/>
      <c r="K442" s="28"/>
      <c r="L442" s="28"/>
      <c r="M442" s="33"/>
      <c r="N442" s="33"/>
      <c r="O442" s="33"/>
      <c r="P442" s="33"/>
      <c r="Q442" s="28"/>
      <c r="R442" s="28"/>
      <c r="S442" s="28"/>
      <c r="T442" s="28"/>
      <c r="U442" s="28"/>
      <c r="V442" s="28"/>
      <c r="W442" s="28"/>
      <c r="X442" s="28"/>
      <c r="Y442" s="28"/>
      <c r="Z442" s="28"/>
      <c r="AA442" s="28"/>
    </row>
    <row r="443" ht="18.75" customHeight="1">
      <c r="A443" s="28"/>
      <c r="B443" s="28"/>
      <c r="C443" s="28"/>
      <c r="D443" s="28"/>
      <c r="E443" s="28"/>
      <c r="F443" s="28"/>
      <c r="G443" s="28"/>
      <c r="H443" s="28"/>
      <c r="I443" s="28"/>
      <c r="J443" s="28"/>
      <c r="K443" s="28"/>
      <c r="L443" s="28"/>
      <c r="M443" s="33"/>
      <c r="N443" s="33"/>
      <c r="O443" s="33"/>
      <c r="P443" s="33"/>
      <c r="Q443" s="28"/>
      <c r="R443" s="28"/>
      <c r="S443" s="28"/>
      <c r="T443" s="28"/>
      <c r="U443" s="28"/>
      <c r="V443" s="28"/>
      <c r="W443" s="28"/>
      <c r="X443" s="28"/>
      <c r="Y443" s="28"/>
      <c r="Z443" s="28"/>
      <c r="AA443" s="28"/>
    </row>
    <row r="444" ht="18.75" customHeight="1">
      <c r="A444" s="28"/>
      <c r="B444" s="28"/>
      <c r="C444" s="28"/>
      <c r="D444" s="28"/>
      <c r="E444" s="28"/>
      <c r="F444" s="28"/>
      <c r="G444" s="28"/>
      <c r="H444" s="28"/>
      <c r="I444" s="28"/>
      <c r="J444" s="28"/>
      <c r="K444" s="28"/>
      <c r="L444" s="28"/>
      <c r="M444" s="33"/>
      <c r="N444" s="33"/>
      <c r="O444" s="33"/>
      <c r="P444" s="33"/>
      <c r="Q444" s="28"/>
      <c r="R444" s="28"/>
      <c r="S444" s="28"/>
      <c r="T444" s="28"/>
      <c r="U444" s="28"/>
      <c r="V444" s="28"/>
      <c r="W444" s="28"/>
      <c r="X444" s="28"/>
      <c r="Y444" s="28"/>
      <c r="Z444" s="28"/>
      <c r="AA444" s="28"/>
    </row>
    <row r="445" ht="18.75" customHeight="1">
      <c r="A445" s="28"/>
      <c r="B445" s="28"/>
      <c r="C445" s="28"/>
      <c r="D445" s="28"/>
      <c r="E445" s="28"/>
      <c r="F445" s="28"/>
      <c r="G445" s="28"/>
      <c r="H445" s="28"/>
      <c r="I445" s="28"/>
      <c r="J445" s="28"/>
      <c r="K445" s="28"/>
      <c r="L445" s="28"/>
      <c r="M445" s="33"/>
      <c r="N445" s="33"/>
      <c r="O445" s="33"/>
      <c r="P445" s="33"/>
      <c r="Q445" s="28"/>
      <c r="R445" s="28"/>
      <c r="S445" s="28"/>
      <c r="T445" s="28"/>
      <c r="U445" s="28"/>
      <c r="V445" s="28"/>
      <c r="W445" s="28"/>
      <c r="X445" s="28"/>
      <c r="Y445" s="28"/>
      <c r="Z445" s="28"/>
      <c r="AA445" s="28"/>
    </row>
    <row r="446" ht="18.75" customHeight="1">
      <c r="A446" s="28"/>
      <c r="B446" s="28"/>
      <c r="C446" s="28"/>
      <c r="D446" s="28"/>
      <c r="E446" s="28"/>
      <c r="F446" s="28"/>
      <c r="G446" s="28"/>
      <c r="H446" s="28"/>
      <c r="I446" s="28"/>
      <c r="J446" s="28"/>
      <c r="K446" s="28"/>
      <c r="L446" s="28"/>
      <c r="M446" s="33"/>
      <c r="N446" s="33"/>
      <c r="O446" s="33"/>
      <c r="P446" s="33"/>
      <c r="Q446" s="28"/>
      <c r="R446" s="28"/>
      <c r="S446" s="28"/>
      <c r="T446" s="28"/>
      <c r="U446" s="28"/>
      <c r="V446" s="28"/>
      <c r="W446" s="28"/>
      <c r="X446" s="28"/>
      <c r="Y446" s="28"/>
      <c r="Z446" s="28"/>
      <c r="AA446" s="28"/>
    </row>
    <row r="447" ht="18.75" customHeight="1">
      <c r="A447" s="28"/>
      <c r="B447" s="28"/>
      <c r="C447" s="28"/>
      <c r="D447" s="28"/>
      <c r="E447" s="28"/>
      <c r="F447" s="28"/>
      <c r="G447" s="28"/>
      <c r="H447" s="28"/>
      <c r="I447" s="28"/>
      <c r="J447" s="28"/>
      <c r="K447" s="28"/>
      <c r="L447" s="28"/>
      <c r="M447" s="33"/>
      <c r="N447" s="33"/>
      <c r="O447" s="33"/>
      <c r="P447" s="33"/>
      <c r="Q447" s="28"/>
      <c r="R447" s="28"/>
      <c r="S447" s="28"/>
      <c r="T447" s="28"/>
      <c r="U447" s="28"/>
      <c r="V447" s="28"/>
      <c r="W447" s="28"/>
      <c r="X447" s="28"/>
      <c r="Y447" s="28"/>
      <c r="Z447" s="28"/>
      <c r="AA447" s="28"/>
    </row>
    <row r="448" ht="18.75" customHeight="1">
      <c r="A448" s="28"/>
      <c r="B448" s="28"/>
      <c r="C448" s="28"/>
      <c r="D448" s="28"/>
      <c r="E448" s="28"/>
      <c r="F448" s="28"/>
      <c r="G448" s="28"/>
      <c r="H448" s="28"/>
      <c r="I448" s="28"/>
      <c r="J448" s="28"/>
      <c r="K448" s="28"/>
      <c r="L448" s="28"/>
      <c r="M448" s="33"/>
      <c r="N448" s="33"/>
      <c r="O448" s="33"/>
      <c r="P448" s="33"/>
      <c r="Q448" s="28"/>
      <c r="R448" s="28"/>
      <c r="S448" s="28"/>
      <c r="T448" s="28"/>
      <c r="U448" s="28"/>
      <c r="V448" s="28"/>
      <c r="W448" s="28"/>
      <c r="X448" s="28"/>
      <c r="Y448" s="28"/>
      <c r="Z448" s="28"/>
      <c r="AA448" s="28"/>
    </row>
    <row r="449" ht="18.75" customHeight="1">
      <c r="A449" s="28"/>
      <c r="B449" s="28"/>
      <c r="C449" s="28"/>
      <c r="D449" s="28"/>
      <c r="E449" s="28"/>
      <c r="F449" s="28"/>
      <c r="G449" s="28"/>
      <c r="H449" s="28"/>
      <c r="I449" s="28"/>
      <c r="J449" s="28"/>
      <c r="K449" s="28"/>
      <c r="L449" s="28"/>
      <c r="M449" s="33"/>
      <c r="N449" s="33"/>
      <c r="O449" s="33"/>
      <c r="P449" s="33"/>
      <c r="Q449" s="28"/>
      <c r="R449" s="28"/>
      <c r="S449" s="28"/>
      <c r="T449" s="28"/>
      <c r="U449" s="28"/>
      <c r="V449" s="28"/>
      <c r="W449" s="28"/>
      <c r="X449" s="28"/>
      <c r="Y449" s="28"/>
      <c r="Z449" s="28"/>
      <c r="AA449" s="28"/>
    </row>
    <row r="450" ht="18.75" customHeight="1">
      <c r="A450" s="28"/>
      <c r="B450" s="28"/>
      <c r="C450" s="28"/>
      <c r="D450" s="28"/>
      <c r="E450" s="28"/>
      <c r="F450" s="28"/>
      <c r="G450" s="28"/>
      <c r="H450" s="28"/>
      <c r="I450" s="28"/>
      <c r="J450" s="28"/>
      <c r="K450" s="28"/>
      <c r="L450" s="28"/>
      <c r="M450" s="33"/>
      <c r="N450" s="33"/>
      <c r="O450" s="33"/>
      <c r="P450" s="33"/>
      <c r="Q450" s="28"/>
      <c r="R450" s="28"/>
      <c r="S450" s="28"/>
      <c r="T450" s="28"/>
      <c r="U450" s="28"/>
      <c r="V450" s="28"/>
      <c r="W450" s="28"/>
      <c r="X450" s="28"/>
      <c r="Y450" s="28"/>
      <c r="Z450" s="28"/>
      <c r="AA450" s="28"/>
    </row>
    <row r="451" ht="18.75" customHeight="1">
      <c r="A451" s="28"/>
      <c r="B451" s="28"/>
      <c r="C451" s="28"/>
      <c r="D451" s="28"/>
      <c r="E451" s="28"/>
      <c r="F451" s="28"/>
      <c r="G451" s="28"/>
      <c r="H451" s="28"/>
      <c r="I451" s="28"/>
      <c r="J451" s="28"/>
      <c r="K451" s="28"/>
      <c r="L451" s="28"/>
      <c r="M451" s="33"/>
      <c r="N451" s="33"/>
      <c r="O451" s="33"/>
      <c r="P451" s="33"/>
      <c r="Q451" s="28"/>
      <c r="R451" s="28"/>
      <c r="S451" s="28"/>
      <c r="T451" s="28"/>
      <c r="U451" s="28"/>
      <c r="V451" s="28"/>
      <c r="W451" s="28"/>
      <c r="X451" s="28"/>
      <c r="Y451" s="28"/>
      <c r="Z451" s="28"/>
      <c r="AA451" s="28"/>
    </row>
    <row r="452" ht="18.75" customHeight="1">
      <c r="A452" s="28"/>
      <c r="B452" s="28"/>
      <c r="C452" s="28"/>
      <c r="D452" s="28"/>
      <c r="E452" s="28"/>
      <c r="F452" s="28"/>
      <c r="G452" s="28"/>
      <c r="H452" s="28"/>
      <c r="I452" s="28"/>
      <c r="J452" s="28"/>
      <c r="K452" s="28"/>
      <c r="L452" s="28"/>
      <c r="M452" s="33"/>
      <c r="N452" s="33"/>
      <c r="O452" s="33"/>
      <c r="P452" s="33"/>
      <c r="Q452" s="28"/>
      <c r="R452" s="28"/>
      <c r="S452" s="28"/>
      <c r="T452" s="28"/>
      <c r="U452" s="28"/>
      <c r="V452" s="28"/>
      <c r="W452" s="28"/>
      <c r="X452" s="28"/>
      <c r="Y452" s="28"/>
      <c r="Z452" s="28"/>
      <c r="AA452" s="28"/>
    </row>
    <row r="453" ht="18.75" customHeight="1">
      <c r="A453" s="28"/>
      <c r="B453" s="28"/>
      <c r="C453" s="28"/>
      <c r="D453" s="28"/>
      <c r="E453" s="28"/>
      <c r="F453" s="28"/>
      <c r="G453" s="28"/>
      <c r="H453" s="28"/>
      <c r="I453" s="28"/>
      <c r="J453" s="28"/>
      <c r="K453" s="28"/>
      <c r="L453" s="28"/>
      <c r="M453" s="33"/>
      <c r="N453" s="33"/>
      <c r="O453" s="33"/>
      <c r="P453" s="33"/>
      <c r="Q453" s="28"/>
      <c r="R453" s="28"/>
      <c r="S453" s="28"/>
      <c r="T453" s="28"/>
      <c r="U453" s="28"/>
      <c r="V453" s="28"/>
      <c r="W453" s="28"/>
      <c r="X453" s="28"/>
      <c r="Y453" s="28"/>
      <c r="Z453" s="28"/>
      <c r="AA453" s="28"/>
    </row>
    <row r="454" ht="18.75" customHeight="1">
      <c r="A454" s="28"/>
      <c r="B454" s="28"/>
      <c r="C454" s="28"/>
      <c r="D454" s="28"/>
      <c r="E454" s="28"/>
      <c r="F454" s="28"/>
      <c r="G454" s="28"/>
      <c r="H454" s="28"/>
      <c r="I454" s="28"/>
      <c r="J454" s="28"/>
      <c r="K454" s="28"/>
      <c r="L454" s="28"/>
      <c r="M454" s="33"/>
      <c r="N454" s="33"/>
      <c r="O454" s="33"/>
      <c r="P454" s="33"/>
      <c r="Q454" s="28"/>
      <c r="R454" s="28"/>
      <c r="S454" s="28"/>
      <c r="T454" s="28"/>
      <c r="U454" s="28"/>
      <c r="V454" s="28"/>
      <c r="W454" s="28"/>
      <c r="X454" s="28"/>
      <c r="Y454" s="28"/>
      <c r="Z454" s="28"/>
      <c r="AA454" s="28"/>
    </row>
    <row r="455" ht="18.75" customHeight="1">
      <c r="A455" s="28"/>
      <c r="B455" s="28"/>
      <c r="C455" s="28"/>
      <c r="D455" s="28"/>
      <c r="E455" s="28"/>
      <c r="F455" s="28"/>
      <c r="G455" s="28"/>
      <c r="H455" s="28"/>
      <c r="I455" s="28"/>
      <c r="J455" s="28"/>
      <c r="K455" s="28"/>
      <c r="L455" s="28"/>
      <c r="M455" s="33"/>
      <c r="N455" s="33"/>
      <c r="O455" s="33"/>
      <c r="P455" s="33"/>
      <c r="Q455" s="28"/>
      <c r="R455" s="28"/>
      <c r="S455" s="28"/>
      <c r="T455" s="28"/>
      <c r="U455" s="28"/>
      <c r="V455" s="28"/>
      <c r="W455" s="28"/>
      <c r="X455" s="28"/>
      <c r="Y455" s="28"/>
      <c r="Z455" s="28"/>
      <c r="AA455" s="28"/>
    </row>
    <row r="456" ht="18.75" customHeight="1">
      <c r="A456" s="28"/>
      <c r="B456" s="28"/>
      <c r="C456" s="28"/>
      <c r="D456" s="28"/>
      <c r="E456" s="28"/>
      <c r="F456" s="28"/>
      <c r="G456" s="28"/>
      <c r="H456" s="28"/>
      <c r="I456" s="28"/>
      <c r="J456" s="28"/>
      <c r="K456" s="28"/>
      <c r="L456" s="28"/>
      <c r="M456" s="33"/>
      <c r="N456" s="33"/>
      <c r="O456" s="33"/>
      <c r="P456" s="33"/>
      <c r="Q456" s="28"/>
      <c r="R456" s="28"/>
      <c r="S456" s="28"/>
      <c r="T456" s="28"/>
      <c r="U456" s="28"/>
      <c r="V456" s="28"/>
      <c r="W456" s="28"/>
      <c r="X456" s="28"/>
      <c r="Y456" s="28"/>
      <c r="Z456" s="28"/>
      <c r="AA456" s="28"/>
    </row>
    <row r="457" ht="18.75" customHeight="1">
      <c r="A457" s="28"/>
      <c r="B457" s="28"/>
      <c r="C457" s="28"/>
      <c r="D457" s="28"/>
      <c r="E457" s="28"/>
      <c r="F457" s="28"/>
      <c r="G457" s="28"/>
      <c r="H457" s="28"/>
      <c r="I457" s="28"/>
      <c r="J457" s="28"/>
      <c r="K457" s="28"/>
      <c r="L457" s="28"/>
      <c r="M457" s="33"/>
      <c r="N457" s="33"/>
      <c r="O457" s="33"/>
      <c r="P457" s="33"/>
      <c r="Q457" s="28"/>
      <c r="R457" s="28"/>
      <c r="S457" s="28"/>
      <c r="T457" s="28"/>
      <c r="U457" s="28"/>
      <c r="V457" s="28"/>
      <c r="W457" s="28"/>
      <c r="X457" s="28"/>
      <c r="Y457" s="28"/>
      <c r="Z457" s="28"/>
      <c r="AA457" s="28"/>
    </row>
    <row r="458" ht="18.75" customHeight="1">
      <c r="A458" s="28"/>
      <c r="B458" s="28"/>
      <c r="C458" s="28"/>
      <c r="D458" s="28"/>
      <c r="E458" s="28"/>
      <c r="F458" s="28"/>
      <c r="G458" s="28"/>
      <c r="H458" s="28"/>
      <c r="I458" s="28"/>
      <c r="J458" s="28"/>
      <c r="K458" s="28"/>
      <c r="L458" s="28"/>
      <c r="M458" s="33"/>
      <c r="N458" s="33"/>
      <c r="O458" s="33"/>
      <c r="P458" s="33"/>
      <c r="Q458" s="28"/>
      <c r="R458" s="28"/>
      <c r="S458" s="28"/>
      <c r="T458" s="28"/>
      <c r="U458" s="28"/>
      <c r="V458" s="28"/>
      <c r="W458" s="28"/>
      <c r="X458" s="28"/>
      <c r="Y458" s="28"/>
      <c r="Z458" s="28"/>
      <c r="AA458" s="28"/>
    </row>
    <row r="459" ht="18.75" customHeight="1">
      <c r="A459" s="28"/>
      <c r="B459" s="28"/>
      <c r="C459" s="28"/>
      <c r="D459" s="28"/>
      <c r="E459" s="28"/>
      <c r="F459" s="28"/>
      <c r="G459" s="28"/>
      <c r="H459" s="28"/>
      <c r="I459" s="28"/>
      <c r="J459" s="28"/>
      <c r="K459" s="28"/>
      <c r="L459" s="28"/>
      <c r="M459" s="33"/>
      <c r="N459" s="33"/>
      <c r="O459" s="33"/>
      <c r="P459" s="33"/>
      <c r="Q459" s="28"/>
      <c r="R459" s="28"/>
      <c r="S459" s="28"/>
      <c r="T459" s="28"/>
      <c r="U459" s="28"/>
      <c r="V459" s="28"/>
      <c r="W459" s="28"/>
      <c r="X459" s="28"/>
      <c r="Y459" s="28"/>
      <c r="Z459" s="28"/>
      <c r="AA459" s="28"/>
    </row>
    <row r="460" ht="18.75" customHeight="1">
      <c r="A460" s="28"/>
      <c r="B460" s="28"/>
      <c r="C460" s="28"/>
      <c r="D460" s="28"/>
      <c r="E460" s="28"/>
      <c r="F460" s="28"/>
      <c r="G460" s="28"/>
      <c r="H460" s="28"/>
      <c r="I460" s="28"/>
      <c r="J460" s="28"/>
      <c r="K460" s="28"/>
      <c r="L460" s="28"/>
      <c r="M460" s="33"/>
      <c r="N460" s="33"/>
      <c r="O460" s="33"/>
      <c r="P460" s="33"/>
      <c r="Q460" s="28"/>
      <c r="R460" s="28"/>
      <c r="S460" s="28"/>
      <c r="T460" s="28"/>
      <c r="U460" s="28"/>
      <c r="V460" s="28"/>
      <c r="W460" s="28"/>
      <c r="X460" s="28"/>
      <c r="Y460" s="28"/>
      <c r="Z460" s="28"/>
      <c r="AA460" s="28"/>
    </row>
    <row r="461" ht="18.75" customHeight="1">
      <c r="A461" s="28"/>
      <c r="B461" s="28"/>
      <c r="C461" s="28"/>
      <c r="D461" s="28"/>
      <c r="E461" s="28"/>
      <c r="F461" s="28"/>
      <c r="G461" s="28"/>
      <c r="H461" s="28"/>
      <c r="I461" s="28"/>
      <c r="J461" s="28"/>
      <c r="K461" s="28"/>
      <c r="L461" s="28"/>
      <c r="M461" s="33"/>
      <c r="N461" s="33"/>
      <c r="O461" s="33"/>
      <c r="P461" s="33"/>
      <c r="Q461" s="28"/>
      <c r="R461" s="28"/>
      <c r="S461" s="28"/>
      <c r="T461" s="28"/>
      <c r="U461" s="28"/>
      <c r="V461" s="28"/>
      <c r="W461" s="28"/>
      <c r="X461" s="28"/>
      <c r="Y461" s="28"/>
      <c r="Z461" s="28"/>
      <c r="AA461" s="28"/>
    </row>
    <row r="462" ht="18.75" customHeight="1">
      <c r="A462" s="28"/>
      <c r="B462" s="28"/>
      <c r="C462" s="28"/>
      <c r="D462" s="28"/>
      <c r="E462" s="28"/>
      <c r="F462" s="28"/>
      <c r="G462" s="28"/>
      <c r="H462" s="28"/>
      <c r="I462" s="28"/>
      <c r="J462" s="28"/>
      <c r="K462" s="28"/>
      <c r="L462" s="28"/>
      <c r="M462" s="33"/>
      <c r="N462" s="33"/>
      <c r="O462" s="33"/>
      <c r="P462" s="33"/>
      <c r="Q462" s="28"/>
      <c r="R462" s="28"/>
      <c r="S462" s="28"/>
      <c r="T462" s="28"/>
      <c r="U462" s="28"/>
      <c r="V462" s="28"/>
      <c r="W462" s="28"/>
      <c r="X462" s="28"/>
      <c r="Y462" s="28"/>
      <c r="Z462" s="28"/>
      <c r="AA462" s="28"/>
    </row>
    <row r="463" ht="18.75" customHeight="1">
      <c r="A463" s="28"/>
      <c r="B463" s="28"/>
      <c r="C463" s="28"/>
      <c r="D463" s="28"/>
      <c r="E463" s="28"/>
      <c r="F463" s="28"/>
      <c r="G463" s="28"/>
      <c r="H463" s="28"/>
      <c r="I463" s="28"/>
      <c r="J463" s="28"/>
      <c r="K463" s="28"/>
      <c r="L463" s="28"/>
      <c r="M463" s="33"/>
      <c r="N463" s="33"/>
      <c r="O463" s="33"/>
      <c r="P463" s="33"/>
      <c r="Q463" s="28"/>
      <c r="R463" s="28"/>
      <c r="S463" s="28"/>
      <c r="T463" s="28"/>
      <c r="U463" s="28"/>
      <c r="V463" s="28"/>
      <c r="W463" s="28"/>
      <c r="X463" s="28"/>
      <c r="Y463" s="28"/>
      <c r="Z463" s="28"/>
      <c r="AA463" s="28"/>
    </row>
    <row r="464" ht="18.75" customHeight="1">
      <c r="A464" s="28"/>
      <c r="B464" s="28"/>
      <c r="C464" s="28"/>
      <c r="D464" s="28"/>
      <c r="E464" s="28"/>
      <c r="F464" s="28"/>
      <c r="G464" s="28"/>
      <c r="H464" s="28"/>
      <c r="I464" s="28"/>
      <c r="J464" s="28"/>
      <c r="K464" s="28"/>
      <c r="L464" s="28"/>
      <c r="M464" s="33"/>
      <c r="N464" s="33"/>
      <c r="O464" s="33"/>
      <c r="P464" s="33"/>
      <c r="Q464" s="28"/>
      <c r="R464" s="28"/>
      <c r="S464" s="28"/>
      <c r="T464" s="28"/>
      <c r="U464" s="28"/>
      <c r="V464" s="28"/>
      <c r="W464" s="28"/>
      <c r="X464" s="28"/>
      <c r="Y464" s="28"/>
      <c r="Z464" s="28"/>
      <c r="AA464" s="28"/>
    </row>
    <row r="465" ht="18.75" customHeight="1">
      <c r="A465" s="28"/>
      <c r="B465" s="28"/>
      <c r="C465" s="28"/>
      <c r="D465" s="28"/>
      <c r="E465" s="28"/>
      <c r="F465" s="28"/>
      <c r="G465" s="28"/>
      <c r="H465" s="28"/>
      <c r="I465" s="28"/>
      <c r="J465" s="28"/>
      <c r="K465" s="28"/>
      <c r="L465" s="28"/>
      <c r="M465" s="33"/>
      <c r="N465" s="33"/>
      <c r="O465" s="33"/>
      <c r="P465" s="33"/>
      <c r="Q465" s="28"/>
      <c r="R465" s="28"/>
      <c r="S465" s="28"/>
      <c r="T465" s="28"/>
      <c r="U465" s="28"/>
      <c r="V465" s="28"/>
      <c r="W465" s="28"/>
      <c r="X465" s="28"/>
      <c r="Y465" s="28"/>
      <c r="Z465" s="28"/>
      <c r="AA465" s="28"/>
    </row>
    <row r="466" ht="18.75" customHeight="1">
      <c r="A466" s="28"/>
      <c r="B466" s="28"/>
      <c r="C466" s="28"/>
      <c r="D466" s="28"/>
      <c r="E466" s="28"/>
      <c r="F466" s="28"/>
      <c r="G466" s="28"/>
      <c r="H466" s="28"/>
      <c r="I466" s="28"/>
      <c r="J466" s="28"/>
      <c r="K466" s="28"/>
      <c r="L466" s="28"/>
      <c r="M466" s="33"/>
      <c r="N466" s="33"/>
      <c r="O466" s="33"/>
      <c r="P466" s="33"/>
      <c r="Q466" s="28"/>
      <c r="R466" s="28"/>
      <c r="S466" s="28"/>
      <c r="T466" s="28"/>
      <c r="U466" s="28"/>
      <c r="V466" s="28"/>
      <c r="W466" s="28"/>
      <c r="X466" s="28"/>
      <c r="Y466" s="28"/>
      <c r="Z466" s="28"/>
      <c r="AA466" s="28"/>
    </row>
    <row r="467" ht="18.75" customHeight="1">
      <c r="A467" s="28"/>
      <c r="B467" s="28"/>
      <c r="C467" s="28"/>
      <c r="D467" s="28"/>
      <c r="E467" s="28"/>
      <c r="F467" s="28"/>
      <c r="G467" s="28"/>
      <c r="H467" s="28"/>
      <c r="I467" s="28"/>
      <c r="J467" s="28"/>
      <c r="K467" s="28"/>
      <c r="L467" s="28"/>
      <c r="M467" s="33"/>
      <c r="N467" s="33"/>
      <c r="O467" s="33"/>
      <c r="P467" s="33"/>
      <c r="Q467" s="28"/>
      <c r="R467" s="28"/>
      <c r="S467" s="28"/>
      <c r="T467" s="28"/>
      <c r="U467" s="28"/>
      <c r="V467" s="28"/>
      <c r="W467" s="28"/>
      <c r="X467" s="28"/>
      <c r="Y467" s="28"/>
      <c r="Z467" s="28"/>
      <c r="AA467" s="28"/>
    </row>
    <row r="468" ht="18.75" customHeight="1">
      <c r="A468" s="28"/>
      <c r="B468" s="28"/>
      <c r="C468" s="28"/>
      <c r="D468" s="28"/>
      <c r="E468" s="28"/>
      <c r="F468" s="28"/>
      <c r="G468" s="28"/>
      <c r="H468" s="28"/>
      <c r="I468" s="28"/>
      <c r="J468" s="28"/>
      <c r="K468" s="28"/>
      <c r="L468" s="28"/>
      <c r="M468" s="33"/>
      <c r="N468" s="33"/>
      <c r="O468" s="33"/>
      <c r="P468" s="33"/>
      <c r="Q468" s="28"/>
      <c r="R468" s="28"/>
      <c r="S468" s="28"/>
      <c r="T468" s="28"/>
      <c r="U468" s="28"/>
      <c r="V468" s="28"/>
      <c r="W468" s="28"/>
      <c r="X468" s="28"/>
      <c r="Y468" s="28"/>
      <c r="Z468" s="28"/>
      <c r="AA468" s="28"/>
    </row>
    <row r="469" ht="18.75" customHeight="1">
      <c r="A469" s="28"/>
      <c r="B469" s="28"/>
      <c r="C469" s="28"/>
      <c r="D469" s="28"/>
      <c r="E469" s="28"/>
      <c r="F469" s="28"/>
      <c r="G469" s="28"/>
      <c r="H469" s="28"/>
      <c r="I469" s="28"/>
      <c r="J469" s="28"/>
      <c r="K469" s="28"/>
      <c r="L469" s="28"/>
      <c r="M469" s="33"/>
      <c r="N469" s="33"/>
      <c r="O469" s="33"/>
      <c r="P469" s="33"/>
      <c r="Q469" s="28"/>
      <c r="R469" s="28"/>
      <c r="S469" s="28"/>
      <c r="T469" s="28"/>
      <c r="U469" s="28"/>
      <c r="V469" s="28"/>
      <c r="W469" s="28"/>
      <c r="X469" s="28"/>
      <c r="Y469" s="28"/>
      <c r="Z469" s="28"/>
      <c r="AA469" s="28"/>
    </row>
    <row r="470" ht="18.75" customHeight="1">
      <c r="A470" s="28"/>
      <c r="B470" s="28"/>
      <c r="C470" s="28"/>
      <c r="D470" s="28"/>
      <c r="E470" s="28"/>
      <c r="F470" s="28"/>
      <c r="G470" s="28"/>
      <c r="H470" s="28"/>
      <c r="I470" s="28"/>
      <c r="J470" s="28"/>
      <c r="K470" s="28"/>
      <c r="L470" s="28"/>
      <c r="M470" s="33"/>
      <c r="N470" s="33"/>
      <c r="O470" s="33"/>
      <c r="P470" s="33"/>
      <c r="Q470" s="28"/>
      <c r="R470" s="28"/>
      <c r="S470" s="28"/>
      <c r="T470" s="28"/>
      <c r="U470" s="28"/>
      <c r="V470" s="28"/>
      <c r="W470" s="28"/>
      <c r="X470" s="28"/>
      <c r="Y470" s="28"/>
      <c r="Z470" s="28"/>
      <c r="AA470" s="28"/>
    </row>
    <row r="471" ht="18.75" customHeight="1">
      <c r="A471" s="28"/>
      <c r="B471" s="28"/>
      <c r="C471" s="28"/>
      <c r="D471" s="28"/>
      <c r="E471" s="28"/>
      <c r="F471" s="28"/>
      <c r="G471" s="28"/>
      <c r="H471" s="28"/>
      <c r="I471" s="28"/>
      <c r="J471" s="28"/>
      <c r="K471" s="28"/>
      <c r="L471" s="28"/>
      <c r="M471" s="33"/>
      <c r="N471" s="33"/>
      <c r="O471" s="33"/>
      <c r="P471" s="33"/>
      <c r="Q471" s="28"/>
      <c r="R471" s="28"/>
      <c r="S471" s="28"/>
      <c r="T471" s="28"/>
      <c r="U471" s="28"/>
      <c r="V471" s="28"/>
      <c r="W471" s="28"/>
      <c r="X471" s="28"/>
      <c r="Y471" s="28"/>
      <c r="Z471" s="28"/>
      <c r="AA471" s="28"/>
    </row>
    <row r="472" ht="18.75" customHeight="1">
      <c r="A472" s="28"/>
      <c r="B472" s="28"/>
      <c r="C472" s="28"/>
      <c r="D472" s="28"/>
      <c r="E472" s="28"/>
      <c r="F472" s="28"/>
      <c r="G472" s="28"/>
      <c r="H472" s="28"/>
      <c r="I472" s="28"/>
      <c r="J472" s="28"/>
      <c r="K472" s="28"/>
      <c r="L472" s="28"/>
      <c r="M472" s="33"/>
      <c r="N472" s="33"/>
      <c r="O472" s="33"/>
      <c r="P472" s="33"/>
      <c r="Q472" s="28"/>
      <c r="R472" s="28"/>
      <c r="S472" s="28"/>
      <c r="T472" s="28"/>
      <c r="U472" s="28"/>
      <c r="V472" s="28"/>
      <c r="W472" s="28"/>
      <c r="X472" s="28"/>
      <c r="Y472" s="28"/>
      <c r="Z472" s="28"/>
      <c r="AA472" s="28"/>
    </row>
    <row r="473" ht="18.75" customHeight="1">
      <c r="A473" s="28"/>
      <c r="B473" s="28"/>
      <c r="C473" s="28"/>
      <c r="D473" s="28"/>
      <c r="E473" s="28"/>
      <c r="F473" s="28"/>
      <c r="G473" s="28"/>
      <c r="H473" s="28"/>
      <c r="I473" s="28"/>
      <c r="J473" s="28"/>
      <c r="K473" s="28"/>
      <c r="L473" s="28"/>
      <c r="M473" s="33"/>
      <c r="N473" s="33"/>
      <c r="O473" s="33"/>
      <c r="P473" s="33"/>
      <c r="Q473" s="28"/>
      <c r="R473" s="28"/>
      <c r="S473" s="28"/>
      <c r="T473" s="28"/>
      <c r="U473" s="28"/>
      <c r="V473" s="28"/>
      <c r="W473" s="28"/>
      <c r="X473" s="28"/>
      <c r="Y473" s="28"/>
      <c r="Z473" s="28"/>
      <c r="AA473" s="28"/>
    </row>
    <row r="474" ht="18.75" customHeight="1">
      <c r="A474" s="28"/>
      <c r="B474" s="28"/>
      <c r="C474" s="28"/>
      <c r="D474" s="28"/>
      <c r="E474" s="28"/>
      <c r="F474" s="28"/>
      <c r="G474" s="28"/>
      <c r="H474" s="28"/>
      <c r="I474" s="28"/>
      <c r="J474" s="28"/>
      <c r="K474" s="28"/>
      <c r="L474" s="28"/>
      <c r="M474" s="33"/>
      <c r="N474" s="33"/>
      <c r="O474" s="33"/>
      <c r="P474" s="33"/>
      <c r="Q474" s="28"/>
      <c r="R474" s="28"/>
      <c r="S474" s="28"/>
      <c r="T474" s="28"/>
      <c r="U474" s="28"/>
      <c r="V474" s="28"/>
      <c r="W474" s="28"/>
      <c r="X474" s="28"/>
      <c r="Y474" s="28"/>
      <c r="Z474" s="28"/>
      <c r="AA474" s="28"/>
    </row>
    <row r="475" ht="18.75" customHeight="1">
      <c r="A475" s="28"/>
      <c r="B475" s="28"/>
      <c r="C475" s="28"/>
      <c r="D475" s="28"/>
      <c r="E475" s="28"/>
      <c r="F475" s="28"/>
      <c r="G475" s="28"/>
      <c r="H475" s="28"/>
      <c r="I475" s="28"/>
      <c r="J475" s="28"/>
      <c r="K475" s="28"/>
      <c r="L475" s="28"/>
      <c r="M475" s="33"/>
      <c r="N475" s="33"/>
      <c r="O475" s="33"/>
      <c r="P475" s="33"/>
      <c r="Q475" s="28"/>
      <c r="R475" s="28"/>
      <c r="S475" s="28"/>
      <c r="T475" s="28"/>
      <c r="U475" s="28"/>
      <c r="V475" s="28"/>
      <c r="W475" s="28"/>
      <c r="X475" s="28"/>
      <c r="Y475" s="28"/>
      <c r="Z475" s="28"/>
      <c r="AA475" s="28"/>
    </row>
    <row r="476" ht="18.75" customHeight="1">
      <c r="A476" s="28"/>
      <c r="B476" s="28"/>
      <c r="C476" s="28"/>
      <c r="D476" s="28"/>
      <c r="E476" s="28"/>
      <c r="F476" s="28"/>
      <c r="G476" s="28"/>
      <c r="H476" s="28"/>
      <c r="I476" s="28"/>
      <c r="J476" s="28"/>
      <c r="K476" s="28"/>
      <c r="L476" s="28"/>
      <c r="M476" s="33"/>
      <c r="N476" s="33"/>
      <c r="O476" s="33"/>
      <c r="P476" s="33"/>
      <c r="Q476" s="28"/>
      <c r="R476" s="28"/>
      <c r="S476" s="28"/>
      <c r="T476" s="28"/>
      <c r="U476" s="28"/>
      <c r="V476" s="28"/>
      <c r="W476" s="28"/>
      <c r="X476" s="28"/>
      <c r="Y476" s="28"/>
      <c r="Z476" s="28"/>
      <c r="AA476" s="28"/>
    </row>
    <row r="477" ht="18.75" customHeight="1">
      <c r="A477" s="28"/>
      <c r="B477" s="28"/>
      <c r="C477" s="28"/>
      <c r="D477" s="28"/>
      <c r="E477" s="28"/>
      <c r="F477" s="28"/>
      <c r="G477" s="28"/>
      <c r="H477" s="28"/>
      <c r="I477" s="28"/>
      <c r="J477" s="28"/>
      <c r="K477" s="28"/>
      <c r="L477" s="28"/>
      <c r="M477" s="33"/>
      <c r="N477" s="33"/>
      <c r="O477" s="33"/>
      <c r="P477" s="33"/>
      <c r="Q477" s="28"/>
      <c r="R477" s="28"/>
      <c r="S477" s="28"/>
      <c r="T477" s="28"/>
      <c r="U477" s="28"/>
      <c r="V477" s="28"/>
      <c r="W477" s="28"/>
      <c r="X477" s="28"/>
      <c r="Y477" s="28"/>
      <c r="Z477" s="28"/>
      <c r="AA477" s="28"/>
    </row>
    <row r="478" ht="18.75" customHeight="1">
      <c r="A478" s="28"/>
      <c r="B478" s="28"/>
      <c r="C478" s="28"/>
      <c r="D478" s="28"/>
      <c r="E478" s="28"/>
      <c r="F478" s="28"/>
      <c r="G478" s="28"/>
      <c r="H478" s="28"/>
      <c r="I478" s="28"/>
      <c r="J478" s="28"/>
      <c r="K478" s="28"/>
      <c r="L478" s="28"/>
      <c r="M478" s="33"/>
      <c r="N478" s="33"/>
      <c r="O478" s="33"/>
      <c r="P478" s="33"/>
      <c r="Q478" s="28"/>
      <c r="R478" s="28"/>
      <c r="S478" s="28"/>
      <c r="T478" s="28"/>
      <c r="U478" s="28"/>
      <c r="V478" s="28"/>
      <c r="W478" s="28"/>
      <c r="X478" s="28"/>
      <c r="Y478" s="28"/>
      <c r="Z478" s="28"/>
      <c r="AA478" s="28"/>
    </row>
    <row r="479" ht="18.75" customHeight="1">
      <c r="A479" s="28"/>
      <c r="B479" s="28"/>
      <c r="C479" s="28"/>
      <c r="D479" s="28"/>
      <c r="E479" s="28"/>
      <c r="F479" s="28"/>
      <c r="G479" s="28"/>
      <c r="H479" s="28"/>
      <c r="I479" s="28"/>
      <c r="J479" s="28"/>
      <c r="K479" s="28"/>
      <c r="L479" s="28"/>
      <c r="M479" s="33"/>
      <c r="N479" s="33"/>
      <c r="O479" s="33"/>
      <c r="P479" s="33"/>
      <c r="Q479" s="28"/>
      <c r="R479" s="28"/>
      <c r="S479" s="28"/>
      <c r="T479" s="28"/>
      <c r="U479" s="28"/>
      <c r="V479" s="28"/>
      <c r="W479" s="28"/>
      <c r="X479" s="28"/>
      <c r="Y479" s="28"/>
      <c r="Z479" s="28"/>
      <c r="AA479" s="28"/>
    </row>
    <row r="480" ht="18.75" customHeight="1">
      <c r="A480" s="28"/>
      <c r="B480" s="28"/>
      <c r="C480" s="28"/>
      <c r="D480" s="28"/>
      <c r="E480" s="28"/>
      <c r="F480" s="28"/>
      <c r="G480" s="28"/>
      <c r="H480" s="28"/>
      <c r="I480" s="28"/>
      <c r="J480" s="28"/>
      <c r="K480" s="28"/>
      <c r="L480" s="28"/>
      <c r="M480" s="33"/>
      <c r="N480" s="33"/>
      <c r="O480" s="33"/>
      <c r="P480" s="33"/>
      <c r="Q480" s="28"/>
      <c r="R480" s="28"/>
      <c r="S480" s="28"/>
      <c r="T480" s="28"/>
      <c r="U480" s="28"/>
      <c r="V480" s="28"/>
      <c r="W480" s="28"/>
      <c r="X480" s="28"/>
      <c r="Y480" s="28"/>
      <c r="Z480" s="28"/>
      <c r="AA480" s="28"/>
    </row>
    <row r="481" ht="18.75" customHeight="1">
      <c r="A481" s="28"/>
      <c r="B481" s="28"/>
      <c r="C481" s="28"/>
      <c r="D481" s="28"/>
      <c r="E481" s="28"/>
      <c r="F481" s="28"/>
      <c r="G481" s="28"/>
      <c r="H481" s="28"/>
      <c r="I481" s="28"/>
      <c r="J481" s="28"/>
      <c r="K481" s="28"/>
      <c r="L481" s="28"/>
      <c r="M481" s="33"/>
      <c r="N481" s="33"/>
      <c r="O481" s="33"/>
      <c r="P481" s="33"/>
      <c r="Q481" s="28"/>
      <c r="R481" s="28"/>
      <c r="S481" s="28"/>
      <c r="T481" s="28"/>
      <c r="U481" s="28"/>
      <c r="V481" s="28"/>
      <c r="W481" s="28"/>
      <c r="X481" s="28"/>
      <c r="Y481" s="28"/>
      <c r="Z481" s="28"/>
      <c r="AA481" s="28"/>
    </row>
    <row r="482" ht="18.75" customHeight="1">
      <c r="A482" s="28"/>
      <c r="B482" s="28"/>
      <c r="C482" s="28"/>
      <c r="D482" s="28"/>
      <c r="E482" s="28"/>
      <c r="F482" s="28"/>
      <c r="G482" s="28"/>
      <c r="H482" s="28"/>
      <c r="I482" s="28"/>
      <c r="J482" s="28"/>
      <c r="K482" s="28"/>
      <c r="L482" s="28"/>
      <c r="M482" s="33"/>
      <c r="N482" s="33"/>
      <c r="O482" s="33"/>
      <c r="P482" s="33"/>
      <c r="Q482" s="28"/>
      <c r="R482" s="28"/>
      <c r="S482" s="28"/>
      <c r="T482" s="28"/>
      <c r="U482" s="28"/>
      <c r="V482" s="28"/>
      <c r="W482" s="28"/>
      <c r="X482" s="28"/>
      <c r="Y482" s="28"/>
      <c r="Z482" s="28"/>
      <c r="AA482" s="28"/>
    </row>
    <row r="483" ht="18.75" customHeight="1">
      <c r="A483" s="28"/>
      <c r="B483" s="28"/>
      <c r="C483" s="28"/>
      <c r="D483" s="28"/>
      <c r="E483" s="28"/>
      <c r="F483" s="28"/>
      <c r="G483" s="28"/>
      <c r="H483" s="28"/>
      <c r="I483" s="28"/>
      <c r="J483" s="28"/>
      <c r="K483" s="28"/>
      <c r="L483" s="28"/>
      <c r="M483" s="33"/>
      <c r="N483" s="33"/>
      <c r="O483" s="33"/>
      <c r="P483" s="33"/>
      <c r="Q483" s="28"/>
      <c r="R483" s="28"/>
      <c r="S483" s="28"/>
      <c r="T483" s="28"/>
      <c r="U483" s="28"/>
      <c r="V483" s="28"/>
      <c r="W483" s="28"/>
      <c r="X483" s="28"/>
      <c r="Y483" s="28"/>
      <c r="Z483" s="28"/>
      <c r="AA483" s="28"/>
    </row>
    <row r="484" ht="18.75" customHeight="1">
      <c r="A484" s="28"/>
      <c r="B484" s="28"/>
      <c r="C484" s="28"/>
      <c r="D484" s="28"/>
      <c r="E484" s="28"/>
      <c r="F484" s="28"/>
      <c r="G484" s="28"/>
      <c r="H484" s="28"/>
      <c r="I484" s="28"/>
      <c r="J484" s="28"/>
      <c r="K484" s="28"/>
      <c r="L484" s="28"/>
      <c r="M484" s="33"/>
      <c r="N484" s="33"/>
      <c r="O484" s="33"/>
      <c r="P484" s="33"/>
      <c r="Q484" s="28"/>
      <c r="R484" s="28"/>
      <c r="S484" s="28"/>
      <c r="T484" s="28"/>
      <c r="U484" s="28"/>
      <c r="V484" s="28"/>
      <c r="W484" s="28"/>
      <c r="X484" s="28"/>
      <c r="Y484" s="28"/>
      <c r="Z484" s="28"/>
      <c r="AA484" s="28"/>
    </row>
    <row r="485" ht="18.75" customHeight="1">
      <c r="A485" s="28"/>
      <c r="B485" s="28"/>
      <c r="C485" s="28"/>
      <c r="D485" s="28"/>
      <c r="E485" s="28"/>
      <c r="F485" s="28"/>
      <c r="G485" s="28"/>
      <c r="H485" s="28"/>
      <c r="I485" s="28"/>
      <c r="J485" s="28"/>
      <c r="K485" s="28"/>
      <c r="L485" s="28"/>
      <c r="M485" s="33"/>
      <c r="N485" s="33"/>
      <c r="O485" s="33"/>
      <c r="P485" s="33"/>
      <c r="Q485" s="28"/>
      <c r="R485" s="28"/>
      <c r="S485" s="28"/>
      <c r="T485" s="28"/>
      <c r="U485" s="28"/>
      <c r="V485" s="28"/>
      <c r="W485" s="28"/>
      <c r="X485" s="28"/>
      <c r="Y485" s="28"/>
      <c r="Z485" s="28"/>
      <c r="AA485" s="28"/>
    </row>
    <row r="486" ht="18.75" customHeight="1">
      <c r="A486" s="28"/>
      <c r="B486" s="28"/>
      <c r="C486" s="28"/>
      <c r="D486" s="28"/>
      <c r="E486" s="28"/>
      <c r="F486" s="28"/>
      <c r="G486" s="28"/>
      <c r="H486" s="28"/>
      <c r="I486" s="28"/>
      <c r="J486" s="28"/>
      <c r="K486" s="28"/>
      <c r="L486" s="28"/>
      <c r="M486" s="33"/>
      <c r="N486" s="33"/>
      <c r="O486" s="33"/>
      <c r="P486" s="33"/>
      <c r="Q486" s="28"/>
      <c r="R486" s="28"/>
      <c r="S486" s="28"/>
      <c r="T486" s="28"/>
      <c r="U486" s="28"/>
      <c r="V486" s="28"/>
      <c r="W486" s="28"/>
      <c r="X486" s="28"/>
      <c r="Y486" s="28"/>
      <c r="Z486" s="28"/>
      <c r="AA486" s="28"/>
    </row>
    <row r="487" ht="18.75" customHeight="1">
      <c r="A487" s="28"/>
      <c r="B487" s="28"/>
      <c r="C487" s="28"/>
      <c r="D487" s="28"/>
      <c r="E487" s="28"/>
      <c r="F487" s="28"/>
      <c r="G487" s="28"/>
      <c r="H487" s="28"/>
      <c r="I487" s="28"/>
      <c r="J487" s="28"/>
      <c r="K487" s="28"/>
      <c r="L487" s="28"/>
      <c r="M487" s="33"/>
      <c r="N487" s="33"/>
      <c r="O487" s="33"/>
      <c r="P487" s="33"/>
      <c r="Q487" s="28"/>
      <c r="R487" s="28"/>
      <c r="S487" s="28"/>
      <c r="T487" s="28"/>
      <c r="U487" s="28"/>
      <c r="V487" s="28"/>
      <c r="W487" s="28"/>
      <c r="X487" s="28"/>
      <c r="Y487" s="28"/>
      <c r="Z487" s="28"/>
      <c r="AA487" s="28"/>
    </row>
    <row r="488" ht="18.75" customHeight="1">
      <c r="A488" s="28"/>
      <c r="B488" s="28"/>
      <c r="C488" s="28"/>
      <c r="D488" s="28"/>
      <c r="E488" s="28"/>
      <c r="F488" s="28"/>
      <c r="G488" s="28"/>
      <c r="H488" s="28"/>
      <c r="I488" s="28"/>
      <c r="J488" s="28"/>
      <c r="K488" s="28"/>
      <c r="L488" s="28"/>
      <c r="M488" s="33"/>
      <c r="N488" s="33"/>
      <c r="O488" s="33"/>
      <c r="P488" s="33"/>
      <c r="Q488" s="28"/>
      <c r="R488" s="28"/>
      <c r="S488" s="28"/>
      <c r="T488" s="28"/>
      <c r="U488" s="28"/>
      <c r="V488" s="28"/>
      <c r="W488" s="28"/>
      <c r="X488" s="28"/>
      <c r="Y488" s="28"/>
      <c r="Z488" s="28"/>
      <c r="AA488" s="28"/>
    </row>
    <row r="489" ht="18.75" customHeight="1">
      <c r="A489" s="28"/>
      <c r="B489" s="28"/>
      <c r="C489" s="28"/>
      <c r="D489" s="28"/>
      <c r="E489" s="28"/>
      <c r="F489" s="28"/>
      <c r="G489" s="28"/>
      <c r="H489" s="28"/>
      <c r="I489" s="28"/>
      <c r="J489" s="28"/>
      <c r="K489" s="28"/>
      <c r="L489" s="28"/>
      <c r="M489" s="33"/>
      <c r="N489" s="33"/>
      <c r="O489" s="33"/>
      <c r="P489" s="33"/>
      <c r="Q489" s="28"/>
      <c r="R489" s="28"/>
      <c r="S489" s="28"/>
      <c r="T489" s="28"/>
      <c r="U489" s="28"/>
      <c r="V489" s="28"/>
      <c r="W489" s="28"/>
      <c r="X489" s="28"/>
      <c r="Y489" s="28"/>
      <c r="Z489" s="28"/>
      <c r="AA489" s="28"/>
    </row>
    <row r="490" ht="18.75" customHeight="1">
      <c r="A490" s="28"/>
      <c r="B490" s="28"/>
      <c r="C490" s="28"/>
      <c r="D490" s="28"/>
      <c r="E490" s="28"/>
      <c r="F490" s="28"/>
      <c r="G490" s="28"/>
      <c r="H490" s="28"/>
      <c r="I490" s="28"/>
      <c r="J490" s="28"/>
      <c r="K490" s="28"/>
      <c r="L490" s="28"/>
      <c r="M490" s="33"/>
      <c r="N490" s="33"/>
      <c r="O490" s="33"/>
      <c r="P490" s="33"/>
      <c r="Q490" s="28"/>
      <c r="R490" s="28"/>
      <c r="S490" s="28"/>
      <c r="T490" s="28"/>
      <c r="U490" s="28"/>
      <c r="V490" s="28"/>
      <c r="W490" s="28"/>
      <c r="X490" s="28"/>
      <c r="Y490" s="28"/>
      <c r="Z490" s="28"/>
      <c r="AA490" s="28"/>
    </row>
    <row r="491" ht="18.75" customHeight="1">
      <c r="A491" s="28"/>
      <c r="B491" s="28"/>
      <c r="C491" s="28"/>
      <c r="D491" s="28"/>
      <c r="E491" s="28"/>
      <c r="F491" s="28"/>
      <c r="G491" s="28"/>
      <c r="H491" s="28"/>
      <c r="I491" s="28"/>
      <c r="J491" s="28"/>
      <c r="K491" s="28"/>
      <c r="L491" s="28"/>
      <c r="M491" s="33"/>
      <c r="N491" s="33"/>
      <c r="O491" s="33"/>
      <c r="P491" s="33"/>
      <c r="Q491" s="28"/>
      <c r="R491" s="28"/>
      <c r="S491" s="28"/>
      <c r="T491" s="28"/>
      <c r="U491" s="28"/>
      <c r="V491" s="28"/>
      <c r="W491" s="28"/>
      <c r="X491" s="28"/>
      <c r="Y491" s="28"/>
      <c r="Z491" s="28"/>
      <c r="AA491" s="28"/>
    </row>
    <row r="492" ht="18.75" customHeight="1">
      <c r="A492" s="28"/>
      <c r="B492" s="28"/>
      <c r="C492" s="28"/>
      <c r="D492" s="28"/>
      <c r="E492" s="28"/>
      <c r="F492" s="28"/>
      <c r="G492" s="28"/>
      <c r="H492" s="28"/>
      <c r="I492" s="28"/>
      <c r="J492" s="28"/>
      <c r="K492" s="28"/>
      <c r="L492" s="28"/>
      <c r="M492" s="33"/>
      <c r="N492" s="33"/>
      <c r="O492" s="33"/>
      <c r="P492" s="33"/>
      <c r="Q492" s="28"/>
      <c r="R492" s="28"/>
      <c r="S492" s="28"/>
      <c r="T492" s="28"/>
      <c r="U492" s="28"/>
      <c r="V492" s="28"/>
      <c r="W492" s="28"/>
      <c r="X492" s="28"/>
      <c r="Y492" s="28"/>
      <c r="Z492" s="28"/>
      <c r="AA492" s="28"/>
    </row>
    <row r="493" ht="18.75" customHeight="1">
      <c r="A493" s="28"/>
      <c r="B493" s="28"/>
      <c r="C493" s="28"/>
      <c r="D493" s="28"/>
      <c r="E493" s="28"/>
      <c r="F493" s="28"/>
      <c r="G493" s="28"/>
      <c r="H493" s="28"/>
      <c r="I493" s="28"/>
      <c r="J493" s="28"/>
      <c r="K493" s="28"/>
      <c r="L493" s="28"/>
      <c r="M493" s="33"/>
      <c r="N493" s="33"/>
      <c r="O493" s="33"/>
      <c r="P493" s="33"/>
      <c r="Q493" s="28"/>
      <c r="R493" s="28"/>
      <c r="S493" s="28"/>
      <c r="T493" s="28"/>
      <c r="U493" s="28"/>
      <c r="V493" s="28"/>
      <c r="W493" s="28"/>
      <c r="X493" s="28"/>
      <c r="Y493" s="28"/>
      <c r="Z493" s="28"/>
      <c r="AA493" s="28"/>
    </row>
    <row r="494" ht="18.75" customHeight="1">
      <c r="A494" s="28"/>
      <c r="B494" s="28"/>
      <c r="C494" s="28"/>
      <c r="D494" s="28"/>
      <c r="E494" s="28"/>
      <c r="F494" s="28"/>
      <c r="G494" s="28"/>
      <c r="H494" s="28"/>
      <c r="I494" s="28"/>
      <c r="J494" s="28"/>
      <c r="K494" s="28"/>
      <c r="L494" s="28"/>
      <c r="M494" s="33"/>
      <c r="N494" s="33"/>
      <c r="O494" s="33"/>
      <c r="P494" s="33"/>
      <c r="Q494" s="28"/>
      <c r="R494" s="28"/>
      <c r="S494" s="28"/>
      <c r="T494" s="28"/>
      <c r="U494" s="28"/>
      <c r="V494" s="28"/>
      <c r="W494" s="28"/>
      <c r="X494" s="28"/>
      <c r="Y494" s="28"/>
      <c r="Z494" s="28"/>
      <c r="AA494" s="28"/>
    </row>
    <row r="495" ht="18.75" customHeight="1">
      <c r="A495" s="28"/>
      <c r="B495" s="28"/>
      <c r="C495" s="28"/>
      <c r="D495" s="28"/>
      <c r="E495" s="28"/>
      <c r="F495" s="28"/>
      <c r="G495" s="28"/>
      <c r="H495" s="28"/>
      <c r="I495" s="28"/>
      <c r="J495" s="28"/>
      <c r="K495" s="28"/>
      <c r="L495" s="28"/>
      <c r="M495" s="33"/>
      <c r="N495" s="33"/>
      <c r="O495" s="33"/>
      <c r="P495" s="33"/>
      <c r="Q495" s="28"/>
      <c r="R495" s="28"/>
      <c r="S495" s="28"/>
      <c r="T495" s="28"/>
      <c r="U495" s="28"/>
      <c r="V495" s="28"/>
      <c r="W495" s="28"/>
      <c r="X495" s="28"/>
      <c r="Y495" s="28"/>
      <c r="Z495" s="28"/>
      <c r="AA495" s="28"/>
    </row>
    <row r="496" ht="18.75" customHeight="1">
      <c r="A496" s="28"/>
      <c r="B496" s="28"/>
      <c r="C496" s="28"/>
      <c r="D496" s="28"/>
      <c r="E496" s="28"/>
      <c r="F496" s="28"/>
      <c r="G496" s="28"/>
      <c r="H496" s="28"/>
      <c r="I496" s="28"/>
      <c r="J496" s="28"/>
      <c r="K496" s="28"/>
      <c r="L496" s="28"/>
      <c r="M496" s="33"/>
      <c r="N496" s="33"/>
      <c r="O496" s="33"/>
      <c r="P496" s="33"/>
      <c r="Q496" s="28"/>
      <c r="R496" s="28"/>
      <c r="S496" s="28"/>
      <c r="T496" s="28"/>
      <c r="U496" s="28"/>
      <c r="V496" s="28"/>
      <c r="W496" s="28"/>
      <c r="X496" s="28"/>
      <c r="Y496" s="28"/>
      <c r="Z496" s="28"/>
      <c r="AA496" s="28"/>
    </row>
    <row r="497" ht="18.75" customHeight="1">
      <c r="A497" s="28"/>
      <c r="B497" s="28"/>
      <c r="C497" s="28"/>
      <c r="D497" s="28"/>
      <c r="E497" s="28"/>
      <c r="F497" s="28"/>
      <c r="G497" s="28"/>
      <c r="H497" s="28"/>
      <c r="I497" s="28"/>
      <c r="J497" s="28"/>
      <c r="K497" s="28"/>
      <c r="L497" s="28"/>
      <c r="M497" s="33"/>
      <c r="N497" s="33"/>
      <c r="O497" s="33"/>
      <c r="P497" s="33"/>
      <c r="Q497" s="28"/>
      <c r="R497" s="28"/>
      <c r="S497" s="28"/>
      <c r="T497" s="28"/>
      <c r="U497" s="28"/>
      <c r="V497" s="28"/>
      <c r="W497" s="28"/>
      <c r="X497" s="28"/>
      <c r="Y497" s="28"/>
      <c r="Z497" s="28"/>
      <c r="AA497" s="28"/>
    </row>
    <row r="498" ht="18.75" customHeight="1">
      <c r="A498" s="28"/>
      <c r="B498" s="28"/>
      <c r="C498" s="28"/>
      <c r="D498" s="28"/>
      <c r="E498" s="28"/>
      <c r="F498" s="28"/>
      <c r="G498" s="28"/>
      <c r="H498" s="28"/>
      <c r="I498" s="28"/>
      <c r="J498" s="28"/>
      <c r="K498" s="28"/>
      <c r="L498" s="28"/>
      <c r="M498" s="33"/>
      <c r="N498" s="33"/>
      <c r="O498" s="33"/>
      <c r="P498" s="33"/>
      <c r="Q498" s="28"/>
      <c r="R498" s="28"/>
      <c r="S498" s="28"/>
      <c r="T498" s="28"/>
      <c r="U498" s="28"/>
      <c r="V498" s="28"/>
      <c r="W498" s="28"/>
      <c r="X498" s="28"/>
      <c r="Y498" s="28"/>
      <c r="Z498" s="28"/>
      <c r="AA498" s="28"/>
    </row>
    <row r="499" ht="18.75" customHeight="1">
      <c r="A499" s="28"/>
      <c r="B499" s="28"/>
      <c r="C499" s="28"/>
      <c r="D499" s="28"/>
      <c r="E499" s="28"/>
      <c r="F499" s="28"/>
      <c r="G499" s="28"/>
      <c r="H499" s="28"/>
      <c r="I499" s="28"/>
      <c r="J499" s="28"/>
      <c r="K499" s="28"/>
      <c r="L499" s="28"/>
      <c r="M499" s="33"/>
      <c r="N499" s="33"/>
      <c r="O499" s="33"/>
      <c r="P499" s="33"/>
      <c r="Q499" s="28"/>
      <c r="R499" s="28"/>
      <c r="S499" s="28"/>
      <c r="T499" s="28"/>
      <c r="U499" s="28"/>
      <c r="V499" s="28"/>
      <c r="W499" s="28"/>
      <c r="X499" s="28"/>
      <c r="Y499" s="28"/>
      <c r="Z499" s="28"/>
      <c r="AA499" s="28"/>
    </row>
    <row r="500" ht="18.75" customHeight="1">
      <c r="A500" s="28"/>
      <c r="B500" s="28"/>
      <c r="C500" s="28"/>
      <c r="D500" s="28"/>
      <c r="E500" s="28"/>
      <c r="F500" s="28"/>
      <c r="G500" s="28"/>
      <c r="H500" s="28"/>
      <c r="I500" s="28"/>
      <c r="J500" s="28"/>
      <c r="K500" s="28"/>
      <c r="L500" s="28"/>
      <c r="M500" s="33"/>
      <c r="N500" s="33"/>
      <c r="O500" s="33"/>
      <c r="P500" s="33"/>
      <c r="Q500" s="28"/>
      <c r="R500" s="28"/>
      <c r="S500" s="28"/>
      <c r="T500" s="28"/>
      <c r="U500" s="28"/>
      <c r="V500" s="28"/>
      <c r="W500" s="28"/>
      <c r="X500" s="28"/>
      <c r="Y500" s="28"/>
      <c r="Z500" s="28"/>
      <c r="AA500" s="28"/>
    </row>
    <row r="501" ht="18.75" customHeight="1">
      <c r="A501" s="28"/>
      <c r="B501" s="28"/>
      <c r="C501" s="28"/>
      <c r="D501" s="28"/>
      <c r="E501" s="28"/>
      <c r="F501" s="28"/>
      <c r="G501" s="28"/>
      <c r="H501" s="28"/>
      <c r="I501" s="28"/>
      <c r="J501" s="28"/>
      <c r="K501" s="28"/>
      <c r="L501" s="28"/>
      <c r="M501" s="33"/>
      <c r="N501" s="33"/>
      <c r="O501" s="33"/>
      <c r="P501" s="33"/>
      <c r="Q501" s="28"/>
      <c r="R501" s="28"/>
      <c r="S501" s="28"/>
      <c r="T501" s="28"/>
      <c r="U501" s="28"/>
      <c r="V501" s="28"/>
      <c r="W501" s="28"/>
      <c r="X501" s="28"/>
      <c r="Y501" s="28"/>
      <c r="Z501" s="28"/>
      <c r="AA501" s="28"/>
    </row>
    <row r="502" ht="18.75" customHeight="1">
      <c r="A502" s="28"/>
      <c r="B502" s="28"/>
      <c r="C502" s="28"/>
      <c r="D502" s="28"/>
      <c r="E502" s="28"/>
      <c r="F502" s="28"/>
      <c r="G502" s="28"/>
      <c r="H502" s="28"/>
      <c r="I502" s="28"/>
      <c r="J502" s="28"/>
      <c r="K502" s="28"/>
      <c r="L502" s="28"/>
      <c r="M502" s="33"/>
      <c r="N502" s="33"/>
      <c r="O502" s="33"/>
      <c r="P502" s="33"/>
      <c r="Q502" s="28"/>
      <c r="R502" s="28"/>
      <c r="S502" s="28"/>
      <c r="T502" s="28"/>
      <c r="U502" s="28"/>
      <c r="V502" s="28"/>
      <c r="W502" s="28"/>
      <c r="X502" s="28"/>
      <c r="Y502" s="28"/>
      <c r="Z502" s="28"/>
      <c r="AA502" s="28"/>
    </row>
    <row r="503" ht="18.75" customHeight="1">
      <c r="A503" s="28"/>
      <c r="B503" s="28"/>
      <c r="C503" s="28"/>
      <c r="D503" s="28"/>
      <c r="E503" s="28"/>
      <c r="F503" s="28"/>
      <c r="G503" s="28"/>
      <c r="H503" s="28"/>
      <c r="I503" s="28"/>
      <c r="J503" s="28"/>
      <c r="K503" s="28"/>
      <c r="L503" s="28"/>
      <c r="M503" s="33"/>
      <c r="N503" s="33"/>
      <c r="O503" s="33"/>
      <c r="P503" s="33"/>
      <c r="Q503" s="28"/>
      <c r="R503" s="28"/>
      <c r="S503" s="28"/>
      <c r="T503" s="28"/>
      <c r="U503" s="28"/>
      <c r="V503" s="28"/>
      <c r="W503" s="28"/>
      <c r="X503" s="28"/>
      <c r="Y503" s="28"/>
      <c r="Z503" s="28"/>
      <c r="AA503" s="28"/>
    </row>
    <row r="504" ht="18.75" customHeight="1">
      <c r="A504" s="28"/>
      <c r="B504" s="28"/>
      <c r="C504" s="28"/>
      <c r="D504" s="28"/>
      <c r="E504" s="28"/>
      <c r="F504" s="28"/>
      <c r="G504" s="28"/>
      <c r="H504" s="28"/>
      <c r="I504" s="28"/>
      <c r="J504" s="28"/>
      <c r="K504" s="28"/>
      <c r="L504" s="28"/>
      <c r="M504" s="33"/>
      <c r="N504" s="33"/>
      <c r="O504" s="33"/>
      <c r="P504" s="33"/>
      <c r="Q504" s="28"/>
      <c r="R504" s="28"/>
      <c r="S504" s="28"/>
      <c r="T504" s="28"/>
      <c r="U504" s="28"/>
      <c r="V504" s="28"/>
      <c r="W504" s="28"/>
      <c r="X504" s="28"/>
      <c r="Y504" s="28"/>
      <c r="Z504" s="28"/>
      <c r="AA504" s="28"/>
    </row>
    <row r="505" ht="18.75" customHeight="1">
      <c r="A505" s="28"/>
      <c r="B505" s="28"/>
      <c r="C505" s="28"/>
      <c r="D505" s="28"/>
      <c r="E505" s="28"/>
      <c r="F505" s="28"/>
      <c r="G505" s="28"/>
      <c r="H505" s="28"/>
      <c r="I505" s="28"/>
      <c r="J505" s="28"/>
      <c r="K505" s="28"/>
      <c r="L505" s="28"/>
      <c r="M505" s="33"/>
      <c r="N505" s="33"/>
      <c r="O505" s="33"/>
      <c r="P505" s="33"/>
      <c r="Q505" s="28"/>
      <c r="R505" s="28"/>
      <c r="S505" s="28"/>
      <c r="T505" s="28"/>
      <c r="U505" s="28"/>
      <c r="V505" s="28"/>
      <c r="W505" s="28"/>
      <c r="X505" s="28"/>
      <c r="Y505" s="28"/>
      <c r="Z505" s="28"/>
      <c r="AA505" s="28"/>
    </row>
    <row r="506" ht="18.75" customHeight="1">
      <c r="A506" s="28"/>
      <c r="B506" s="28"/>
      <c r="C506" s="28"/>
      <c r="D506" s="28"/>
      <c r="E506" s="28"/>
      <c r="F506" s="28"/>
      <c r="G506" s="28"/>
      <c r="H506" s="28"/>
      <c r="I506" s="28"/>
      <c r="J506" s="28"/>
      <c r="K506" s="28"/>
      <c r="L506" s="28"/>
      <c r="M506" s="33"/>
      <c r="N506" s="33"/>
      <c r="O506" s="33"/>
      <c r="P506" s="33"/>
      <c r="Q506" s="28"/>
      <c r="R506" s="28"/>
      <c r="S506" s="28"/>
      <c r="T506" s="28"/>
      <c r="U506" s="28"/>
      <c r="V506" s="28"/>
      <c r="W506" s="28"/>
      <c r="X506" s="28"/>
      <c r="Y506" s="28"/>
      <c r="Z506" s="28"/>
      <c r="AA506" s="28"/>
    </row>
    <row r="507" ht="18.75" customHeight="1">
      <c r="A507" s="28"/>
      <c r="B507" s="28"/>
      <c r="C507" s="28"/>
      <c r="D507" s="28"/>
      <c r="E507" s="28"/>
      <c r="F507" s="28"/>
      <c r="G507" s="28"/>
      <c r="H507" s="28"/>
      <c r="I507" s="28"/>
      <c r="J507" s="28"/>
      <c r="K507" s="28"/>
      <c r="L507" s="28"/>
      <c r="M507" s="33"/>
      <c r="N507" s="33"/>
      <c r="O507" s="33"/>
      <c r="P507" s="33"/>
      <c r="Q507" s="28"/>
      <c r="R507" s="28"/>
      <c r="S507" s="28"/>
      <c r="T507" s="28"/>
      <c r="U507" s="28"/>
      <c r="V507" s="28"/>
      <c r="W507" s="28"/>
      <c r="X507" s="28"/>
      <c r="Y507" s="28"/>
      <c r="Z507" s="28"/>
      <c r="AA507" s="28"/>
    </row>
    <row r="508" ht="18.75" customHeight="1">
      <c r="A508" s="28"/>
      <c r="B508" s="28"/>
      <c r="C508" s="28"/>
      <c r="D508" s="28"/>
      <c r="E508" s="28"/>
      <c r="F508" s="28"/>
      <c r="G508" s="28"/>
      <c r="H508" s="28"/>
      <c r="I508" s="28"/>
      <c r="J508" s="28"/>
      <c r="K508" s="28"/>
      <c r="L508" s="28"/>
      <c r="M508" s="33"/>
      <c r="N508" s="33"/>
      <c r="O508" s="33"/>
      <c r="P508" s="33"/>
      <c r="Q508" s="28"/>
      <c r="R508" s="28"/>
      <c r="S508" s="28"/>
      <c r="T508" s="28"/>
      <c r="U508" s="28"/>
      <c r="V508" s="28"/>
      <c r="W508" s="28"/>
      <c r="X508" s="28"/>
      <c r="Y508" s="28"/>
      <c r="Z508" s="28"/>
      <c r="AA508" s="28"/>
    </row>
    <row r="509" ht="18.75" customHeight="1">
      <c r="A509" s="28"/>
      <c r="B509" s="28"/>
      <c r="C509" s="28"/>
      <c r="D509" s="28"/>
      <c r="E509" s="28"/>
      <c r="F509" s="28"/>
      <c r="G509" s="28"/>
      <c r="H509" s="28"/>
      <c r="I509" s="28"/>
      <c r="J509" s="28"/>
      <c r="K509" s="28"/>
      <c r="L509" s="28"/>
      <c r="M509" s="33"/>
      <c r="N509" s="33"/>
      <c r="O509" s="33"/>
      <c r="P509" s="33"/>
      <c r="Q509" s="28"/>
      <c r="R509" s="28"/>
      <c r="S509" s="28"/>
      <c r="T509" s="28"/>
      <c r="U509" s="28"/>
      <c r="V509" s="28"/>
      <c r="W509" s="28"/>
      <c r="X509" s="28"/>
      <c r="Y509" s="28"/>
      <c r="Z509" s="28"/>
      <c r="AA509" s="28"/>
    </row>
    <row r="510" ht="18.75" customHeight="1">
      <c r="A510" s="28"/>
      <c r="B510" s="28"/>
      <c r="C510" s="28"/>
      <c r="D510" s="28"/>
      <c r="E510" s="28"/>
      <c r="F510" s="28"/>
      <c r="G510" s="28"/>
      <c r="H510" s="28"/>
      <c r="I510" s="28"/>
      <c r="J510" s="28"/>
      <c r="K510" s="28"/>
      <c r="L510" s="28"/>
      <c r="M510" s="33"/>
      <c r="N510" s="33"/>
      <c r="O510" s="33"/>
      <c r="P510" s="33"/>
      <c r="Q510" s="28"/>
      <c r="R510" s="28"/>
      <c r="S510" s="28"/>
      <c r="T510" s="28"/>
      <c r="U510" s="28"/>
      <c r="V510" s="28"/>
      <c r="W510" s="28"/>
      <c r="X510" s="28"/>
      <c r="Y510" s="28"/>
      <c r="Z510" s="28"/>
      <c r="AA510" s="28"/>
    </row>
    <row r="511" ht="18.75" customHeight="1">
      <c r="A511" s="28"/>
      <c r="B511" s="28"/>
      <c r="C511" s="28"/>
      <c r="D511" s="28"/>
      <c r="E511" s="28"/>
      <c r="F511" s="28"/>
      <c r="G511" s="28"/>
      <c r="H511" s="28"/>
      <c r="I511" s="28"/>
      <c r="J511" s="28"/>
      <c r="K511" s="28"/>
      <c r="L511" s="28"/>
      <c r="M511" s="33"/>
      <c r="N511" s="33"/>
      <c r="O511" s="33"/>
      <c r="P511" s="33"/>
      <c r="Q511" s="28"/>
      <c r="R511" s="28"/>
      <c r="S511" s="28"/>
      <c r="T511" s="28"/>
      <c r="U511" s="28"/>
      <c r="V511" s="28"/>
      <c r="W511" s="28"/>
      <c r="X511" s="28"/>
      <c r="Y511" s="28"/>
      <c r="Z511" s="28"/>
      <c r="AA511" s="28"/>
    </row>
    <row r="512" ht="18.75" customHeight="1">
      <c r="A512" s="28"/>
      <c r="B512" s="28"/>
      <c r="C512" s="28"/>
      <c r="D512" s="28"/>
      <c r="E512" s="28"/>
      <c r="F512" s="28"/>
      <c r="G512" s="28"/>
      <c r="H512" s="28"/>
      <c r="I512" s="28"/>
      <c r="J512" s="28"/>
      <c r="K512" s="28"/>
      <c r="L512" s="28"/>
      <c r="M512" s="33"/>
      <c r="N512" s="33"/>
      <c r="O512" s="33"/>
      <c r="P512" s="33"/>
      <c r="Q512" s="28"/>
      <c r="R512" s="28"/>
      <c r="S512" s="28"/>
      <c r="T512" s="28"/>
      <c r="U512" s="28"/>
      <c r="V512" s="28"/>
      <c r="W512" s="28"/>
      <c r="X512" s="28"/>
      <c r="Y512" s="28"/>
      <c r="Z512" s="28"/>
      <c r="AA512" s="28"/>
    </row>
    <row r="513" ht="18.75" customHeight="1">
      <c r="A513" s="28"/>
      <c r="B513" s="28"/>
      <c r="C513" s="28"/>
      <c r="D513" s="28"/>
      <c r="E513" s="28"/>
      <c r="F513" s="28"/>
      <c r="G513" s="28"/>
      <c r="H513" s="28"/>
      <c r="I513" s="28"/>
      <c r="J513" s="28"/>
      <c r="K513" s="28"/>
      <c r="L513" s="28"/>
      <c r="M513" s="33"/>
      <c r="N513" s="33"/>
      <c r="O513" s="33"/>
      <c r="P513" s="33"/>
      <c r="Q513" s="28"/>
      <c r="R513" s="28"/>
      <c r="S513" s="28"/>
      <c r="T513" s="28"/>
      <c r="U513" s="28"/>
      <c r="V513" s="28"/>
      <c r="W513" s="28"/>
      <c r="X513" s="28"/>
      <c r="Y513" s="28"/>
      <c r="Z513" s="28"/>
      <c r="AA513" s="28"/>
    </row>
    <row r="514" ht="18.75" customHeight="1">
      <c r="A514" s="28"/>
      <c r="B514" s="28"/>
      <c r="C514" s="28"/>
      <c r="D514" s="28"/>
      <c r="E514" s="28"/>
      <c r="F514" s="28"/>
      <c r="G514" s="28"/>
      <c r="H514" s="28"/>
      <c r="I514" s="28"/>
      <c r="J514" s="28"/>
      <c r="K514" s="28"/>
      <c r="L514" s="28"/>
      <c r="M514" s="33"/>
      <c r="N514" s="33"/>
      <c r="O514" s="33"/>
      <c r="P514" s="33"/>
      <c r="Q514" s="28"/>
      <c r="R514" s="28"/>
      <c r="S514" s="28"/>
      <c r="T514" s="28"/>
      <c r="U514" s="28"/>
      <c r="V514" s="28"/>
      <c r="W514" s="28"/>
      <c r="X514" s="28"/>
      <c r="Y514" s="28"/>
      <c r="Z514" s="28"/>
      <c r="AA514" s="28"/>
    </row>
    <row r="515" ht="18.75" customHeight="1">
      <c r="A515" s="28"/>
      <c r="B515" s="28"/>
      <c r="C515" s="28"/>
      <c r="D515" s="28"/>
      <c r="E515" s="28"/>
      <c r="F515" s="28"/>
      <c r="G515" s="28"/>
      <c r="H515" s="28"/>
      <c r="I515" s="28"/>
      <c r="J515" s="28"/>
      <c r="K515" s="28"/>
      <c r="L515" s="28"/>
      <c r="M515" s="33"/>
      <c r="N515" s="33"/>
      <c r="O515" s="33"/>
      <c r="P515" s="33"/>
      <c r="Q515" s="28"/>
      <c r="R515" s="28"/>
      <c r="S515" s="28"/>
      <c r="T515" s="28"/>
      <c r="U515" s="28"/>
      <c r="V515" s="28"/>
      <c r="W515" s="28"/>
      <c r="X515" s="28"/>
      <c r="Y515" s="28"/>
      <c r="Z515" s="28"/>
      <c r="AA515" s="28"/>
    </row>
    <row r="516" ht="18.75" customHeight="1">
      <c r="A516" s="28"/>
      <c r="B516" s="28"/>
      <c r="C516" s="28"/>
      <c r="D516" s="28"/>
      <c r="E516" s="28"/>
      <c r="F516" s="28"/>
      <c r="G516" s="28"/>
      <c r="H516" s="28"/>
      <c r="I516" s="28"/>
      <c r="J516" s="28"/>
      <c r="K516" s="28"/>
      <c r="L516" s="28"/>
      <c r="M516" s="33"/>
      <c r="N516" s="33"/>
      <c r="O516" s="33"/>
      <c r="P516" s="33"/>
      <c r="Q516" s="28"/>
      <c r="R516" s="28"/>
      <c r="S516" s="28"/>
      <c r="T516" s="28"/>
      <c r="U516" s="28"/>
      <c r="V516" s="28"/>
      <c r="W516" s="28"/>
      <c r="X516" s="28"/>
      <c r="Y516" s="28"/>
      <c r="Z516" s="28"/>
      <c r="AA516" s="28"/>
    </row>
    <row r="517" ht="18.75" customHeight="1">
      <c r="A517" s="28"/>
      <c r="B517" s="28"/>
      <c r="C517" s="28"/>
      <c r="D517" s="28"/>
      <c r="E517" s="28"/>
      <c r="F517" s="28"/>
      <c r="G517" s="28"/>
      <c r="H517" s="28"/>
      <c r="I517" s="28"/>
      <c r="J517" s="28"/>
      <c r="K517" s="28"/>
      <c r="L517" s="28"/>
      <c r="M517" s="33"/>
      <c r="N517" s="33"/>
      <c r="O517" s="33"/>
      <c r="P517" s="33"/>
      <c r="Q517" s="28"/>
      <c r="R517" s="28"/>
      <c r="S517" s="28"/>
      <c r="T517" s="28"/>
      <c r="U517" s="28"/>
      <c r="V517" s="28"/>
      <c r="W517" s="28"/>
      <c r="X517" s="28"/>
      <c r="Y517" s="28"/>
      <c r="Z517" s="28"/>
      <c r="AA517" s="28"/>
    </row>
    <row r="518" ht="18.75" customHeight="1">
      <c r="A518" s="28"/>
      <c r="B518" s="28"/>
      <c r="C518" s="28"/>
      <c r="D518" s="28"/>
      <c r="E518" s="28"/>
      <c r="F518" s="28"/>
      <c r="G518" s="28"/>
      <c r="H518" s="28"/>
      <c r="I518" s="28"/>
      <c r="J518" s="28"/>
      <c r="K518" s="28"/>
      <c r="L518" s="28"/>
      <c r="M518" s="33"/>
      <c r="N518" s="33"/>
      <c r="O518" s="33"/>
      <c r="P518" s="33"/>
      <c r="Q518" s="28"/>
      <c r="R518" s="28"/>
      <c r="S518" s="28"/>
      <c r="T518" s="28"/>
      <c r="U518" s="28"/>
      <c r="V518" s="28"/>
      <c r="W518" s="28"/>
      <c r="X518" s="28"/>
      <c r="Y518" s="28"/>
      <c r="Z518" s="28"/>
      <c r="AA518" s="28"/>
    </row>
    <row r="519" ht="18.75" customHeight="1">
      <c r="A519" s="28"/>
      <c r="B519" s="28"/>
      <c r="C519" s="28"/>
      <c r="D519" s="28"/>
      <c r="E519" s="28"/>
      <c r="F519" s="28"/>
      <c r="G519" s="28"/>
      <c r="H519" s="28"/>
      <c r="I519" s="28"/>
      <c r="J519" s="28"/>
      <c r="K519" s="28"/>
      <c r="L519" s="28"/>
      <c r="M519" s="33"/>
      <c r="N519" s="33"/>
      <c r="O519" s="33"/>
      <c r="P519" s="33"/>
      <c r="Q519" s="28"/>
      <c r="R519" s="28"/>
      <c r="S519" s="28"/>
      <c r="T519" s="28"/>
      <c r="U519" s="28"/>
      <c r="V519" s="28"/>
      <c r="W519" s="28"/>
      <c r="X519" s="28"/>
      <c r="Y519" s="28"/>
      <c r="Z519" s="28"/>
      <c r="AA519" s="28"/>
    </row>
    <row r="520" ht="18.75" customHeight="1">
      <c r="A520" s="28"/>
      <c r="B520" s="28"/>
      <c r="C520" s="28"/>
      <c r="D520" s="28"/>
      <c r="E520" s="28"/>
      <c r="F520" s="28"/>
      <c r="G520" s="28"/>
      <c r="H520" s="28"/>
      <c r="I520" s="28"/>
      <c r="J520" s="28"/>
      <c r="K520" s="28"/>
      <c r="L520" s="28"/>
      <c r="M520" s="33"/>
      <c r="N520" s="33"/>
      <c r="O520" s="33"/>
      <c r="P520" s="33"/>
      <c r="Q520" s="28"/>
      <c r="R520" s="28"/>
      <c r="S520" s="28"/>
      <c r="T520" s="28"/>
      <c r="U520" s="28"/>
      <c r="V520" s="28"/>
      <c r="W520" s="28"/>
      <c r="X520" s="28"/>
      <c r="Y520" s="28"/>
      <c r="Z520" s="28"/>
      <c r="AA520" s="28"/>
    </row>
    <row r="521" ht="18.75" customHeight="1">
      <c r="A521" s="28"/>
      <c r="B521" s="28"/>
      <c r="C521" s="28"/>
      <c r="D521" s="28"/>
      <c r="E521" s="28"/>
      <c r="F521" s="28"/>
      <c r="G521" s="28"/>
      <c r="H521" s="28"/>
      <c r="I521" s="28"/>
      <c r="J521" s="28"/>
      <c r="K521" s="28"/>
      <c r="L521" s="28"/>
      <c r="M521" s="33"/>
      <c r="N521" s="33"/>
      <c r="O521" s="33"/>
      <c r="P521" s="33"/>
      <c r="Q521" s="28"/>
      <c r="R521" s="28"/>
      <c r="S521" s="28"/>
      <c r="T521" s="28"/>
      <c r="U521" s="28"/>
      <c r="V521" s="28"/>
      <c r="W521" s="28"/>
      <c r="X521" s="28"/>
      <c r="Y521" s="28"/>
      <c r="Z521" s="28"/>
      <c r="AA521" s="28"/>
    </row>
    <row r="522" ht="18.75" customHeight="1">
      <c r="A522" s="28"/>
      <c r="B522" s="28"/>
      <c r="C522" s="28"/>
      <c r="D522" s="28"/>
      <c r="E522" s="28"/>
      <c r="F522" s="28"/>
      <c r="G522" s="28"/>
      <c r="H522" s="28"/>
      <c r="I522" s="28"/>
      <c r="J522" s="28"/>
      <c r="K522" s="28"/>
      <c r="L522" s="28"/>
      <c r="M522" s="33"/>
      <c r="N522" s="33"/>
      <c r="O522" s="33"/>
      <c r="P522" s="33"/>
      <c r="Q522" s="28"/>
      <c r="R522" s="28"/>
      <c r="S522" s="28"/>
      <c r="T522" s="28"/>
      <c r="U522" s="28"/>
      <c r="V522" s="28"/>
      <c r="W522" s="28"/>
      <c r="X522" s="28"/>
      <c r="Y522" s="28"/>
      <c r="Z522" s="28"/>
      <c r="AA522" s="28"/>
    </row>
    <row r="523" ht="18.75" customHeight="1">
      <c r="A523" s="28"/>
      <c r="B523" s="28"/>
      <c r="C523" s="28"/>
      <c r="D523" s="28"/>
      <c r="E523" s="28"/>
      <c r="F523" s="28"/>
      <c r="G523" s="28"/>
      <c r="H523" s="28"/>
      <c r="I523" s="28"/>
      <c r="J523" s="28"/>
      <c r="K523" s="28"/>
      <c r="L523" s="28"/>
      <c r="M523" s="33"/>
      <c r="N523" s="33"/>
      <c r="O523" s="33"/>
      <c r="P523" s="33"/>
      <c r="Q523" s="28"/>
      <c r="R523" s="28"/>
      <c r="S523" s="28"/>
      <c r="T523" s="28"/>
      <c r="U523" s="28"/>
      <c r="V523" s="28"/>
      <c r="W523" s="28"/>
      <c r="X523" s="28"/>
      <c r="Y523" s="28"/>
      <c r="Z523" s="28"/>
      <c r="AA523" s="28"/>
    </row>
    <row r="524" ht="18.75" customHeight="1">
      <c r="A524" s="28"/>
      <c r="B524" s="28"/>
      <c r="C524" s="28"/>
      <c r="D524" s="28"/>
      <c r="E524" s="28"/>
      <c r="F524" s="28"/>
      <c r="G524" s="28"/>
      <c r="H524" s="28"/>
      <c r="I524" s="28"/>
      <c r="J524" s="28"/>
      <c r="K524" s="28"/>
      <c r="L524" s="28"/>
      <c r="M524" s="33"/>
      <c r="N524" s="33"/>
      <c r="O524" s="33"/>
      <c r="P524" s="33"/>
      <c r="Q524" s="28"/>
      <c r="R524" s="28"/>
      <c r="S524" s="28"/>
      <c r="T524" s="28"/>
      <c r="U524" s="28"/>
      <c r="V524" s="28"/>
      <c r="W524" s="28"/>
      <c r="X524" s="28"/>
      <c r="Y524" s="28"/>
      <c r="Z524" s="28"/>
      <c r="AA524" s="28"/>
    </row>
    <row r="525" ht="18.75" customHeight="1">
      <c r="A525" s="28"/>
      <c r="B525" s="28"/>
      <c r="C525" s="28"/>
      <c r="D525" s="28"/>
      <c r="E525" s="28"/>
      <c r="F525" s="28"/>
      <c r="G525" s="28"/>
      <c r="H525" s="28"/>
      <c r="I525" s="28"/>
      <c r="J525" s="28"/>
      <c r="K525" s="28"/>
      <c r="L525" s="28"/>
      <c r="M525" s="33"/>
      <c r="N525" s="33"/>
      <c r="O525" s="33"/>
      <c r="P525" s="33"/>
      <c r="Q525" s="28"/>
      <c r="R525" s="28"/>
      <c r="S525" s="28"/>
      <c r="T525" s="28"/>
      <c r="U525" s="28"/>
      <c r="V525" s="28"/>
      <c r="W525" s="28"/>
      <c r="X525" s="28"/>
      <c r="Y525" s="28"/>
      <c r="Z525" s="28"/>
      <c r="AA525" s="28"/>
    </row>
    <row r="526" ht="18.75" customHeight="1">
      <c r="A526" s="28"/>
      <c r="B526" s="28"/>
      <c r="C526" s="28"/>
      <c r="D526" s="28"/>
      <c r="E526" s="28"/>
      <c r="F526" s="28"/>
      <c r="G526" s="28"/>
      <c r="H526" s="28"/>
      <c r="I526" s="28"/>
      <c r="J526" s="28"/>
      <c r="K526" s="28"/>
      <c r="L526" s="28"/>
      <c r="M526" s="33"/>
      <c r="N526" s="33"/>
      <c r="O526" s="33"/>
      <c r="P526" s="33"/>
      <c r="Q526" s="28"/>
      <c r="R526" s="28"/>
      <c r="S526" s="28"/>
      <c r="T526" s="28"/>
      <c r="U526" s="28"/>
      <c r="V526" s="28"/>
      <c r="W526" s="28"/>
      <c r="X526" s="28"/>
      <c r="Y526" s="28"/>
      <c r="Z526" s="28"/>
      <c r="AA526" s="28"/>
    </row>
    <row r="527" ht="18.75" customHeight="1">
      <c r="A527" s="28"/>
      <c r="B527" s="28"/>
      <c r="C527" s="28"/>
      <c r="D527" s="28"/>
      <c r="E527" s="28"/>
      <c r="F527" s="28"/>
      <c r="G527" s="28"/>
      <c r="H527" s="28"/>
      <c r="I527" s="28"/>
      <c r="J527" s="28"/>
      <c r="K527" s="28"/>
      <c r="L527" s="28"/>
      <c r="M527" s="33"/>
      <c r="N527" s="33"/>
      <c r="O527" s="33"/>
      <c r="P527" s="33"/>
      <c r="Q527" s="28"/>
      <c r="R527" s="28"/>
      <c r="S527" s="28"/>
      <c r="T527" s="28"/>
      <c r="U527" s="28"/>
      <c r="V527" s="28"/>
      <c r="W527" s="28"/>
      <c r="X527" s="28"/>
      <c r="Y527" s="28"/>
      <c r="Z527" s="28"/>
      <c r="AA527" s="28"/>
    </row>
    <row r="528" ht="18.75" customHeight="1">
      <c r="A528" s="28"/>
      <c r="B528" s="28"/>
      <c r="C528" s="28"/>
      <c r="D528" s="28"/>
      <c r="E528" s="28"/>
      <c r="F528" s="28"/>
      <c r="G528" s="28"/>
      <c r="H528" s="28"/>
      <c r="I528" s="28"/>
      <c r="J528" s="28"/>
      <c r="K528" s="28"/>
      <c r="L528" s="28"/>
      <c r="M528" s="33"/>
      <c r="N528" s="33"/>
      <c r="O528" s="33"/>
      <c r="P528" s="33"/>
      <c r="Q528" s="28"/>
      <c r="R528" s="28"/>
      <c r="S528" s="28"/>
      <c r="T528" s="28"/>
      <c r="U528" s="28"/>
      <c r="V528" s="28"/>
      <c r="W528" s="28"/>
      <c r="X528" s="28"/>
      <c r="Y528" s="28"/>
      <c r="Z528" s="28"/>
      <c r="AA528" s="28"/>
    </row>
    <row r="529" ht="18.75" customHeight="1">
      <c r="A529" s="28"/>
      <c r="B529" s="28"/>
      <c r="C529" s="28"/>
      <c r="D529" s="28"/>
      <c r="E529" s="28"/>
      <c r="F529" s="28"/>
      <c r="G529" s="28"/>
      <c r="H529" s="28"/>
      <c r="I529" s="28"/>
      <c r="J529" s="28"/>
      <c r="K529" s="28"/>
      <c r="L529" s="28"/>
      <c r="M529" s="33"/>
      <c r="N529" s="33"/>
      <c r="O529" s="33"/>
      <c r="P529" s="33"/>
      <c r="Q529" s="28"/>
      <c r="R529" s="28"/>
      <c r="S529" s="28"/>
      <c r="T529" s="28"/>
      <c r="U529" s="28"/>
      <c r="V529" s="28"/>
      <c r="W529" s="28"/>
      <c r="X529" s="28"/>
      <c r="Y529" s="28"/>
      <c r="Z529" s="28"/>
      <c r="AA529" s="28"/>
    </row>
    <row r="530" ht="18.75" customHeight="1">
      <c r="A530" s="28"/>
      <c r="B530" s="28"/>
      <c r="C530" s="28"/>
      <c r="D530" s="28"/>
      <c r="E530" s="28"/>
      <c r="F530" s="28"/>
      <c r="G530" s="28"/>
      <c r="H530" s="28"/>
      <c r="I530" s="28"/>
      <c r="J530" s="28"/>
      <c r="K530" s="28"/>
      <c r="L530" s="28"/>
      <c r="M530" s="33"/>
      <c r="N530" s="33"/>
      <c r="O530" s="33"/>
      <c r="P530" s="33"/>
      <c r="Q530" s="28"/>
      <c r="R530" s="28"/>
      <c r="S530" s="28"/>
      <c r="T530" s="28"/>
      <c r="U530" s="28"/>
      <c r="V530" s="28"/>
      <c r="W530" s="28"/>
      <c r="X530" s="28"/>
      <c r="Y530" s="28"/>
      <c r="Z530" s="28"/>
      <c r="AA530" s="28"/>
    </row>
    <row r="531" ht="18.75" customHeight="1">
      <c r="A531" s="28"/>
      <c r="B531" s="28"/>
      <c r="C531" s="28"/>
      <c r="D531" s="28"/>
      <c r="E531" s="28"/>
      <c r="F531" s="28"/>
      <c r="G531" s="28"/>
      <c r="H531" s="28"/>
      <c r="I531" s="28"/>
      <c r="J531" s="28"/>
      <c r="K531" s="28"/>
      <c r="L531" s="28"/>
      <c r="M531" s="33"/>
      <c r="N531" s="33"/>
      <c r="O531" s="33"/>
      <c r="P531" s="33"/>
      <c r="Q531" s="28"/>
      <c r="R531" s="28"/>
      <c r="S531" s="28"/>
      <c r="T531" s="28"/>
      <c r="U531" s="28"/>
      <c r="V531" s="28"/>
      <c r="W531" s="28"/>
      <c r="X531" s="28"/>
      <c r="Y531" s="28"/>
      <c r="Z531" s="28"/>
      <c r="AA531" s="28"/>
    </row>
    <row r="532" ht="18.75" customHeight="1">
      <c r="A532" s="28"/>
      <c r="B532" s="28"/>
      <c r="C532" s="28"/>
      <c r="D532" s="28"/>
      <c r="E532" s="28"/>
      <c r="F532" s="28"/>
      <c r="G532" s="28"/>
      <c r="H532" s="28"/>
      <c r="I532" s="28"/>
      <c r="J532" s="28"/>
      <c r="K532" s="28"/>
      <c r="L532" s="28"/>
      <c r="M532" s="33"/>
      <c r="N532" s="33"/>
      <c r="O532" s="33"/>
      <c r="P532" s="33"/>
      <c r="Q532" s="28"/>
      <c r="R532" s="28"/>
      <c r="S532" s="28"/>
      <c r="T532" s="28"/>
      <c r="U532" s="28"/>
      <c r="V532" s="28"/>
      <c r="W532" s="28"/>
      <c r="X532" s="28"/>
      <c r="Y532" s="28"/>
      <c r="Z532" s="28"/>
      <c r="AA532" s="28"/>
    </row>
    <row r="533" ht="18.75" customHeight="1">
      <c r="A533" s="28"/>
      <c r="B533" s="28"/>
      <c r="C533" s="28"/>
      <c r="D533" s="28"/>
      <c r="E533" s="28"/>
      <c r="F533" s="28"/>
      <c r="G533" s="28"/>
      <c r="H533" s="28"/>
      <c r="I533" s="28"/>
      <c r="J533" s="28"/>
      <c r="K533" s="28"/>
      <c r="L533" s="28"/>
      <c r="M533" s="33"/>
      <c r="N533" s="33"/>
      <c r="O533" s="33"/>
      <c r="P533" s="33"/>
      <c r="Q533" s="28"/>
      <c r="R533" s="28"/>
      <c r="S533" s="28"/>
      <c r="T533" s="28"/>
      <c r="U533" s="28"/>
      <c r="V533" s="28"/>
      <c r="W533" s="28"/>
      <c r="X533" s="28"/>
      <c r="Y533" s="28"/>
      <c r="Z533" s="28"/>
      <c r="AA533" s="28"/>
    </row>
    <row r="534" ht="18.75" customHeight="1">
      <c r="A534" s="28"/>
      <c r="B534" s="28"/>
      <c r="C534" s="28"/>
      <c r="D534" s="28"/>
      <c r="E534" s="28"/>
      <c r="F534" s="28"/>
      <c r="G534" s="28"/>
      <c r="H534" s="28"/>
      <c r="I534" s="28"/>
      <c r="J534" s="28"/>
      <c r="K534" s="28"/>
      <c r="L534" s="28"/>
      <c r="M534" s="33"/>
      <c r="N534" s="33"/>
      <c r="O534" s="33"/>
      <c r="P534" s="33"/>
      <c r="Q534" s="28"/>
      <c r="R534" s="28"/>
      <c r="S534" s="28"/>
      <c r="T534" s="28"/>
      <c r="U534" s="28"/>
      <c r="V534" s="28"/>
      <c r="W534" s="28"/>
      <c r="X534" s="28"/>
      <c r="Y534" s="28"/>
      <c r="Z534" s="28"/>
      <c r="AA534" s="28"/>
    </row>
    <row r="535" ht="18.75" customHeight="1">
      <c r="A535" s="28"/>
      <c r="B535" s="28"/>
      <c r="C535" s="28"/>
      <c r="D535" s="28"/>
      <c r="E535" s="28"/>
      <c r="F535" s="28"/>
      <c r="G535" s="28"/>
      <c r="H535" s="28"/>
      <c r="I535" s="28"/>
      <c r="J535" s="28"/>
      <c r="K535" s="28"/>
      <c r="L535" s="28"/>
      <c r="M535" s="33"/>
      <c r="N535" s="33"/>
      <c r="O535" s="33"/>
      <c r="P535" s="33"/>
      <c r="Q535" s="28"/>
      <c r="R535" s="28"/>
      <c r="S535" s="28"/>
      <c r="T535" s="28"/>
      <c r="U535" s="28"/>
      <c r="V535" s="28"/>
      <c r="W535" s="28"/>
      <c r="X535" s="28"/>
      <c r="Y535" s="28"/>
      <c r="Z535" s="28"/>
      <c r="AA535" s="28"/>
    </row>
    <row r="536" ht="18.75" customHeight="1">
      <c r="A536" s="28"/>
      <c r="B536" s="28"/>
      <c r="C536" s="28"/>
      <c r="D536" s="28"/>
      <c r="E536" s="28"/>
      <c r="F536" s="28"/>
      <c r="G536" s="28"/>
      <c r="H536" s="28"/>
      <c r="I536" s="28"/>
      <c r="J536" s="28"/>
      <c r="K536" s="28"/>
      <c r="L536" s="28"/>
      <c r="M536" s="33"/>
      <c r="N536" s="33"/>
      <c r="O536" s="33"/>
      <c r="P536" s="33"/>
      <c r="Q536" s="28"/>
      <c r="R536" s="28"/>
      <c r="S536" s="28"/>
      <c r="T536" s="28"/>
      <c r="U536" s="28"/>
      <c r="V536" s="28"/>
      <c r="W536" s="28"/>
      <c r="X536" s="28"/>
      <c r="Y536" s="28"/>
      <c r="Z536" s="28"/>
      <c r="AA536" s="28"/>
    </row>
    <row r="537" ht="18.75" customHeight="1">
      <c r="A537" s="28"/>
      <c r="B537" s="28"/>
      <c r="C537" s="28"/>
      <c r="D537" s="28"/>
      <c r="E537" s="28"/>
      <c r="F537" s="28"/>
      <c r="G537" s="28"/>
      <c r="H537" s="28"/>
      <c r="I537" s="28"/>
      <c r="J537" s="28"/>
      <c r="K537" s="28"/>
      <c r="L537" s="28"/>
      <c r="M537" s="33"/>
      <c r="N537" s="33"/>
      <c r="O537" s="33"/>
      <c r="P537" s="33"/>
      <c r="Q537" s="28"/>
      <c r="R537" s="28"/>
      <c r="S537" s="28"/>
      <c r="T537" s="28"/>
      <c r="U537" s="28"/>
      <c r="V537" s="28"/>
      <c r="W537" s="28"/>
      <c r="X537" s="28"/>
      <c r="Y537" s="28"/>
      <c r="Z537" s="28"/>
      <c r="AA537" s="28"/>
    </row>
    <row r="538" ht="18.75" customHeight="1">
      <c r="A538" s="28"/>
      <c r="B538" s="28"/>
      <c r="C538" s="28"/>
      <c r="D538" s="28"/>
      <c r="E538" s="28"/>
      <c r="F538" s="28"/>
      <c r="G538" s="28"/>
      <c r="H538" s="28"/>
      <c r="I538" s="28"/>
      <c r="J538" s="28"/>
      <c r="K538" s="28"/>
      <c r="L538" s="28"/>
      <c r="M538" s="33"/>
      <c r="N538" s="33"/>
      <c r="O538" s="33"/>
      <c r="P538" s="33"/>
      <c r="Q538" s="28"/>
      <c r="R538" s="28"/>
      <c r="S538" s="28"/>
      <c r="T538" s="28"/>
      <c r="U538" s="28"/>
      <c r="V538" s="28"/>
      <c r="W538" s="28"/>
      <c r="X538" s="28"/>
      <c r="Y538" s="28"/>
      <c r="Z538" s="28"/>
      <c r="AA538" s="28"/>
    </row>
    <row r="539" ht="18.75" customHeight="1">
      <c r="A539" s="28"/>
      <c r="B539" s="28"/>
      <c r="C539" s="28"/>
      <c r="D539" s="28"/>
      <c r="E539" s="28"/>
      <c r="F539" s="28"/>
      <c r="G539" s="28"/>
      <c r="H539" s="28"/>
      <c r="I539" s="28"/>
      <c r="J539" s="28"/>
      <c r="K539" s="28"/>
      <c r="L539" s="28"/>
      <c r="M539" s="33"/>
      <c r="N539" s="33"/>
      <c r="O539" s="33"/>
      <c r="P539" s="33"/>
      <c r="Q539" s="28"/>
      <c r="R539" s="28"/>
      <c r="S539" s="28"/>
      <c r="T539" s="28"/>
      <c r="U539" s="28"/>
      <c r="V539" s="28"/>
      <c r="W539" s="28"/>
      <c r="X539" s="28"/>
      <c r="Y539" s="28"/>
      <c r="Z539" s="28"/>
      <c r="AA539" s="28"/>
    </row>
    <row r="540" ht="18.75" customHeight="1">
      <c r="A540" s="28"/>
      <c r="B540" s="28"/>
      <c r="C540" s="28"/>
      <c r="D540" s="28"/>
      <c r="E540" s="28"/>
      <c r="F540" s="28"/>
      <c r="G540" s="28"/>
      <c r="H540" s="28"/>
      <c r="I540" s="28"/>
      <c r="J540" s="28"/>
      <c r="K540" s="28"/>
      <c r="L540" s="28"/>
      <c r="M540" s="33"/>
      <c r="N540" s="33"/>
      <c r="O540" s="33"/>
      <c r="P540" s="33"/>
      <c r="Q540" s="28"/>
      <c r="R540" s="28"/>
      <c r="S540" s="28"/>
      <c r="T540" s="28"/>
      <c r="U540" s="28"/>
      <c r="V540" s="28"/>
      <c r="W540" s="28"/>
      <c r="X540" s="28"/>
      <c r="Y540" s="28"/>
      <c r="Z540" s="28"/>
      <c r="AA540" s="28"/>
    </row>
    <row r="541" ht="18.75" customHeight="1">
      <c r="A541" s="28"/>
      <c r="B541" s="28"/>
      <c r="C541" s="28"/>
      <c r="D541" s="28"/>
      <c r="E541" s="28"/>
      <c r="F541" s="28"/>
      <c r="G541" s="28"/>
      <c r="H541" s="28"/>
      <c r="I541" s="28"/>
      <c r="J541" s="28"/>
      <c r="K541" s="28"/>
      <c r="L541" s="28"/>
      <c r="M541" s="33"/>
      <c r="N541" s="33"/>
      <c r="O541" s="33"/>
      <c r="P541" s="33"/>
      <c r="Q541" s="28"/>
      <c r="R541" s="28"/>
      <c r="S541" s="28"/>
      <c r="T541" s="28"/>
      <c r="U541" s="28"/>
      <c r="V541" s="28"/>
      <c r="W541" s="28"/>
      <c r="X541" s="28"/>
      <c r="Y541" s="28"/>
      <c r="Z541" s="28"/>
      <c r="AA541" s="28"/>
    </row>
    <row r="542" ht="18.75" customHeight="1">
      <c r="A542" s="28"/>
      <c r="B542" s="28"/>
      <c r="C542" s="28"/>
      <c r="D542" s="28"/>
      <c r="E542" s="28"/>
      <c r="F542" s="28"/>
      <c r="G542" s="28"/>
      <c r="H542" s="28"/>
      <c r="I542" s="28"/>
      <c r="J542" s="28"/>
      <c r="K542" s="28"/>
      <c r="L542" s="28"/>
      <c r="M542" s="33"/>
      <c r="N542" s="33"/>
      <c r="O542" s="33"/>
      <c r="P542" s="33"/>
      <c r="Q542" s="28"/>
      <c r="R542" s="28"/>
      <c r="S542" s="28"/>
      <c r="T542" s="28"/>
      <c r="U542" s="28"/>
      <c r="V542" s="28"/>
      <c r="W542" s="28"/>
      <c r="X542" s="28"/>
      <c r="Y542" s="28"/>
      <c r="Z542" s="28"/>
      <c r="AA542" s="28"/>
    </row>
    <row r="543" ht="18.75" customHeight="1">
      <c r="A543" s="28"/>
      <c r="B543" s="28"/>
      <c r="C543" s="28"/>
      <c r="D543" s="28"/>
      <c r="E543" s="28"/>
      <c r="F543" s="28"/>
      <c r="G543" s="28"/>
      <c r="H543" s="28"/>
      <c r="I543" s="28"/>
      <c r="J543" s="28"/>
      <c r="K543" s="28"/>
      <c r="L543" s="28"/>
      <c r="M543" s="33"/>
      <c r="N543" s="33"/>
      <c r="O543" s="33"/>
      <c r="P543" s="33"/>
      <c r="Q543" s="28"/>
      <c r="R543" s="28"/>
      <c r="S543" s="28"/>
      <c r="T543" s="28"/>
      <c r="U543" s="28"/>
      <c r="V543" s="28"/>
      <c r="W543" s="28"/>
      <c r="X543" s="28"/>
      <c r="Y543" s="28"/>
      <c r="Z543" s="28"/>
      <c r="AA543" s="28"/>
    </row>
    <row r="544" ht="18.75" customHeight="1">
      <c r="A544" s="28"/>
      <c r="B544" s="28"/>
      <c r="C544" s="28"/>
      <c r="D544" s="28"/>
      <c r="E544" s="28"/>
      <c r="F544" s="28"/>
      <c r="G544" s="28"/>
      <c r="H544" s="28"/>
      <c r="I544" s="28"/>
      <c r="J544" s="28"/>
      <c r="K544" s="28"/>
      <c r="L544" s="28"/>
      <c r="M544" s="33"/>
      <c r="N544" s="33"/>
      <c r="O544" s="33"/>
      <c r="P544" s="33"/>
      <c r="Q544" s="28"/>
      <c r="R544" s="28"/>
      <c r="S544" s="28"/>
      <c r="T544" s="28"/>
      <c r="U544" s="28"/>
      <c r="V544" s="28"/>
      <c r="W544" s="28"/>
      <c r="X544" s="28"/>
      <c r="Y544" s="28"/>
      <c r="Z544" s="28"/>
      <c r="AA544" s="28"/>
    </row>
    <row r="545" ht="18.75" customHeight="1">
      <c r="A545" s="28"/>
      <c r="B545" s="28"/>
      <c r="C545" s="28"/>
      <c r="D545" s="28"/>
      <c r="E545" s="28"/>
      <c r="F545" s="28"/>
      <c r="G545" s="28"/>
      <c r="H545" s="28"/>
      <c r="I545" s="28"/>
      <c r="J545" s="28"/>
      <c r="K545" s="28"/>
      <c r="L545" s="28"/>
      <c r="M545" s="33"/>
      <c r="N545" s="33"/>
      <c r="O545" s="33"/>
      <c r="P545" s="33"/>
      <c r="Q545" s="28"/>
      <c r="R545" s="28"/>
      <c r="S545" s="28"/>
      <c r="T545" s="28"/>
      <c r="U545" s="28"/>
      <c r="V545" s="28"/>
      <c r="W545" s="28"/>
      <c r="X545" s="28"/>
      <c r="Y545" s="28"/>
      <c r="Z545" s="28"/>
      <c r="AA545" s="28"/>
    </row>
    <row r="546" ht="18.75" customHeight="1">
      <c r="A546" s="28"/>
      <c r="B546" s="28"/>
      <c r="C546" s="28"/>
      <c r="D546" s="28"/>
      <c r="E546" s="28"/>
      <c r="F546" s="28"/>
      <c r="G546" s="28"/>
      <c r="H546" s="28"/>
      <c r="I546" s="28"/>
      <c r="J546" s="28"/>
      <c r="K546" s="28"/>
      <c r="L546" s="28"/>
      <c r="M546" s="33"/>
      <c r="N546" s="33"/>
      <c r="O546" s="33"/>
      <c r="P546" s="33"/>
      <c r="Q546" s="28"/>
      <c r="R546" s="28"/>
      <c r="S546" s="28"/>
      <c r="T546" s="28"/>
      <c r="U546" s="28"/>
      <c r="V546" s="28"/>
      <c r="W546" s="28"/>
      <c r="X546" s="28"/>
      <c r="Y546" s="28"/>
      <c r="Z546" s="28"/>
      <c r="AA546" s="28"/>
    </row>
    <row r="547" ht="18.75" customHeight="1">
      <c r="A547" s="28"/>
      <c r="B547" s="28"/>
      <c r="C547" s="28"/>
      <c r="D547" s="28"/>
      <c r="E547" s="28"/>
      <c r="F547" s="28"/>
      <c r="G547" s="28"/>
      <c r="H547" s="28"/>
      <c r="I547" s="28"/>
      <c r="J547" s="28"/>
      <c r="K547" s="28"/>
      <c r="L547" s="28"/>
      <c r="M547" s="33"/>
      <c r="N547" s="33"/>
      <c r="O547" s="33"/>
      <c r="P547" s="33"/>
      <c r="Q547" s="28"/>
      <c r="R547" s="28"/>
      <c r="S547" s="28"/>
      <c r="T547" s="28"/>
      <c r="U547" s="28"/>
      <c r="V547" s="28"/>
      <c r="W547" s="28"/>
      <c r="X547" s="28"/>
      <c r="Y547" s="28"/>
      <c r="Z547" s="28"/>
      <c r="AA547" s="28"/>
    </row>
    <row r="548" ht="18.75" customHeight="1">
      <c r="A548" s="28"/>
      <c r="B548" s="28"/>
      <c r="C548" s="28"/>
      <c r="D548" s="28"/>
      <c r="E548" s="28"/>
      <c r="F548" s="28"/>
      <c r="G548" s="28"/>
      <c r="H548" s="28"/>
      <c r="I548" s="28"/>
      <c r="J548" s="28"/>
      <c r="K548" s="28"/>
      <c r="L548" s="28"/>
      <c r="M548" s="33"/>
      <c r="N548" s="33"/>
      <c r="O548" s="33"/>
      <c r="P548" s="33"/>
      <c r="Q548" s="28"/>
      <c r="R548" s="28"/>
      <c r="S548" s="28"/>
      <c r="T548" s="28"/>
      <c r="U548" s="28"/>
      <c r="V548" s="28"/>
      <c r="W548" s="28"/>
      <c r="X548" s="28"/>
      <c r="Y548" s="28"/>
      <c r="Z548" s="28"/>
      <c r="AA548" s="28"/>
    </row>
    <row r="549" ht="18.75" customHeight="1">
      <c r="A549" s="28"/>
      <c r="B549" s="28"/>
      <c r="C549" s="28"/>
      <c r="D549" s="28"/>
      <c r="E549" s="28"/>
      <c r="F549" s="28"/>
      <c r="G549" s="28"/>
      <c r="H549" s="28"/>
      <c r="I549" s="28"/>
      <c r="J549" s="28"/>
      <c r="K549" s="28"/>
      <c r="L549" s="28"/>
      <c r="M549" s="33"/>
      <c r="N549" s="33"/>
      <c r="O549" s="33"/>
      <c r="P549" s="33"/>
      <c r="Q549" s="28"/>
      <c r="R549" s="28"/>
      <c r="S549" s="28"/>
      <c r="T549" s="28"/>
      <c r="U549" s="28"/>
      <c r="V549" s="28"/>
      <c r="W549" s="28"/>
      <c r="X549" s="28"/>
      <c r="Y549" s="28"/>
      <c r="Z549" s="28"/>
      <c r="AA549" s="28"/>
    </row>
    <row r="550" ht="18.75" customHeight="1">
      <c r="A550" s="28"/>
      <c r="B550" s="28"/>
      <c r="C550" s="28"/>
      <c r="D550" s="28"/>
      <c r="E550" s="28"/>
      <c r="F550" s="28"/>
      <c r="G550" s="28"/>
      <c r="H550" s="28"/>
      <c r="I550" s="28"/>
      <c r="J550" s="28"/>
      <c r="K550" s="28"/>
      <c r="L550" s="28"/>
      <c r="M550" s="33"/>
      <c r="N550" s="33"/>
      <c r="O550" s="33"/>
      <c r="P550" s="33"/>
      <c r="Q550" s="28"/>
      <c r="R550" s="28"/>
      <c r="S550" s="28"/>
      <c r="T550" s="28"/>
      <c r="U550" s="28"/>
      <c r="V550" s="28"/>
      <c r="W550" s="28"/>
      <c r="X550" s="28"/>
      <c r="Y550" s="28"/>
      <c r="Z550" s="28"/>
      <c r="AA550" s="28"/>
    </row>
    <row r="551" ht="18.75" customHeight="1">
      <c r="A551" s="28"/>
      <c r="B551" s="28"/>
      <c r="C551" s="28"/>
      <c r="D551" s="28"/>
      <c r="E551" s="28"/>
      <c r="F551" s="28"/>
      <c r="G551" s="28"/>
      <c r="H551" s="28"/>
      <c r="I551" s="28"/>
      <c r="J551" s="28"/>
      <c r="K551" s="28"/>
      <c r="L551" s="28"/>
      <c r="M551" s="33"/>
      <c r="N551" s="33"/>
      <c r="O551" s="33"/>
      <c r="P551" s="33"/>
      <c r="Q551" s="28"/>
      <c r="R551" s="28"/>
      <c r="S551" s="28"/>
      <c r="T551" s="28"/>
      <c r="U551" s="28"/>
      <c r="V551" s="28"/>
      <c r="W551" s="28"/>
      <c r="X551" s="28"/>
      <c r="Y551" s="28"/>
      <c r="Z551" s="28"/>
      <c r="AA551" s="28"/>
    </row>
    <row r="552" ht="18.75" customHeight="1">
      <c r="A552" s="28"/>
      <c r="B552" s="28"/>
      <c r="C552" s="28"/>
      <c r="D552" s="28"/>
      <c r="E552" s="28"/>
      <c r="F552" s="28"/>
      <c r="G552" s="28"/>
      <c r="H552" s="28"/>
      <c r="I552" s="28"/>
      <c r="J552" s="28"/>
      <c r="K552" s="28"/>
      <c r="L552" s="28"/>
      <c r="M552" s="33"/>
      <c r="N552" s="33"/>
      <c r="O552" s="33"/>
      <c r="P552" s="33"/>
      <c r="Q552" s="28"/>
      <c r="R552" s="28"/>
      <c r="S552" s="28"/>
      <c r="T552" s="28"/>
      <c r="U552" s="28"/>
      <c r="V552" s="28"/>
      <c r="W552" s="28"/>
      <c r="X552" s="28"/>
      <c r="Y552" s="28"/>
      <c r="Z552" s="28"/>
      <c r="AA552" s="28"/>
    </row>
    <row r="553" ht="18.75" customHeight="1">
      <c r="A553" s="28"/>
      <c r="B553" s="28"/>
      <c r="C553" s="28"/>
      <c r="D553" s="28"/>
      <c r="E553" s="28"/>
      <c r="F553" s="28"/>
      <c r="G553" s="28"/>
      <c r="H553" s="28"/>
      <c r="I553" s="28"/>
      <c r="J553" s="28"/>
      <c r="K553" s="28"/>
      <c r="L553" s="28"/>
      <c r="M553" s="33"/>
      <c r="N553" s="33"/>
      <c r="O553" s="33"/>
      <c r="P553" s="33"/>
      <c r="Q553" s="28"/>
      <c r="R553" s="28"/>
      <c r="S553" s="28"/>
      <c r="T553" s="28"/>
      <c r="U553" s="28"/>
      <c r="V553" s="28"/>
      <c r="W553" s="28"/>
      <c r="X553" s="28"/>
      <c r="Y553" s="28"/>
      <c r="Z553" s="28"/>
      <c r="AA553" s="28"/>
    </row>
    <row r="554" ht="18.75" customHeight="1">
      <c r="A554" s="28"/>
      <c r="B554" s="28"/>
      <c r="C554" s="28"/>
      <c r="D554" s="28"/>
      <c r="E554" s="28"/>
      <c r="F554" s="28"/>
      <c r="G554" s="28"/>
      <c r="H554" s="28"/>
      <c r="I554" s="28"/>
      <c r="J554" s="28"/>
      <c r="K554" s="28"/>
      <c r="L554" s="28"/>
      <c r="M554" s="33"/>
      <c r="N554" s="33"/>
      <c r="O554" s="33"/>
      <c r="P554" s="33"/>
      <c r="Q554" s="28"/>
      <c r="R554" s="28"/>
      <c r="S554" s="28"/>
      <c r="T554" s="28"/>
      <c r="U554" s="28"/>
      <c r="V554" s="28"/>
      <c r="W554" s="28"/>
      <c r="X554" s="28"/>
      <c r="Y554" s="28"/>
      <c r="Z554" s="28"/>
      <c r="AA554" s="28"/>
    </row>
    <row r="555" ht="18.75" customHeight="1">
      <c r="A555" s="28"/>
      <c r="B555" s="28"/>
      <c r="C555" s="28"/>
      <c r="D555" s="28"/>
      <c r="E555" s="28"/>
      <c r="F555" s="28"/>
      <c r="G555" s="28"/>
      <c r="H555" s="28"/>
      <c r="I555" s="28"/>
      <c r="J555" s="28"/>
      <c r="K555" s="28"/>
      <c r="L555" s="28"/>
      <c r="M555" s="33"/>
      <c r="N555" s="33"/>
      <c r="O555" s="33"/>
      <c r="P555" s="33"/>
      <c r="Q555" s="28"/>
      <c r="R555" s="28"/>
      <c r="S555" s="28"/>
      <c r="T555" s="28"/>
      <c r="U555" s="28"/>
      <c r="V555" s="28"/>
      <c r="W555" s="28"/>
      <c r="X555" s="28"/>
      <c r="Y555" s="28"/>
      <c r="Z555" s="28"/>
      <c r="AA555" s="28"/>
    </row>
    <row r="556" ht="18.75" customHeight="1">
      <c r="A556" s="28"/>
      <c r="B556" s="28"/>
      <c r="C556" s="28"/>
      <c r="D556" s="28"/>
      <c r="E556" s="28"/>
      <c r="F556" s="28"/>
      <c r="G556" s="28"/>
      <c r="H556" s="28"/>
      <c r="I556" s="28"/>
      <c r="J556" s="28"/>
      <c r="K556" s="28"/>
      <c r="L556" s="28"/>
      <c r="M556" s="33"/>
      <c r="N556" s="33"/>
      <c r="O556" s="33"/>
      <c r="P556" s="33"/>
      <c r="Q556" s="28"/>
      <c r="R556" s="28"/>
      <c r="S556" s="28"/>
      <c r="T556" s="28"/>
      <c r="U556" s="28"/>
      <c r="V556" s="28"/>
      <c r="W556" s="28"/>
      <c r="X556" s="28"/>
      <c r="Y556" s="28"/>
      <c r="Z556" s="28"/>
      <c r="AA556" s="28"/>
    </row>
    <row r="557" ht="18.75" customHeight="1">
      <c r="A557" s="28"/>
      <c r="B557" s="28"/>
      <c r="C557" s="28"/>
      <c r="D557" s="28"/>
      <c r="E557" s="28"/>
      <c r="F557" s="28"/>
      <c r="G557" s="28"/>
      <c r="H557" s="28"/>
      <c r="I557" s="28"/>
      <c r="J557" s="28"/>
      <c r="K557" s="28"/>
      <c r="L557" s="28"/>
      <c r="M557" s="33"/>
      <c r="N557" s="33"/>
      <c r="O557" s="33"/>
      <c r="P557" s="33"/>
      <c r="Q557" s="28"/>
      <c r="R557" s="28"/>
      <c r="S557" s="28"/>
      <c r="T557" s="28"/>
      <c r="U557" s="28"/>
      <c r="V557" s="28"/>
      <c r="W557" s="28"/>
      <c r="X557" s="28"/>
      <c r="Y557" s="28"/>
      <c r="Z557" s="28"/>
      <c r="AA557" s="28"/>
    </row>
    <row r="558" ht="18.75" customHeight="1">
      <c r="A558" s="28"/>
      <c r="B558" s="28"/>
      <c r="C558" s="28"/>
      <c r="D558" s="28"/>
      <c r="E558" s="28"/>
      <c r="F558" s="28"/>
      <c r="G558" s="28"/>
      <c r="H558" s="28"/>
      <c r="I558" s="28"/>
      <c r="J558" s="28"/>
      <c r="K558" s="28"/>
      <c r="L558" s="28"/>
      <c r="M558" s="33"/>
      <c r="N558" s="33"/>
      <c r="O558" s="33"/>
      <c r="P558" s="33"/>
      <c r="Q558" s="28"/>
      <c r="R558" s="28"/>
      <c r="S558" s="28"/>
      <c r="T558" s="28"/>
      <c r="U558" s="28"/>
      <c r="V558" s="28"/>
      <c r="W558" s="28"/>
      <c r="X558" s="28"/>
      <c r="Y558" s="28"/>
      <c r="Z558" s="28"/>
      <c r="AA558" s="28"/>
    </row>
    <row r="559" ht="18.75" customHeight="1">
      <c r="A559" s="28"/>
      <c r="B559" s="28"/>
      <c r="C559" s="28"/>
      <c r="D559" s="28"/>
      <c r="E559" s="28"/>
      <c r="F559" s="28"/>
      <c r="G559" s="28"/>
      <c r="H559" s="28"/>
      <c r="I559" s="28"/>
      <c r="J559" s="28"/>
      <c r="K559" s="28"/>
      <c r="L559" s="28"/>
      <c r="M559" s="33"/>
      <c r="N559" s="33"/>
      <c r="O559" s="33"/>
      <c r="P559" s="33"/>
      <c r="Q559" s="28"/>
      <c r="R559" s="28"/>
      <c r="S559" s="28"/>
      <c r="T559" s="28"/>
      <c r="U559" s="28"/>
      <c r="V559" s="28"/>
      <c r="W559" s="28"/>
      <c r="X559" s="28"/>
      <c r="Y559" s="28"/>
      <c r="Z559" s="28"/>
      <c r="AA559" s="28"/>
    </row>
    <row r="560" ht="18.75" customHeight="1">
      <c r="A560" s="28"/>
      <c r="B560" s="28"/>
      <c r="C560" s="28"/>
      <c r="D560" s="28"/>
      <c r="E560" s="28"/>
      <c r="F560" s="28"/>
      <c r="G560" s="28"/>
      <c r="H560" s="28"/>
      <c r="I560" s="28"/>
      <c r="J560" s="28"/>
      <c r="K560" s="28"/>
      <c r="L560" s="28"/>
      <c r="M560" s="33"/>
      <c r="N560" s="33"/>
      <c r="O560" s="33"/>
      <c r="P560" s="33"/>
      <c r="Q560" s="28"/>
      <c r="R560" s="28"/>
      <c r="S560" s="28"/>
      <c r="T560" s="28"/>
      <c r="U560" s="28"/>
      <c r="V560" s="28"/>
      <c r="W560" s="28"/>
      <c r="X560" s="28"/>
      <c r="Y560" s="28"/>
      <c r="Z560" s="28"/>
      <c r="AA560" s="28"/>
    </row>
    <row r="561" ht="18.75" customHeight="1">
      <c r="A561" s="28"/>
      <c r="B561" s="28"/>
      <c r="C561" s="28"/>
      <c r="D561" s="28"/>
      <c r="E561" s="28"/>
      <c r="F561" s="28"/>
      <c r="G561" s="28"/>
      <c r="H561" s="28"/>
      <c r="I561" s="28"/>
      <c r="J561" s="28"/>
      <c r="K561" s="28"/>
      <c r="L561" s="28"/>
      <c r="M561" s="33"/>
      <c r="N561" s="33"/>
      <c r="O561" s="33"/>
      <c r="P561" s="33"/>
      <c r="Q561" s="28"/>
      <c r="R561" s="28"/>
      <c r="S561" s="28"/>
      <c r="T561" s="28"/>
      <c r="U561" s="28"/>
      <c r="V561" s="28"/>
      <c r="W561" s="28"/>
      <c r="X561" s="28"/>
      <c r="Y561" s="28"/>
      <c r="Z561" s="28"/>
      <c r="AA561" s="28"/>
    </row>
    <row r="562" ht="18.75" customHeight="1">
      <c r="A562" s="28"/>
      <c r="B562" s="28"/>
      <c r="C562" s="28"/>
      <c r="D562" s="28"/>
      <c r="E562" s="28"/>
      <c r="F562" s="28"/>
      <c r="G562" s="28"/>
      <c r="H562" s="28"/>
      <c r="I562" s="28"/>
      <c r="J562" s="28"/>
      <c r="K562" s="28"/>
      <c r="L562" s="28"/>
      <c r="M562" s="33"/>
      <c r="N562" s="33"/>
      <c r="O562" s="33"/>
      <c r="P562" s="33"/>
      <c r="Q562" s="28"/>
      <c r="R562" s="28"/>
      <c r="S562" s="28"/>
      <c r="T562" s="28"/>
      <c r="U562" s="28"/>
      <c r="V562" s="28"/>
      <c r="W562" s="28"/>
      <c r="X562" s="28"/>
      <c r="Y562" s="28"/>
      <c r="Z562" s="28"/>
      <c r="AA562" s="28"/>
    </row>
    <row r="563" ht="18.75" customHeight="1">
      <c r="A563" s="28"/>
      <c r="B563" s="28"/>
      <c r="C563" s="28"/>
      <c r="D563" s="28"/>
      <c r="E563" s="28"/>
      <c r="F563" s="28"/>
      <c r="G563" s="28"/>
      <c r="H563" s="28"/>
      <c r="I563" s="28"/>
      <c r="J563" s="28"/>
      <c r="K563" s="28"/>
      <c r="L563" s="28"/>
      <c r="M563" s="33"/>
      <c r="N563" s="33"/>
      <c r="O563" s="33"/>
      <c r="P563" s="33"/>
      <c r="Q563" s="28"/>
      <c r="R563" s="28"/>
      <c r="S563" s="28"/>
      <c r="T563" s="28"/>
      <c r="U563" s="28"/>
      <c r="V563" s="28"/>
      <c r="W563" s="28"/>
      <c r="X563" s="28"/>
      <c r="Y563" s="28"/>
      <c r="Z563" s="28"/>
      <c r="AA563" s="28"/>
    </row>
    <row r="564" ht="18.75" customHeight="1">
      <c r="A564" s="28"/>
      <c r="B564" s="28"/>
      <c r="C564" s="28"/>
      <c r="D564" s="28"/>
      <c r="E564" s="28"/>
      <c r="F564" s="28"/>
      <c r="G564" s="28"/>
      <c r="H564" s="28"/>
      <c r="I564" s="28"/>
      <c r="J564" s="28"/>
      <c r="K564" s="28"/>
      <c r="L564" s="28"/>
      <c r="M564" s="33"/>
      <c r="N564" s="33"/>
      <c r="O564" s="33"/>
      <c r="P564" s="33"/>
      <c r="Q564" s="28"/>
      <c r="R564" s="28"/>
      <c r="S564" s="28"/>
      <c r="T564" s="28"/>
      <c r="U564" s="28"/>
      <c r="V564" s="28"/>
      <c r="W564" s="28"/>
      <c r="X564" s="28"/>
      <c r="Y564" s="28"/>
      <c r="Z564" s="28"/>
      <c r="AA564" s="28"/>
    </row>
    <row r="565" ht="18.75" customHeight="1">
      <c r="A565" s="28"/>
      <c r="B565" s="28"/>
      <c r="C565" s="28"/>
      <c r="D565" s="28"/>
      <c r="E565" s="28"/>
      <c r="F565" s="28"/>
      <c r="G565" s="28"/>
      <c r="H565" s="28"/>
      <c r="I565" s="28"/>
      <c r="J565" s="28"/>
      <c r="K565" s="28"/>
      <c r="L565" s="28"/>
      <c r="M565" s="33"/>
      <c r="N565" s="33"/>
      <c r="O565" s="33"/>
      <c r="P565" s="33"/>
      <c r="Q565" s="28"/>
      <c r="R565" s="28"/>
      <c r="S565" s="28"/>
      <c r="T565" s="28"/>
      <c r="U565" s="28"/>
      <c r="V565" s="28"/>
      <c r="W565" s="28"/>
      <c r="X565" s="28"/>
      <c r="Y565" s="28"/>
      <c r="Z565" s="28"/>
      <c r="AA565" s="28"/>
    </row>
    <row r="566" ht="18.75" customHeight="1">
      <c r="A566" s="28"/>
      <c r="B566" s="28"/>
      <c r="C566" s="28"/>
      <c r="D566" s="28"/>
      <c r="E566" s="28"/>
      <c r="F566" s="28"/>
      <c r="G566" s="28"/>
      <c r="H566" s="28"/>
      <c r="I566" s="28"/>
      <c r="J566" s="28"/>
      <c r="K566" s="28"/>
      <c r="L566" s="28"/>
      <c r="M566" s="33"/>
      <c r="N566" s="33"/>
      <c r="O566" s="33"/>
      <c r="P566" s="33"/>
      <c r="Q566" s="28"/>
      <c r="R566" s="28"/>
      <c r="S566" s="28"/>
      <c r="T566" s="28"/>
      <c r="U566" s="28"/>
      <c r="V566" s="28"/>
      <c r="W566" s="28"/>
      <c r="X566" s="28"/>
      <c r="Y566" s="28"/>
      <c r="Z566" s="28"/>
      <c r="AA566" s="28"/>
    </row>
    <row r="567" ht="18.75" customHeight="1">
      <c r="A567" s="28"/>
      <c r="B567" s="28"/>
      <c r="C567" s="28"/>
      <c r="D567" s="28"/>
      <c r="E567" s="28"/>
      <c r="F567" s="28"/>
      <c r="G567" s="28"/>
      <c r="H567" s="28"/>
      <c r="I567" s="28"/>
      <c r="J567" s="28"/>
      <c r="K567" s="28"/>
      <c r="L567" s="28"/>
      <c r="M567" s="33"/>
      <c r="N567" s="33"/>
      <c r="O567" s="33"/>
      <c r="P567" s="33"/>
      <c r="Q567" s="28"/>
      <c r="R567" s="28"/>
      <c r="S567" s="28"/>
      <c r="T567" s="28"/>
      <c r="U567" s="28"/>
      <c r="V567" s="28"/>
      <c r="W567" s="28"/>
      <c r="X567" s="28"/>
      <c r="Y567" s="28"/>
      <c r="Z567" s="28"/>
      <c r="AA567" s="28"/>
    </row>
    <row r="568" ht="18.75" customHeight="1">
      <c r="A568" s="28"/>
      <c r="B568" s="28"/>
      <c r="C568" s="28"/>
      <c r="D568" s="28"/>
      <c r="E568" s="28"/>
      <c r="F568" s="28"/>
      <c r="G568" s="28"/>
      <c r="H568" s="28"/>
      <c r="I568" s="28"/>
      <c r="J568" s="28"/>
      <c r="K568" s="28"/>
      <c r="L568" s="28"/>
      <c r="M568" s="33"/>
      <c r="N568" s="33"/>
      <c r="O568" s="33"/>
      <c r="P568" s="33"/>
      <c r="Q568" s="28"/>
      <c r="R568" s="28"/>
      <c r="S568" s="28"/>
      <c r="T568" s="28"/>
      <c r="U568" s="28"/>
      <c r="V568" s="28"/>
      <c r="W568" s="28"/>
      <c r="X568" s="28"/>
      <c r="Y568" s="28"/>
      <c r="Z568" s="28"/>
      <c r="AA568" s="28"/>
    </row>
    <row r="569" ht="18.75" customHeight="1">
      <c r="A569" s="28"/>
      <c r="B569" s="28"/>
      <c r="C569" s="28"/>
      <c r="D569" s="28"/>
      <c r="E569" s="28"/>
      <c r="F569" s="28"/>
      <c r="G569" s="28"/>
      <c r="H569" s="28"/>
      <c r="I569" s="28"/>
      <c r="J569" s="28"/>
      <c r="K569" s="28"/>
      <c r="L569" s="28"/>
      <c r="M569" s="33"/>
      <c r="N569" s="33"/>
      <c r="O569" s="33"/>
      <c r="P569" s="33"/>
      <c r="Q569" s="28"/>
      <c r="R569" s="28"/>
      <c r="S569" s="28"/>
      <c r="T569" s="28"/>
      <c r="U569" s="28"/>
      <c r="V569" s="28"/>
      <c r="W569" s="28"/>
      <c r="X569" s="28"/>
      <c r="Y569" s="28"/>
      <c r="Z569" s="28"/>
      <c r="AA569" s="28"/>
    </row>
    <row r="570" ht="18.75" customHeight="1">
      <c r="A570" s="28"/>
      <c r="B570" s="28"/>
      <c r="C570" s="28"/>
      <c r="D570" s="28"/>
      <c r="E570" s="28"/>
      <c r="F570" s="28"/>
      <c r="G570" s="28"/>
      <c r="H570" s="28"/>
      <c r="I570" s="28"/>
      <c r="J570" s="28"/>
      <c r="K570" s="28"/>
      <c r="L570" s="28"/>
      <c r="M570" s="33"/>
      <c r="N570" s="33"/>
      <c r="O570" s="33"/>
      <c r="P570" s="33"/>
      <c r="Q570" s="28"/>
      <c r="R570" s="28"/>
      <c r="S570" s="28"/>
      <c r="T570" s="28"/>
      <c r="U570" s="28"/>
      <c r="V570" s="28"/>
      <c r="W570" s="28"/>
      <c r="X570" s="28"/>
      <c r="Y570" s="28"/>
      <c r="Z570" s="28"/>
      <c r="AA570" s="28"/>
    </row>
    <row r="571" ht="18.75" customHeight="1">
      <c r="A571" s="28"/>
      <c r="B571" s="28"/>
      <c r="C571" s="28"/>
      <c r="D571" s="28"/>
      <c r="E571" s="28"/>
      <c r="F571" s="28"/>
      <c r="G571" s="28"/>
      <c r="H571" s="28"/>
      <c r="I571" s="28"/>
      <c r="J571" s="28"/>
      <c r="K571" s="28"/>
      <c r="L571" s="28"/>
      <c r="M571" s="33"/>
      <c r="N571" s="33"/>
      <c r="O571" s="33"/>
      <c r="P571" s="33"/>
      <c r="Q571" s="28"/>
      <c r="R571" s="28"/>
      <c r="S571" s="28"/>
      <c r="T571" s="28"/>
      <c r="U571" s="28"/>
      <c r="V571" s="28"/>
      <c r="W571" s="28"/>
      <c r="X571" s="28"/>
      <c r="Y571" s="28"/>
      <c r="Z571" s="28"/>
      <c r="AA571" s="28"/>
    </row>
    <row r="572" ht="18.75" customHeight="1">
      <c r="A572" s="28"/>
      <c r="B572" s="28"/>
      <c r="C572" s="28"/>
      <c r="D572" s="28"/>
      <c r="E572" s="28"/>
      <c r="F572" s="28"/>
      <c r="G572" s="28"/>
      <c r="H572" s="28"/>
      <c r="I572" s="28"/>
      <c r="J572" s="28"/>
      <c r="K572" s="28"/>
      <c r="L572" s="28"/>
      <c r="M572" s="33"/>
      <c r="N572" s="33"/>
      <c r="O572" s="33"/>
      <c r="P572" s="33"/>
      <c r="Q572" s="28"/>
      <c r="R572" s="28"/>
      <c r="S572" s="28"/>
      <c r="T572" s="28"/>
      <c r="U572" s="28"/>
      <c r="V572" s="28"/>
      <c r="W572" s="28"/>
      <c r="X572" s="28"/>
      <c r="Y572" s="28"/>
      <c r="Z572" s="28"/>
      <c r="AA572" s="28"/>
    </row>
    <row r="573" ht="18.75" customHeight="1">
      <c r="A573" s="28"/>
      <c r="B573" s="28"/>
      <c r="C573" s="28"/>
      <c r="D573" s="28"/>
      <c r="E573" s="28"/>
      <c r="F573" s="28"/>
      <c r="G573" s="28"/>
      <c r="H573" s="28"/>
      <c r="I573" s="28"/>
      <c r="J573" s="28"/>
      <c r="K573" s="28"/>
      <c r="L573" s="28"/>
      <c r="M573" s="33"/>
      <c r="N573" s="33"/>
      <c r="O573" s="33"/>
      <c r="P573" s="33"/>
      <c r="Q573" s="28"/>
      <c r="R573" s="28"/>
      <c r="S573" s="28"/>
      <c r="T573" s="28"/>
      <c r="U573" s="28"/>
      <c r="V573" s="28"/>
      <c r="W573" s="28"/>
      <c r="X573" s="28"/>
      <c r="Y573" s="28"/>
      <c r="Z573" s="28"/>
      <c r="AA573" s="28"/>
    </row>
    <row r="574" ht="18.75" customHeight="1">
      <c r="A574" s="28"/>
      <c r="B574" s="28"/>
      <c r="C574" s="28"/>
      <c r="D574" s="28"/>
      <c r="E574" s="28"/>
      <c r="F574" s="28"/>
      <c r="G574" s="28"/>
      <c r="H574" s="28"/>
      <c r="I574" s="28"/>
      <c r="J574" s="28"/>
      <c r="K574" s="28"/>
      <c r="L574" s="28"/>
      <c r="M574" s="33"/>
      <c r="N574" s="33"/>
      <c r="O574" s="33"/>
      <c r="P574" s="33"/>
      <c r="Q574" s="28"/>
      <c r="R574" s="28"/>
      <c r="S574" s="28"/>
      <c r="T574" s="28"/>
      <c r="U574" s="28"/>
      <c r="V574" s="28"/>
      <c r="W574" s="28"/>
      <c r="X574" s="28"/>
      <c r="Y574" s="28"/>
      <c r="Z574" s="28"/>
      <c r="AA574" s="28"/>
    </row>
    <row r="575" ht="18.75" customHeight="1">
      <c r="A575" s="28"/>
      <c r="B575" s="28"/>
      <c r="C575" s="28"/>
      <c r="D575" s="28"/>
      <c r="E575" s="28"/>
      <c r="F575" s="28"/>
      <c r="G575" s="28"/>
      <c r="H575" s="28"/>
      <c r="I575" s="28"/>
      <c r="J575" s="28"/>
      <c r="K575" s="28"/>
      <c r="L575" s="28"/>
      <c r="M575" s="33"/>
      <c r="N575" s="33"/>
      <c r="O575" s="33"/>
      <c r="P575" s="33"/>
      <c r="Q575" s="28"/>
      <c r="R575" s="28"/>
      <c r="S575" s="28"/>
      <c r="T575" s="28"/>
      <c r="U575" s="28"/>
      <c r="V575" s="28"/>
      <c r="W575" s="28"/>
      <c r="X575" s="28"/>
      <c r="Y575" s="28"/>
      <c r="Z575" s="28"/>
      <c r="AA575" s="28"/>
    </row>
    <row r="576" ht="18.75" customHeight="1">
      <c r="A576" s="28"/>
      <c r="B576" s="28"/>
      <c r="C576" s="28"/>
      <c r="D576" s="28"/>
      <c r="E576" s="28"/>
      <c r="F576" s="28"/>
      <c r="G576" s="28"/>
      <c r="H576" s="28"/>
      <c r="I576" s="28"/>
      <c r="J576" s="28"/>
      <c r="K576" s="28"/>
      <c r="L576" s="28"/>
      <c r="M576" s="33"/>
      <c r="N576" s="33"/>
      <c r="O576" s="33"/>
      <c r="P576" s="33"/>
      <c r="Q576" s="28"/>
      <c r="R576" s="28"/>
      <c r="S576" s="28"/>
      <c r="T576" s="28"/>
      <c r="U576" s="28"/>
      <c r="V576" s="28"/>
      <c r="W576" s="28"/>
      <c r="X576" s="28"/>
      <c r="Y576" s="28"/>
      <c r="Z576" s="28"/>
      <c r="AA576" s="28"/>
    </row>
    <row r="577" ht="18.75" customHeight="1">
      <c r="A577" s="28"/>
      <c r="B577" s="28"/>
      <c r="C577" s="28"/>
      <c r="D577" s="28"/>
      <c r="E577" s="28"/>
      <c r="F577" s="28"/>
      <c r="G577" s="28"/>
      <c r="H577" s="28"/>
      <c r="I577" s="28"/>
      <c r="J577" s="28"/>
      <c r="K577" s="28"/>
      <c r="L577" s="28"/>
      <c r="M577" s="33"/>
      <c r="N577" s="33"/>
      <c r="O577" s="33"/>
      <c r="P577" s="33"/>
      <c r="Q577" s="28"/>
      <c r="R577" s="28"/>
      <c r="S577" s="28"/>
      <c r="T577" s="28"/>
      <c r="U577" s="28"/>
      <c r="V577" s="28"/>
      <c r="W577" s="28"/>
      <c r="X577" s="28"/>
      <c r="Y577" s="28"/>
      <c r="Z577" s="28"/>
      <c r="AA577" s="28"/>
    </row>
    <row r="578" ht="18.75" customHeight="1">
      <c r="A578" s="28"/>
      <c r="B578" s="28"/>
      <c r="C578" s="28"/>
      <c r="D578" s="28"/>
      <c r="E578" s="28"/>
      <c r="F578" s="28"/>
      <c r="G578" s="28"/>
      <c r="H578" s="28"/>
      <c r="I578" s="28"/>
      <c r="J578" s="28"/>
      <c r="K578" s="28"/>
      <c r="L578" s="28"/>
      <c r="M578" s="33"/>
      <c r="N578" s="33"/>
      <c r="O578" s="33"/>
      <c r="P578" s="33"/>
      <c r="Q578" s="28"/>
      <c r="R578" s="28"/>
      <c r="S578" s="28"/>
      <c r="T578" s="28"/>
      <c r="U578" s="28"/>
      <c r="V578" s="28"/>
      <c r="W578" s="28"/>
      <c r="X578" s="28"/>
      <c r="Y578" s="28"/>
      <c r="Z578" s="28"/>
      <c r="AA578" s="28"/>
    </row>
    <row r="579" ht="18.75" customHeight="1">
      <c r="A579" s="28"/>
      <c r="B579" s="28"/>
      <c r="C579" s="28"/>
      <c r="D579" s="28"/>
      <c r="E579" s="28"/>
      <c r="F579" s="28"/>
      <c r="G579" s="28"/>
      <c r="H579" s="28"/>
      <c r="I579" s="28"/>
      <c r="J579" s="28"/>
      <c r="K579" s="28"/>
      <c r="L579" s="28"/>
      <c r="M579" s="33"/>
      <c r="N579" s="33"/>
      <c r="O579" s="33"/>
      <c r="P579" s="33"/>
      <c r="Q579" s="28"/>
      <c r="R579" s="28"/>
      <c r="S579" s="28"/>
      <c r="T579" s="28"/>
      <c r="U579" s="28"/>
      <c r="V579" s="28"/>
      <c r="W579" s="28"/>
      <c r="X579" s="28"/>
      <c r="Y579" s="28"/>
      <c r="Z579" s="28"/>
      <c r="AA579" s="28"/>
    </row>
    <row r="580" ht="18.75" customHeight="1">
      <c r="A580" s="28"/>
      <c r="B580" s="28"/>
      <c r="C580" s="28"/>
      <c r="D580" s="28"/>
      <c r="E580" s="28"/>
      <c r="F580" s="28"/>
      <c r="G580" s="28"/>
      <c r="H580" s="28"/>
      <c r="I580" s="28"/>
      <c r="J580" s="28"/>
      <c r="K580" s="28"/>
      <c r="L580" s="28"/>
      <c r="M580" s="33"/>
      <c r="N580" s="33"/>
      <c r="O580" s="33"/>
      <c r="P580" s="33"/>
      <c r="Q580" s="28"/>
      <c r="R580" s="28"/>
      <c r="S580" s="28"/>
      <c r="T580" s="28"/>
      <c r="U580" s="28"/>
      <c r="V580" s="28"/>
      <c r="W580" s="28"/>
      <c r="X580" s="28"/>
      <c r="Y580" s="28"/>
      <c r="Z580" s="28"/>
      <c r="AA580" s="28"/>
    </row>
    <row r="581" ht="18.75" customHeight="1">
      <c r="A581" s="28"/>
      <c r="B581" s="28"/>
      <c r="C581" s="28"/>
      <c r="D581" s="28"/>
      <c r="E581" s="28"/>
      <c r="F581" s="28"/>
      <c r="G581" s="28"/>
      <c r="H581" s="28"/>
      <c r="I581" s="28"/>
      <c r="J581" s="28"/>
      <c r="K581" s="28"/>
      <c r="L581" s="28"/>
      <c r="M581" s="33"/>
      <c r="N581" s="33"/>
      <c r="O581" s="33"/>
      <c r="P581" s="33"/>
      <c r="Q581" s="28"/>
      <c r="R581" s="28"/>
      <c r="S581" s="28"/>
      <c r="T581" s="28"/>
      <c r="U581" s="28"/>
      <c r="V581" s="28"/>
      <c r="W581" s="28"/>
      <c r="X581" s="28"/>
      <c r="Y581" s="28"/>
      <c r="Z581" s="28"/>
      <c r="AA581" s="28"/>
    </row>
    <row r="582" ht="18.75" customHeight="1">
      <c r="A582" s="28"/>
      <c r="B582" s="28"/>
      <c r="C582" s="28"/>
      <c r="D582" s="28"/>
      <c r="E582" s="28"/>
      <c r="F582" s="28"/>
      <c r="G582" s="28"/>
      <c r="H582" s="28"/>
      <c r="I582" s="28"/>
      <c r="J582" s="28"/>
      <c r="K582" s="28"/>
      <c r="L582" s="28"/>
      <c r="M582" s="33"/>
      <c r="N582" s="33"/>
      <c r="O582" s="33"/>
      <c r="P582" s="33"/>
      <c r="Q582" s="28"/>
      <c r="R582" s="28"/>
      <c r="S582" s="28"/>
      <c r="T582" s="28"/>
      <c r="U582" s="28"/>
      <c r="V582" s="28"/>
      <c r="W582" s="28"/>
      <c r="X582" s="28"/>
      <c r="Y582" s="28"/>
      <c r="Z582" s="28"/>
      <c r="AA582" s="28"/>
    </row>
    <row r="583" ht="18.75" customHeight="1">
      <c r="A583" s="28"/>
      <c r="B583" s="28"/>
      <c r="C583" s="28"/>
      <c r="D583" s="28"/>
      <c r="E583" s="28"/>
      <c r="F583" s="28"/>
      <c r="G583" s="28"/>
      <c r="H583" s="28"/>
      <c r="I583" s="28"/>
      <c r="J583" s="28"/>
      <c r="K583" s="28"/>
      <c r="L583" s="28"/>
      <c r="M583" s="33"/>
      <c r="N583" s="33"/>
      <c r="O583" s="33"/>
      <c r="P583" s="33"/>
      <c r="Q583" s="28"/>
      <c r="R583" s="28"/>
      <c r="S583" s="28"/>
      <c r="T583" s="28"/>
      <c r="U583" s="28"/>
      <c r="V583" s="28"/>
      <c r="W583" s="28"/>
      <c r="X583" s="28"/>
      <c r="Y583" s="28"/>
      <c r="Z583" s="28"/>
      <c r="AA583" s="28"/>
    </row>
    <row r="584" ht="18.75" customHeight="1">
      <c r="A584" s="28"/>
      <c r="B584" s="28"/>
      <c r="C584" s="28"/>
      <c r="D584" s="28"/>
      <c r="E584" s="28"/>
      <c r="F584" s="28"/>
      <c r="G584" s="28"/>
      <c r="H584" s="28"/>
      <c r="I584" s="28"/>
      <c r="J584" s="28"/>
      <c r="K584" s="28"/>
      <c r="L584" s="28"/>
      <c r="M584" s="33"/>
      <c r="N584" s="33"/>
      <c r="O584" s="33"/>
      <c r="P584" s="33"/>
      <c r="Q584" s="28"/>
      <c r="R584" s="28"/>
      <c r="S584" s="28"/>
      <c r="T584" s="28"/>
      <c r="U584" s="28"/>
      <c r="V584" s="28"/>
      <c r="W584" s="28"/>
      <c r="X584" s="28"/>
      <c r="Y584" s="28"/>
      <c r="Z584" s="28"/>
      <c r="AA584" s="28"/>
    </row>
    <row r="585" ht="18.75" customHeight="1">
      <c r="A585" s="28"/>
      <c r="B585" s="28"/>
      <c r="C585" s="28"/>
      <c r="D585" s="28"/>
      <c r="E585" s="28"/>
      <c r="F585" s="28"/>
      <c r="G585" s="28"/>
      <c r="H585" s="28"/>
      <c r="I585" s="28"/>
      <c r="J585" s="28"/>
      <c r="K585" s="28"/>
      <c r="L585" s="28"/>
      <c r="M585" s="33"/>
      <c r="N585" s="33"/>
      <c r="O585" s="33"/>
      <c r="P585" s="33"/>
      <c r="Q585" s="28"/>
      <c r="R585" s="28"/>
      <c r="S585" s="28"/>
      <c r="T585" s="28"/>
      <c r="U585" s="28"/>
      <c r="V585" s="28"/>
      <c r="W585" s="28"/>
      <c r="X585" s="28"/>
      <c r="Y585" s="28"/>
      <c r="Z585" s="28"/>
      <c r="AA585" s="28"/>
    </row>
    <row r="586" ht="18.75" customHeight="1">
      <c r="A586" s="28"/>
      <c r="B586" s="28"/>
      <c r="C586" s="28"/>
      <c r="D586" s="28"/>
      <c r="E586" s="28"/>
      <c r="F586" s="28"/>
      <c r="G586" s="28"/>
      <c r="H586" s="28"/>
      <c r="I586" s="28"/>
      <c r="J586" s="28"/>
      <c r="K586" s="28"/>
      <c r="L586" s="28"/>
      <c r="M586" s="33"/>
      <c r="N586" s="33"/>
      <c r="O586" s="33"/>
      <c r="P586" s="33"/>
      <c r="Q586" s="28"/>
      <c r="R586" s="28"/>
      <c r="S586" s="28"/>
      <c r="T586" s="28"/>
      <c r="U586" s="28"/>
      <c r="V586" s="28"/>
      <c r="W586" s="28"/>
      <c r="X586" s="28"/>
      <c r="Y586" s="28"/>
      <c r="Z586" s="28"/>
      <c r="AA586" s="28"/>
    </row>
    <row r="587" ht="18.75" customHeight="1">
      <c r="A587" s="28"/>
      <c r="B587" s="28"/>
      <c r="C587" s="28"/>
      <c r="D587" s="28"/>
      <c r="E587" s="28"/>
      <c r="F587" s="28"/>
      <c r="G587" s="28"/>
      <c r="H587" s="28"/>
      <c r="I587" s="28"/>
      <c r="J587" s="28"/>
      <c r="K587" s="28"/>
      <c r="L587" s="28"/>
      <c r="M587" s="33"/>
      <c r="N587" s="33"/>
      <c r="O587" s="33"/>
      <c r="P587" s="33"/>
      <c r="Q587" s="28"/>
      <c r="R587" s="28"/>
      <c r="S587" s="28"/>
      <c r="T587" s="28"/>
      <c r="U587" s="28"/>
      <c r="V587" s="28"/>
      <c r="W587" s="28"/>
      <c r="X587" s="28"/>
      <c r="Y587" s="28"/>
      <c r="Z587" s="28"/>
      <c r="AA587" s="28"/>
    </row>
    <row r="588" ht="18.75" customHeight="1">
      <c r="A588" s="28"/>
      <c r="B588" s="28"/>
      <c r="C588" s="28"/>
      <c r="D588" s="28"/>
      <c r="E588" s="28"/>
      <c r="F588" s="28"/>
      <c r="G588" s="28"/>
      <c r="H588" s="28"/>
      <c r="I588" s="28"/>
      <c r="J588" s="28"/>
      <c r="K588" s="28"/>
      <c r="L588" s="28"/>
      <c r="M588" s="33"/>
      <c r="N588" s="33"/>
      <c r="O588" s="33"/>
      <c r="P588" s="33"/>
      <c r="Q588" s="28"/>
      <c r="R588" s="28"/>
      <c r="S588" s="28"/>
      <c r="T588" s="28"/>
      <c r="U588" s="28"/>
      <c r="V588" s="28"/>
      <c r="W588" s="28"/>
      <c r="X588" s="28"/>
      <c r="Y588" s="28"/>
      <c r="Z588" s="28"/>
      <c r="AA588" s="28"/>
    </row>
    <row r="589" ht="18.75" customHeight="1">
      <c r="A589" s="28"/>
      <c r="B589" s="28"/>
      <c r="C589" s="28"/>
      <c r="D589" s="28"/>
      <c r="E589" s="28"/>
      <c r="F589" s="28"/>
      <c r="G589" s="28"/>
      <c r="H589" s="28"/>
      <c r="I589" s="28"/>
      <c r="J589" s="28"/>
      <c r="K589" s="28"/>
      <c r="L589" s="28"/>
      <c r="M589" s="33"/>
      <c r="N589" s="33"/>
      <c r="O589" s="33"/>
      <c r="P589" s="33"/>
      <c r="Q589" s="28"/>
      <c r="R589" s="28"/>
      <c r="S589" s="28"/>
      <c r="T589" s="28"/>
      <c r="U589" s="28"/>
      <c r="V589" s="28"/>
      <c r="W589" s="28"/>
      <c r="X589" s="28"/>
      <c r="Y589" s="28"/>
      <c r="Z589" s="28"/>
      <c r="AA589" s="28"/>
    </row>
    <row r="590" ht="18.75" customHeight="1">
      <c r="A590" s="28"/>
      <c r="B590" s="28"/>
      <c r="C590" s="28"/>
      <c r="D590" s="28"/>
      <c r="E590" s="28"/>
      <c r="F590" s="28"/>
      <c r="G590" s="28"/>
      <c r="H590" s="28"/>
      <c r="I590" s="28"/>
      <c r="J590" s="28"/>
      <c r="K590" s="28"/>
      <c r="L590" s="28"/>
      <c r="M590" s="33"/>
      <c r="N590" s="33"/>
      <c r="O590" s="33"/>
      <c r="P590" s="33"/>
      <c r="Q590" s="28"/>
      <c r="R590" s="28"/>
      <c r="S590" s="28"/>
      <c r="T590" s="28"/>
      <c r="U590" s="28"/>
      <c r="V590" s="28"/>
      <c r="W590" s="28"/>
      <c r="X590" s="28"/>
      <c r="Y590" s="28"/>
      <c r="Z590" s="28"/>
      <c r="AA590" s="28"/>
    </row>
    <row r="591" ht="18.75" customHeight="1">
      <c r="A591" s="28"/>
      <c r="B591" s="28"/>
      <c r="C591" s="28"/>
      <c r="D591" s="28"/>
      <c r="E591" s="28"/>
      <c r="F591" s="28"/>
      <c r="G591" s="28"/>
      <c r="H591" s="28"/>
      <c r="I591" s="28"/>
      <c r="J591" s="28"/>
      <c r="K591" s="28"/>
      <c r="L591" s="28"/>
      <c r="M591" s="33"/>
      <c r="N591" s="33"/>
      <c r="O591" s="33"/>
      <c r="P591" s="33"/>
      <c r="Q591" s="28"/>
      <c r="R591" s="28"/>
      <c r="S591" s="28"/>
      <c r="T591" s="28"/>
      <c r="U591" s="28"/>
      <c r="V591" s="28"/>
      <c r="W591" s="28"/>
      <c r="X591" s="28"/>
      <c r="Y591" s="28"/>
      <c r="Z591" s="28"/>
      <c r="AA591" s="28"/>
    </row>
    <row r="592" ht="18.75" customHeight="1">
      <c r="A592" s="28"/>
      <c r="B592" s="28"/>
      <c r="C592" s="28"/>
      <c r="D592" s="28"/>
      <c r="E592" s="28"/>
      <c r="F592" s="28"/>
      <c r="G592" s="28"/>
      <c r="H592" s="28"/>
      <c r="I592" s="28"/>
      <c r="J592" s="28"/>
      <c r="K592" s="28"/>
      <c r="L592" s="28"/>
      <c r="M592" s="33"/>
      <c r="N592" s="33"/>
      <c r="O592" s="33"/>
      <c r="P592" s="33"/>
      <c r="Q592" s="28"/>
      <c r="R592" s="28"/>
      <c r="S592" s="28"/>
      <c r="T592" s="28"/>
      <c r="U592" s="28"/>
      <c r="V592" s="28"/>
      <c r="W592" s="28"/>
      <c r="X592" s="28"/>
      <c r="Y592" s="28"/>
      <c r="Z592" s="28"/>
      <c r="AA592" s="28"/>
    </row>
    <row r="593" ht="18.75" customHeight="1">
      <c r="A593" s="28"/>
      <c r="B593" s="28"/>
      <c r="C593" s="28"/>
      <c r="D593" s="28"/>
      <c r="E593" s="28"/>
      <c r="F593" s="28"/>
      <c r="G593" s="28"/>
      <c r="H593" s="28"/>
      <c r="I593" s="28"/>
      <c r="J593" s="28"/>
      <c r="K593" s="28"/>
      <c r="L593" s="28"/>
      <c r="M593" s="33"/>
      <c r="N593" s="33"/>
      <c r="O593" s="33"/>
      <c r="P593" s="33"/>
      <c r="Q593" s="28"/>
      <c r="R593" s="28"/>
      <c r="S593" s="28"/>
      <c r="T593" s="28"/>
      <c r="U593" s="28"/>
      <c r="V593" s="28"/>
      <c r="W593" s="28"/>
      <c r="X593" s="28"/>
      <c r="Y593" s="28"/>
      <c r="Z593" s="28"/>
      <c r="AA593" s="28"/>
    </row>
    <row r="594" ht="18.75" customHeight="1">
      <c r="A594" s="28"/>
      <c r="B594" s="28"/>
      <c r="C594" s="28"/>
      <c r="D594" s="28"/>
      <c r="E594" s="28"/>
      <c r="F594" s="28"/>
      <c r="G594" s="28"/>
      <c r="H594" s="28"/>
      <c r="I594" s="28"/>
      <c r="J594" s="28"/>
      <c r="K594" s="28"/>
      <c r="L594" s="28"/>
      <c r="M594" s="33"/>
      <c r="N594" s="33"/>
      <c r="O594" s="33"/>
      <c r="P594" s="33"/>
      <c r="Q594" s="28"/>
      <c r="R594" s="28"/>
      <c r="S594" s="28"/>
      <c r="T594" s="28"/>
      <c r="U594" s="28"/>
      <c r="V594" s="28"/>
      <c r="W594" s="28"/>
      <c r="X594" s="28"/>
      <c r="Y594" s="28"/>
      <c r="Z594" s="28"/>
      <c r="AA594" s="28"/>
    </row>
    <row r="595" ht="18.75" customHeight="1">
      <c r="A595" s="28"/>
      <c r="B595" s="28"/>
      <c r="C595" s="28"/>
      <c r="D595" s="28"/>
      <c r="E595" s="28"/>
      <c r="F595" s="28"/>
      <c r="G595" s="28"/>
      <c r="H595" s="28"/>
      <c r="I595" s="28"/>
      <c r="J595" s="28"/>
      <c r="K595" s="28"/>
      <c r="L595" s="28"/>
      <c r="M595" s="33"/>
      <c r="N595" s="33"/>
      <c r="O595" s="33"/>
      <c r="P595" s="33"/>
      <c r="Q595" s="28"/>
      <c r="R595" s="28"/>
      <c r="S595" s="28"/>
      <c r="T595" s="28"/>
      <c r="U595" s="28"/>
      <c r="V595" s="28"/>
      <c r="W595" s="28"/>
      <c r="X595" s="28"/>
      <c r="Y595" s="28"/>
      <c r="Z595" s="28"/>
      <c r="AA595" s="28"/>
    </row>
    <row r="596" ht="18.75" customHeight="1">
      <c r="A596" s="28"/>
      <c r="B596" s="28"/>
      <c r="C596" s="28"/>
      <c r="D596" s="28"/>
      <c r="E596" s="28"/>
      <c r="F596" s="28"/>
      <c r="G596" s="28"/>
      <c r="H596" s="28"/>
      <c r="I596" s="28"/>
      <c r="J596" s="28"/>
      <c r="K596" s="28"/>
      <c r="L596" s="28"/>
      <c r="M596" s="33"/>
      <c r="N596" s="33"/>
      <c r="O596" s="33"/>
      <c r="P596" s="33"/>
      <c r="Q596" s="28"/>
      <c r="R596" s="28"/>
      <c r="S596" s="28"/>
      <c r="T596" s="28"/>
      <c r="U596" s="28"/>
      <c r="V596" s="28"/>
      <c r="W596" s="28"/>
      <c r="X596" s="28"/>
      <c r="Y596" s="28"/>
      <c r="Z596" s="28"/>
      <c r="AA596" s="28"/>
    </row>
    <row r="597" ht="18.75" customHeight="1">
      <c r="A597" s="28"/>
      <c r="B597" s="28"/>
      <c r="C597" s="28"/>
      <c r="D597" s="28"/>
      <c r="E597" s="28"/>
      <c r="F597" s="28"/>
      <c r="G597" s="28"/>
      <c r="H597" s="28"/>
      <c r="I597" s="28"/>
      <c r="J597" s="28"/>
      <c r="K597" s="28"/>
      <c r="L597" s="28"/>
      <c r="M597" s="33"/>
      <c r="N597" s="33"/>
      <c r="O597" s="33"/>
      <c r="P597" s="33"/>
      <c r="Q597" s="28"/>
      <c r="R597" s="28"/>
      <c r="S597" s="28"/>
      <c r="T597" s="28"/>
      <c r="U597" s="28"/>
      <c r="V597" s="28"/>
      <c r="W597" s="28"/>
      <c r="X597" s="28"/>
      <c r="Y597" s="28"/>
      <c r="Z597" s="28"/>
      <c r="AA597" s="28"/>
    </row>
    <row r="598" ht="18.75" customHeight="1">
      <c r="A598" s="28"/>
      <c r="B598" s="28"/>
      <c r="C598" s="28"/>
      <c r="D598" s="28"/>
      <c r="E598" s="28"/>
      <c r="F598" s="28"/>
      <c r="G598" s="28"/>
      <c r="H598" s="28"/>
      <c r="I598" s="28"/>
      <c r="J598" s="28"/>
      <c r="K598" s="28"/>
      <c r="L598" s="28"/>
      <c r="M598" s="33"/>
      <c r="N598" s="33"/>
      <c r="O598" s="33"/>
      <c r="P598" s="33"/>
      <c r="Q598" s="28"/>
      <c r="R598" s="28"/>
      <c r="S598" s="28"/>
      <c r="T598" s="28"/>
      <c r="U598" s="28"/>
      <c r="V598" s="28"/>
      <c r="W598" s="28"/>
      <c r="X598" s="28"/>
      <c r="Y598" s="28"/>
      <c r="Z598" s="28"/>
      <c r="AA598" s="28"/>
    </row>
    <row r="599" ht="18.75" customHeight="1">
      <c r="A599" s="28"/>
      <c r="B599" s="28"/>
      <c r="C599" s="28"/>
      <c r="D599" s="28"/>
      <c r="E599" s="28"/>
      <c r="F599" s="28"/>
      <c r="G599" s="28"/>
      <c r="H599" s="28"/>
      <c r="I599" s="28"/>
      <c r="J599" s="28"/>
      <c r="K599" s="28"/>
      <c r="L599" s="28"/>
      <c r="M599" s="33"/>
      <c r="N599" s="33"/>
      <c r="O599" s="33"/>
      <c r="P599" s="33"/>
      <c r="Q599" s="28"/>
      <c r="R599" s="28"/>
      <c r="S599" s="28"/>
      <c r="T599" s="28"/>
      <c r="U599" s="28"/>
      <c r="V599" s="28"/>
      <c r="W599" s="28"/>
      <c r="X599" s="28"/>
      <c r="Y599" s="28"/>
      <c r="Z599" s="28"/>
      <c r="AA599" s="28"/>
    </row>
    <row r="600" ht="18.75" customHeight="1">
      <c r="A600" s="28"/>
      <c r="B600" s="28"/>
      <c r="C600" s="28"/>
      <c r="D600" s="28"/>
      <c r="E600" s="28"/>
      <c r="F600" s="28"/>
      <c r="G600" s="28"/>
      <c r="H600" s="28"/>
      <c r="I600" s="28"/>
      <c r="J600" s="28"/>
      <c r="K600" s="28"/>
      <c r="L600" s="28"/>
      <c r="M600" s="33"/>
      <c r="N600" s="33"/>
      <c r="O600" s="33"/>
      <c r="P600" s="33"/>
      <c r="Q600" s="28"/>
      <c r="R600" s="28"/>
      <c r="S600" s="28"/>
      <c r="T600" s="28"/>
      <c r="U600" s="28"/>
      <c r="V600" s="28"/>
      <c r="W600" s="28"/>
      <c r="X600" s="28"/>
      <c r="Y600" s="28"/>
      <c r="Z600" s="28"/>
      <c r="AA600" s="28"/>
    </row>
    <row r="601" ht="18.75" customHeight="1">
      <c r="A601" s="28"/>
      <c r="B601" s="28"/>
      <c r="C601" s="28"/>
      <c r="D601" s="28"/>
      <c r="E601" s="28"/>
      <c r="F601" s="28"/>
      <c r="G601" s="28"/>
      <c r="H601" s="28"/>
      <c r="I601" s="28"/>
      <c r="J601" s="28"/>
      <c r="K601" s="28"/>
      <c r="L601" s="28"/>
      <c r="M601" s="33"/>
      <c r="N601" s="33"/>
      <c r="O601" s="33"/>
      <c r="P601" s="33"/>
      <c r="Q601" s="28"/>
      <c r="R601" s="28"/>
      <c r="S601" s="28"/>
      <c r="T601" s="28"/>
      <c r="U601" s="28"/>
      <c r="V601" s="28"/>
      <c r="W601" s="28"/>
      <c r="X601" s="28"/>
      <c r="Y601" s="28"/>
      <c r="Z601" s="28"/>
      <c r="AA601" s="28"/>
    </row>
    <row r="602" ht="18.75" customHeight="1">
      <c r="A602" s="28"/>
      <c r="B602" s="28"/>
      <c r="C602" s="28"/>
      <c r="D602" s="28"/>
      <c r="E602" s="28"/>
      <c r="F602" s="28"/>
      <c r="G602" s="28"/>
      <c r="H602" s="28"/>
      <c r="I602" s="28"/>
      <c r="J602" s="28"/>
      <c r="K602" s="28"/>
      <c r="L602" s="28"/>
      <c r="M602" s="33"/>
      <c r="N602" s="33"/>
      <c r="O602" s="33"/>
      <c r="P602" s="33"/>
      <c r="Q602" s="28"/>
      <c r="R602" s="28"/>
      <c r="S602" s="28"/>
      <c r="T602" s="28"/>
      <c r="U602" s="28"/>
      <c r="V602" s="28"/>
      <c r="W602" s="28"/>
      <c r="X602" s="28"/>
      <c r="Y602" s="28"/>
      <c r="Z602" s="28"/>
      <c r="AA602" s="28"/>
    </row>
    <row r="603" ht="18.75" customHeight="1">
      <c r="A603" s="28"/>
      <c r="B603" s="28"/>
      <c r="C603" s="28"/>
      <c r="D603" s="28"/>
      <c r="E603" s="28"/>
      <c r="F603" s="28"/>
      <c r="G603" s="28"/>
      <c r="H603" s="28"/>
      <c r="I603" s="28"/>
      <c r="J603" s="28"/>
      <c r="K603" s="28"/>
      <c r="L603" s="28"/>
      <c r="M603" s="33"/>
      <c r="N603" s="33"/>
      <c r="O603" s="33"/>
      <c r="P603" s="33"/>
      <c r="Q603" s="28"/>
      <c r="R603" s="28"/>
      <c r="S603" s="28"/>
      <c r="T603" s="28"/>
      <c r="U603" s="28"/>
      <c r="V603" s="28"/>
      <c r="W603" s="28"/>
      <c r="X603" s="28"/>
      <c r="Y603" s="28"/>
      <c r="Z603" s="28"/>
      <c r="AA603" s="28"/>
    </row>
    <row r="604" ht="18.75" customHeight="1">
      <c r="A604" s="28"/>
      <c r="B604" s="28"/>
      <c r="C604" s="28"/>
      <c r="D604" s="28"/>
      <c r="E604" s="28"/>
      <c r="F604" s="28"/>
      <c r="G604" s="28"/>
      <c r="H604" s="28"/>
      <c r="I604" s="28"/>
      <c r="J604" s="28"/>
      <c r="K604" s="28"/>
      <c r="L604" s="28"/>
      <c r="M604" s="33"/>
      <c r="N604" s="33"/>
      <c r="O604" s="33"/>
      <c r="P604" s="33"/>
      <c r="Q604" s="28"/>
      <c r="R604" s="28"/>
      <c r="S604" s="28"/>
      <c r="T604" s="28"/>
      <c r="U604" s="28"/>
      <c r="V604" s="28"/>
      <c r="W604" s="28"/>
      <c r="X604" s="28"/>
      <c r="Y604" s="28"/>
      <c r="Z604" s="28"/>
      <c r="AA604" s="28"/>
    </row>
    <row r="605" ht="18.75" customHeight="1">
      <c r="A605" s="28"/>
      <c r="B605" s="28"/>
      <c r="C605" s="28"/>
      <c r="D605" s="28"/>
      <c r="E605" s="28"/>
      <c r="F605" s="28"/>
      <c r="G605" s="28"/>
      <c r="H605" s="28"/>
      <c r="I605" s="28"/>
      <c r="J605" s="28"/>
      <c r="K605" s="28"/>
      <c r="L605" s="28"/>
      <c r="M605" s="33"/>
      <c r="N605" s="33"/>
      <c r="O605" s="33"/>
      <c r="P605" s="33"/>
      <c r="Q605" s="28"/>
      <c r="R605" s="28"/>
      <c r="S605" s="28"/>
      <c r="T605" s="28"/>
      <c r="U605" s="28"/>
      <c r="V605" s="28"/>
      <c r="W605" s="28"/>
      <c r="X605" s="28"/>
      <c r="Y605" s="28"/>
      <c r="Z605" s="28"/>
      <c r="AA605" s="28"/>
    </row>
    <row r="606" ht="18.75" customHeight="1">
      <c r="A606" s="28"/>
      <c r="B606" s="28"/>
      <c r="C606" s="28"/>
      <c r="D606" s="28"/>
      <c r="E606" s="28"/>
      <c r="F606" s="28"/>
      <c r="G606" s="28"/>
      <c r="H606" s="28"/>
      <c r="I606" s="28"/>
      <c r="J606" s="28"/>
      <c r="K606" s="28"/>
      <c r="L606" s="28"/>
      <c r="M606" s="33"/>
      <c r="N606" s="33"/>
      <c r="O606" s="33"/>
      <c r="P606" s="33"/>
      <c r="Q606" s="28"/>
      <c r="R606" s="28"/>
      <c r="S606" s="28"/>
      <c r="T606" s="28"/>
      <c r="U606" s="28"/>
      <c r="V606" s="28"/>
      <c r="W606" s="28"/>
      <c r="X606" s="28"/>
      <c r="Y606" s="28"/>
      <c r="Z606" s="28"/>
      <c r="AA606" s="28"/>
    </row>
    <row r="607" ht="18.75" customHeight="1">
      <c r="A607" s="28"/>
      <c r="B607" s="28"/>
      <c r="C607" s="28"/>
      <c r="D607" s="28"/>
      <c r="E607" s="28"/>
      <c r="F607" s="28"/>
      <c r="G607" s="28"/>
      <c r="H607" s="28"/>
      <c r="I607" s="28"/>
      <c r="J607" s="28"/>
      <c r="K607" s="28"/>
      <c r="L607" s="28"/>
      <c r="M607" s="33"/>
      <c r="N607" s="33"/>
      <c r="O607" s="33"/>
      <c r="P607" s="33"/>
      <c r="Q607" s="28"/>
      <c r="R607" s="28"/>
      <c r="S607" s="28"/>
      <c r="T607" s="28"/>
      <c r="U607" s="28"/>
      <c r="V607" s="28"/>
      <c r="W607" s="28"/>
      <c r="X607" s="28"/>
      <c r="Y607" s="28"/>
      <c r="Z607" s="28"/>
      <c r="AA607" s="28"/>
    </row>
    <row r="608" ht="18.75" customHeight="1">
      <c r="A608" s="28"/>
      <c r="B608" s="28"/>
      <c r="C608" s="28"/>
      <c r="D608" s="28"/>
      <c r="E608" s="28"/>
      <c r="F608" s="28"/>
      <c r="G608" s="28"/>
      <c r="H608" s="28"/>
      <c r="I608" s="28"/>
      <c r="J608" s="28"/>
      <c r="K608" s="28"/>
      <c r="L608" s="28"/>
      <c r="M608" s="33"/>
      <c r="N608" s="33"/>
      <c r="O608" s="33"/>
      <c r="P608" s="33"/>
      <c r="Q608" s="28"/>
      <c r="R608" s="28"/>
      <c r="S608" s="28"/>
      <c r="T608" s="28"/>
      <c r="U608" s="28"/>
      <c r="V608" s="28"/>
      <c r="W608" s="28"/>
      <c r="X608" s="28"/>
      <c r="Y608" s="28"/>
      <c r="Z608" s="28"/>
      <c r="AA608" s="28"/>
    </row>
    <row r="609" ht="18.75" customHeight="1">
      <c r="A609" s="28"/>
      <c r="B609" s="28"/>
      <c r="C609" s="28"/>
      <c r="D609" s="28"/>
      <c r="E609" s="28"/>
      <c r="F609" s="28"/>
      <c r="G609" s="28"/>
      <c r="H609" s="28"/>
      <c r="I609" s="28"/>
      <c r="J609" s="28"/>
      <c r="K609" s="28"/>
      <c r="L609" s="28"/>
      <c r="M609" s="33"/>
      <c r="N609" s="33"/>
      <c r="O609" s="33"/>
      <c r="P609" s="33"/>
      <c r="Q609" s="28"/>
      <c r="R609" s="28"/>
      <c r="S609" s="28"/>
      <c r="T609" s="28"/>
      <c r="U609" s="28"/>
      <c r="V609" s="28"/>
      <c r="W609" s="28"/>
      <c r="X609" s="28"/>
      <c r="Y609" s="28"/>
      <c r="Z609" s="28"/>
      <c r="AA609" s="28"/>
    </row>
    <row r="610" ht="18.75" customHeight="1">
      <c r="A610" s="28"/>
      <c r="B610" s="28"/>
      <c r="C610" s="28"/>
      <c r="D610" s="28"/>
      <c r="E610" s="28"/>
      <c r="F610" s="28"/>
      <c r="G610" s="28"/>
      <c r="H610" s="28"/>
      <c r="I610" s="28"/>
      <c r="J610" s="28"/>
      <c r="K610" s="28"/>
      <c r="L610" s="28"/>
      <c r="M610" s="33"/>
      <c r="N610" s="33"/>
      <c r="O610" s="33"/>
      <c r="P610" s="33"/>
      <c r="Q610" s="28"/>
      <c r="R610" s="28"/>
      <c r="S610" s="28"/>
      <c r="T610" s="28"/>
      <c r="U610" s="28"/>
      <c r="V610" s="28"/>
      <c r="W610" s="28"/>
      <c r="X610" s="28"/>
      <c r="Y610" s="28"/>
      <c r="Z610" s="28"/>
      <c r="AA610" s="28"/>
    </row>
    <row r="611" ht="18.75" customHeight="1">
      <c r="A611" s="28"/>
      <c r="B611" s="28"/>
      <c r="C611" s="28"/>
      <c r="D611" s="28"/>
      <c r="E611" s="28"/>
      <c r="F611" s="28"/>
      <c r="G611" s="28"/>
      <c r="H611" s="28"/>
      <c r="I611" s="28"/>
      <c r="J611" s="28"/>
      <c r="K611" s="28"/>
      <c r="L611" s="28"/>
      <c r="M611" s="33"/>
      <c r="N611" s="33"/>
      <c r="O611" s="33"/>
      <c r="P611" s="33"/>
      <c r="Q611" s="28"/>
      <c r="R611" s="28"/>
      <c r="S611" s="28"/>
      <c r="T611" s="28"/>
      <c r="U611" s="28"/>
      <c r="V611" s="28"/>
      <c r="W611" s="28"/>
      <c r="X611" s="28"/>
      <c r="Y611" s="28"/>
      <c r="Z611" s="28"/>
      <c r="AA611" s="28"/>
    </row>
    <row r="612" ht="18.75" customHeight="1">
      <c r="A612" s="28"/>
      <c r="B612" s="28"/>
      <c r="C612" s="28"/>
      <c r="D612" s="28"/>
      <c r="E612" s="28"/>
      <c r="F612" s="28"/>
      <c r="G612" s="28"/>
      <c r="H612" s="28"/>
      <c r="I612" s="28"/>
      <c r="J612" s="28"/>
      <c r="K612" s="28"/>
      <c r="L612" s="28"/>
      <c r="M612" s="33"/>
      <c r="N612" s="33"/>
      <c r="O612" s="33"/>
      <c r="P612" s="33"/>
      <c r="Q612" s="28"/>
      <c r="R612" s="28"/>
      <c r="S612" s="28"/>
      <c r="T612" s="28"/>
      <c r="U612" s="28"/>
      <c r="V612" s="28"/>
      <c r="W612" s="28"/>
      <c r="X612" s="28"/>
      <c r="Y612" s="28"/>
      <c r="Z612" s="28"/>
      <c r="AA612" s="28"/>
    </row>
    <row r="613" ht="18.75" customHeight="1">
      <c r="A613" s="28"/>
      <c r="B613" s="28"/>
      <c r="C613" s="28"/>
      <c r="D613" s="28"/>
      <c r="E613" s="28"/>
      <c r="F613" s="28"/>
      <c r="G613" s="28"/>
      <c r="H613" s="28"/>
      <c r="I613" s="28"/>
      <c r="J613" s="28"/>
      <c r="K613" s="28"/>
      <c r="L613" s="28"/>
      <c r="M613" s="33"/>
      <c r="N613" s="33"/>
      <c r="O613" s="33"/>
      <c r="P613" s="33"/>
      <c r="Q613" s="28"/>
      <c r="R613" s="28"/>
      <c r="S613" s="28"/>
      <c r="T613" s="28"/>
      <c r="U613" s="28"/>
      <c r="V613" s="28"/>
      <c r="W613" s="28"/>
      <c r="X613" s="28"/>
      <c r="Y613" s="28"/>
      <c r="Z613" s="28"/>
      <c r="AA613" s="28"/>
    </row>
    <row r="614" ht="18.75" customHeight="1">
      <c r="A614" s="28"/>
      <c r="B614" s="28"/>
      <c r="C614" s="28"/>
      <c r="D614" s="28"/>
      <c r="E614" s="28"/>
      <c r="F614" s="28"/>
      <c r="G614" s="28"/>
      <c r="H614" s="28"/>
      <c r="I614" s="28"/>
      <c r="J614" s="28"/>
      <c r="K614" s="28"/>
      <c r="L614" s="28"/>
      <c r="M614" s="33"/>
      <c r="N614" s="33"/>
      <c r="O614" s="33"/>
      <c r="P614" s="33"/>
      <c r="Q614" s="28"/>
      <c r="R614" s="28"/>
      <c r="S614" s="28"/>
      <c r="T614" s="28"/>
      <c r="U614" s="28"/>
      <c r="V614" s="28"/>
      <c r="W614" s="28"/>
      <c r="X614" s="28"/>
      <c r="Y614" s="28"/>
      <c r="Z614" s="28"/>
      <c r="AA614" s="28"/>
    </row>
    <row r="615" ht="18.75" customHeight="1">
      <c r="A615" s="28"/>
      <c r="B615" s="28"/>
      <c r="C615" s="28"/>
      <c r="D615" s="28"/>
      <c r="E615" s="28"/>
      <c r="F615" s="28"/>
      <c r="G615" s="28"/>
      <c r="H615" s="28"/>
      <c r="I615" s="28"/>
      <c r="J615" s="28"/>
      <c r="K615" s="28"/>
      <c r="L615" s="28"/>
      <c r="M615" s="33"/>
      <c r="N615" s="33"/>
      <c r="O615" s="33"/>
      <c r="P615" s="33"/>
      <c r="Q615" s="28"/>
      <c r="R615" s="28"/>
      <c r="S615" s="28"/>
      <c r="T615" s="28"/>
      <c r="U615" s="28"/>
      <c r="V615" s="28"/>
      <c r="W615" s="28"/>
      <c r="X615" s="28"/>
      <c r="Y615" s="28"/>
      <c r="Z615" s="28"/>
      <c r="AA615" s="28"/>
    </row>
    <row r="616" ht="18.75" customHeight="1">
      <c r="A616" s="28"/>
      <c r="B616" s="28"/>
      <c r="C616" s="28"/>
      <c r="D616" s="28"/>
      <c r="E616" s="28"/>
      <c r="F616" s="28"/>
      <c r="G616" s="28"/>
      <c r="H616" s="28"/>
      <c r="I616" s="28"/>
      <c r="J616" s="28"/>
      <c r="K616" s="28"/>
      <c r="L616" s="28"/>
      <c r="M616" s="33"/>
      <c r="N616" s="33"/>
      <c r="O616" s="33"/>
      <c r="P616" s="33"/>
      <c r="Q616" s="28"/>
      <c r="R616" s="28"/>
      <c r="S616" s="28"/>
      <c r="T616" s="28"/>
      <c r="U616" s="28"/>
      <c r="V616" s="28"/>
      <c r="W616" s="28"/>
      <c r="X616" s="28"/>
      <c r="Y616" s="28"/>
      <c r="Z616" s="28"/>
      <c r="AA616" s="28"/>
    </row>
    <row r="617" ht="18.75" customHeight="1">
      <c r="A617" s="28"/>
      <c r="B617" s="28"/>
      <c r="C617" s="28"/>
      <c r="D617" s="28"/>
      <c r="E617" s="28"/>
      <c r="F617" s="28"/>
      <c r="G617" s="28"/>
      <c r="H617" s="28"/>
      <c r="I617" s="28"/>
      <c r="J617" s="28"/>
      <c r="K617" s="28"/>
      <c r="L617" s="28"/>
      <c r="M617" s="33"/>
      <c r="N617" s="33"/>
      <c r="O617" s="33"/>
      <c r="P617" s="33"/>
      <c r="Q617" s="28"/>
      <c r="R617" s="28"/>
      <c r="S617" s="28"/>
      <c r="T617" s="28"/>
      <c r="U617" s="28"/>
      <c r="V617" s="28"/>
      <c r="W617" s="28"/>
      <c r="X617" s="28"/>
      <c r="Y617" s="28"/>
      <c r="Z617" s="28"/>
      <c r="AA617" s="28"/>
    </row>
    <row r="618" ht="18.75" customHeight="1">
      <c r="A618" s="28"/>
      <c r="B618" s="28"/>
      <c r="C618" s="28"/>
      <c r="D618" s="28"/>
      <c r="E618" s="28"/>
      <c r="F618" s="28"/>
      <c r="G618" s="28"/>
      <c r="H618" s="28"/>
      <c r="I618" s="28"/>
      <c r="J618" s="28"/>
      <c r="K618" s="28"/>
      <c r="L618" s="28"/>
      <c r="M618" s="33"/>
      <c r="N618" s="33"/>
      <c r="O618" s="33"/>
      <c r="P618" s="33"/>
      <c r="Q618" s="28"/>
      <c r="R618" s="28"/>
      <c r="S618" s="28"/>
      <c r="T618" s="28"/>
      <c r="U618" s="28"/>
      <c r="V618" s="28"/>
      <c r="W618" s="28"/>
      <c r="X618" s="28"/>
      <c r="Y618" s="28"/>
      <c r="Z618" s="28"/>
      <c r="AA618" s="28"/>
    </row>
    <row r="619" ht="18.75" customHeight="1">
      <c r="A619" s="28"/>
      <c r="B619" s="28"/>
      <c r="C619" s="28"/>
      <c r="D619" s="28"/>
      <c r="E619" s="28"/>
      <c r="F619" s="28"/>
      <c r="G619" s="28"/>
      <c r="H619" s="28"/>
      <c r="I619" s="28"/>
      <c r="J619" s="28"/>
      <c r="K619" s="28"/>
      <c r="L619" s="28"/>
      <c r="M619" s="33"/>
      <c r="N619" s="33"/>
      <c r="O619" s="33"/>
      <c r="P619" s="33"/>
      <c r="Q619" s="28"/>
      <c r="R619" s="28"/>
      <c r="S619" s="28"/>
      <c r="T619" s="28"/>
      <c r="U619" s="28"/>
      <c r="V619" s="28"/>
      <c r="W619" s="28"/>
      <c r="X619" s="28"/>
      <c r="Y619" s="28"/>
      <c r="Z619" s="28"/>
      <c r="AA619" s="28"/>
    </row>
    <row r="620" ht="18.75" customHeight="1">
      <c r="A620" s="28"/>
      <c r="B620" s="28"/>
      <c r="C620" s="28"/>
      <c r="D620" s="28"/>
      <c r="E620" s="28"/>
      <c r="F620" s="28"/>
      <c r="G620" s="28"/>
      <c r="H620" s="28"/>
      <c r="I620" s="28"/>
      <c r="J620" s="28"/>
      <c r="K620" s="28"/>
      <c r="L620" s="28"/>
      <c r="M620" s="33"/>
      <c r="N620" s="33"/>
      <c r="O620" s="33"/>
      <c r="P620" s="33"/>
      <c r="Q620" s="28"/>
      <c r="R620" s="28"/>
      <c r="S620" s="28"/>
      <c r="T620" s="28"/>
      <c r="U620" s="28"/>
      <c r="V620" s="28"/>
      <c r="W620" s="28"/>
      <c r="X620" s="28"/>
      <c r="Y620" s="28"/>
      <c r="Z620" s="28"/>
      <c r="AA620" s="28"/>
    </row>
    <row r="621" ht="18.75" customHeight="1">
      <c r="A621" s="28"/>
      <c r="B621" s="28"/>
      <c r="C621" s="28"/>
      <c r="D621" s="28"/>
      <c r="E621" s="28"/>
      <c r="F621" s="28"/>
      <c r="G621" s="28"/>
      <c r="H621" s="28"/>
      <c r="I621" s="28"/>
      <c r="J621" s="28"/>
      <c r="K621" s="28"/>
      <c r="L621" s="28"/>
      <c r="M621" s="33"/>
      <c r="N621" s="33"/>
      <c r="O621" s="33"/>
      <c r="P621" s="33"/>
      <c r="Q621" s="28"/>
      <c r="R621" s="28"/>
      <c r="S621" s="28"/>
      <c r="T621" s="28"/>
      <c r="U621" s="28"/>
      <c r="V621" s="28"/>
      <c r="W621" s="28"/>
      <c r="X621" s="28"/>
      <c r="Y621" s="28"/>
      <c r="Z621" s="28"/>
      <c r="AA621" s="28"/>
    </row>
    <row r="622" ht="18.75" customHeight="1">
      <c r="A622" s="28"/>
      <c r="B622" s="28"/>
      <c r="C622" s="28"/>
      <c r="D622" s="28"/>
      <c r="E622" s="28"/>
      <c r="F622" s="28"/>
      <c r="G622" s="28"/>
      <c r="H622" s="28"/>
      <c r="I622" s="28"/>
      <c r="J622" s="28"/>
      <c r="K622" s="28"/>
      <c r="L622" s="28"/>
      <c r="M622" s="33"/>
      <c r="N622" s="33"/>
      <c r="O622" s="33"/>
      <c r="P622" s="33"/>
      <c r="Q622" s="28"/>
      <c r="R622" s="28"/>
      <c r="S622" s="28"/>
      <c r="T622" s="28"/>
      <c r="U622" s="28"/>
      <c r="V622" s="28"/>
      <c r="W622" s="28"/>
      <c r="X622" s="28"/>
      <c r="Y622" s="28"/>
      <c r="Z622" s="28"/>
      <c r="AA622" s="28"/>
    </row>
    <row r="623" ht="18.75" customHeight="1">
      <c r="A623" s="28"/>
      <c r="B623" s="28"/>
      <c r="C623" s="28"/>
      <c r="D623" s="28"/>
      <c r="E623" s="28"/>
      <c r="F623" s="28"/>
      <c r="G623" s="28"/>
      <c r="H623" s="28"/>
      <c r="I623" s="28"/>
      <c r="J623" s="28"/>
      <c r="K623" s="28"/>
      <c r="L623" s="28"/>
      <c r="M623" s="33"/>
      <c r="N623" s="33"/>
      <c r="O623" s="33"/>
      <c r="P623" s="33"/>
      <c r="Q623" s="28"/>
      <c r="R623" s="28"/>
      <c r="S623" s="28"/>
      <c r="T623" s="28"/>
      <c r="U623" s="28"/>
      <c r="V623" s="28"/>
      <c r="W623" s="28"/>
      <c r="X623" s="28"/>
      <c r="Y623" s="28"/>
      <c r="Z623" s="28"/>
      <c r="AA623" s="28"/>
    </row>
    <row r="624" ht="18.75" customHeight="1">
      <c r="A624" s="28"/>
      <c r="B624" s="28"/>
      <c r="C624" s="28"/>
      <c r="D624" s="28"/>
      <c r="E624" s="28"/>
      <c r="F624" s="28"/>
      <c r="G624" s="28"/>
      <c r="H624" s="28"/>
      <c r="I624" s="28"/>
      <c r="J624" s="28"/>
      <c r="K624" s="28"/>
      <c r="L624" s="28"/>
      <c r="M624" s="33"/>
      <c r="N624" s="33"/>
      <c r="O624" s="33"/>
      <c r="P624" s="33"/>
      <c r="Q624" s="28"/>
      <c r="R624" s="28"/>
      <c r="S624" s="28"/>
      <c r="T624" s="28"/>
      <c r="U624" s="28"/>
      <c r="V624" s="28"/>
      <c r="W624" s="28"/>
      <c r="X624" s="28"/>
      <c r="Y624" s="28"/>
      <c r="Z624" s="28"/>
      <c r="AA624" s="28"/>
    </row>
    <row r="625" ht="18.75" customHeight="1">
      <c r="A625" s="28"/>
      <c r="B625" s="28"/>
      <c r="C625" s="28"/>
      <c r="D625" s="28"/>
      <c r="E625" s="28"/>
      <c r="F625" s="28"/>
      <c r="G625" s="28"/>
      <c r="H625" s="28"/>
      <c r="I625" s="28"/>
      <c r="J625" s="28"/>
      <c r="K625" s="28"/>
      <c r="L625" s="28"/>
      <c r="M625" s="33"/>
      <c r="N625" s="33"/>
      <c r="O625" s="33"/>
      <c r="P625" s="33"/>
      <c r="Q625" s="28"/>
      <c r="R625" s="28"/>
      <c r="S625" s="28"/>
      <c r="T625" s="28"/>
      <c r="U625" s="28"/>
      <c r="V625" s="28"/>
      <c r="W625" s="28"/>
      <c r="X625" s="28"/>
      <c r="Y625" s="28"/>
      <c r="Z625" s="28"/>
      <c r="AA625" s="28"/>
    </row>
    <row r="626" ht="18.75" customHeight="1">
      <c r="A626" s="28"/>
      <c r="B626" s="28"/>
      <c r="C626" s="28"/>
      <c r="D626" s="28"/>
      <c r="E626" s="28"/>
      <c r="F626" s="28"/>
      <c r="G626" s="28"/>
      <c r="H626" s="28"/>
      <c r="I626" s="28"/>
      <c r="J626" s="28"/>
      <c r="K626" s="28"/>
      <c r="L626" s="28"/>
      <c r="M626" s="33"/>
      <c r="N626" s="33"/>
      <c r="O626" s="33"/>
      <c r="P626" s="33"/>
      <c r="Q626" s="28"/>
      <c r="R626" s="28"/>
      <c r="S626" s="28"/>
      <c r="T626" s="28"/>
      <c r="U626" s="28"/>
      <c r="V626" s="28"/>
      <c r="W626" s="28"/>
      <c r="X626" s="28"/>
      <c r="Y626" s="28"/>
      <c r="Z626" s="28"/>
      <c r="AA626" s="28"/>
    </row>
    <row r="627" ht="18.75" customHeight="1">
      <c r="A627" s="28"/>
      <c r="B627" s="28"/>
      <c r="C627" s="28"/>
      <c r="D627" s="28"/>
      <c r="E627" s="28"/>
      <c r="F627" s="28"/>
      <c r="G627" s="28"/>
      <c r="H627" s="28"/>
      <c r="I627" s="28"/>
      <c r="J627" s="28"/>
      <c r="K627" s="28"/>
      <c r="L627" s="28"/>
      <c r="M627" s="33"/>
      <c r="N627" s="33"/>
      <c r="O627" s="33"/>
      <c r="P627" s="33"/>
      <c r="Q627" s="28"/>
      <c r="R627" s="28"/>
      <c r="S627" s="28"/>
      <c r="T627" s="28"/>
      <c r="U627" s="28"/>
      <c r="V627" s="28"/>
      <c r="W627" s="28"/>
      <c r="X627" s="28"/>
      <c r="Y627" s="28"/>
      <c r="Z627" s="28"/>
      <c r="AA627" s="28"/>
    </row>
    <row r="628" ht="18.75" customHeight="1">
      <c r="A628" s="28"/>
      <c r="B628" s="28"/>
      <c r="C628" s="28"/>
      <c r="D628" s="28"/>
      <c r="E628" s="28"/>
      <c r="F628" s="28"/>
      <c r="G628" s="28"/>
      <c r="H628" s="28"/>
      <c r="I628" s="28"/>
      <c r="J628" s="28"/>
      <c r="K628" s="28"/>
      <c r="L628" s="28"/>
      <c r="M628" s="33"/>
      <c r="N628" s="33"/>
      <c r="O628" s="33"/>
      <c r="P628" s="33"/>
      <c r="Q628" s="28"/>
      <c r="R628" s="28"/>
      <c r="S628" s="28"/>
      <c r="T628" s="28"/>
      <c r="U628" s="28"/>
      <c r="V628" s="28"/>
      <c r="W628" s="28"/>
      <c r="X628" s="28"/>
      <c r="Y628" s="28"/>
      <c r="Z628" s="28"/>
      <c r="AA628" s="28"/>
    </row>
    <row r="629" ht="18.75" customHeight="1">
      <c r="A629" s="28"/>
      <c r="B629" s="28"/>
      <c r="C629" s="28"/>
      <c r="D629" s="28"/>
      <c r="E629" s="28"/>
      <c r="F629" s="28"/>
      <c r="G629" s="28"/>
      <c r="H629" s="28"/>
      <c r="I629" s="28"/>
      <c r="J629" s="28"/>
      <c r="K629" s="28"/>
      <c r="L629" s="28"/>
      <c r="M629" s="33"/>
      <c r="N629" s="33"/>
      <c r="O629" s="33"/>
      <c r="P629" s="33"/>
      <c r="Q629" s="28"/>
      <c r="R629" s="28"/>
      <c r="S629" s="28"/>
      <c r="T629" s="28"/>
      <c r="U629" s="28"/>
      <c r="V629" s="28"/>
      <c r="W629" s="28"/>
      <c r="X629" s="28"/>
      <c r="Y629" s="28"/>
      <c r="Z629" s="28"/>
      <c r="AA629" s="28"/>
    </row>
    <row r="630" ht="18.75" customHeight="1">
      <c r="A630" s="28"/>
      <c r="B630" s="28"/>
      <c r="C630" s="28"/>
      <c r="D630" s="28"/>
      <c r="E630" s="28"/>
      <c r="F630" s="28"/>
      <c r="G630" s="28"/>
      <c r="H630" s="28"/>
      <c r="I630" s="28"/>
      <c r="J630" s="28"/>
      <c r="K630" s="28"/>
      <c r="L630" s="28"/>
      <c r="M630" s="33"/>
      <c r="N630" s="33"/>
      <c r="O630" s="33"/>
      <c r="P630" s="33"/>
      <c r="Q630" s="28"/>
      <c r="R630" s="28"/>
      <c r="S630" s="28"/>
      <c r="T630" s="28"/>
      <c r="U630" s="28"/>
      <c r="V630" s="28"/>
      <c r="W630" s="28"/>
      <c r="X630" s="28"/>
      <c r="Y630" s="28"/>
      <c r="Z630" s="28"/>
      <c r="AA630" s="28"/>
    </row>
    <row r="631" ht="18.75" customHeight="1">
      <c r="A631" s="28"/>
      <c r="B631" s="28"/>
      <c r="C631" s="28"/>
      <c r="D631" s="28"/>
      <c r="E631" s="28"/>
      <c r="F631" s="28"/>
      <c r="G631" s="28"/>
      <c r="H631" s="28"/>
      <c r="I631" s="28"/>
      <c r="J631" s="28"/>
      <c r="K631" s="28"/>
      <c r="L631" s="28"/>
      <c r="M631" s="33"/>
      <c r="N631" s="33"/>
      <c r="O631" s="33"/>
      <c r="P631" s="33"/>
      <c r="Q631" s="28"/>
      <c r="R631" s="28"/>
      <c r="S631" s="28"/>
      <c r="T631" s="28"/>
      <c r="U631" s="28"/>
      <c r="V631" s="28"/>
      <c r="W631" s="28"/>
      <c r="X631" s="28"/>
      <c r="Y631" s="28"/>
      <c r="Z631" s="28"/>
      <c r="AA631" s="28"/>
    </row>
    <row r="632" ht="18.75" customHeight="1">
      <c r="A632" s="28"/>
      <c r="B632" s="28"/>
      <c r="C632" s="28"/>
      <c r="D632" s="28"/>
      <c r="E632" s="28"/>
      <c r="F632" s="28"/>
      <c r="G632" s="28"/>
      <c r="H632" s="28"/>
      <c r="I632" s="28"/>
      <c r="J632" s="28"/>
      <c r="K632" s="28"/>
      <c r="L632" s="28"/>
      <c r="M632" s="33"/>
      <c r="N632" s="33"/>
      <c r="O632" s="33"/>
      <c r="P632" s="33"/>
      <c r="Q632" s="28"/>
      <c r="R632" s="28"/>
      <c r="S632" s="28"/>
      <c r="T632" s="28"/>
      <c r="U632" s="28"/>
      <c r="V632" s="28"/>
      <c r="W632" s="28"/>
      <c r="X632" s="28"/>
      <c r="Y632" s="28"/>
      <c r="Z632" s="28"/>
      <c r="AA632" s="28"/>
    </row>
    <row r="633" ht="18.75" customHeight="1">
      <c r="A633" s="28"/>
      <c r="B633" s="28"/>
      <c r="C633" s="28"/>
      <c r="D633" s="28"/>
      <c r="E633" s="28"/>
      <c r="F633" s="28"/>
      <c r="G633" s="28"/>
      <c r="H633" s="28"/>
      <c r="I633" s="28"/>
      <c r="J633" s="28"/>
      <c r="K633" s="28"/>
      <c r="L633" s="28"/>
      <c r="M633" s="33"/>
      <c r="N633" s="33"/>
      <c r="O633" s="33"/>
      <c r="P633" s="33"/>
      <c r="Q633" s="28"/>
      <c r="R633" s="28"/>
      <c r="S633" s="28"/>
      <c r="T633" s="28"/>
      <c r="U633" s="28"/>
      <c r="V633" s="28"/>
      <c r="W633" s="28"/>
      <c r="X633" s="28"/>
      <c r="Y633" s="28"/>
      <c r="Z633" s="28"/>
      <c r="AA633" s="28"/>
    </row>
    <row r="634" ht="18.75" customHeight="1">
      <c r="A634" s="28"/>
      <c r="B634" s="28"/>
      <c r="C634" s="28"/>
      <c r="D634" s="28"/>
      <c r="E634" s="28"/>
      <c r="F634" s="28"/>
      <c r="G634" s="28"/>
      <c r="H634" s="28"/>
      <c r="I634" s="28"/>
      <c r="J634" s="28"/>
      <c r="K634" s="28"/>
      <c r="L634" s="28"/>
      <c r="M634" s="33"/>
      <c r="N634" s="33"/>
      <c r="O634" s="33"/>
      <c r="P634" s="33"/>
      <c r="Q634" s="28"/>
      <c r="R634" s="28"/>
      <c r="S634" s="28"/>
      <c r="T634" s="28"/>
      <c r="U634" s="28"/>
      <c r="V634" s="28"/>
      <c r="W634" s="28"/>
      <c r="X634" s="28"/>
      <c r="Y634" s="28"/>
      <c r="Z634" s="28"/>
      <c r="AA634" s="28"/>
    </row>
    <row r="635" ht="18.75" customHeight="1">
      <c r="A635" s="28"/>
      <c r="B635" s="28"/>
      <c r="C635" s="28"/>
      <c r="D635" s="28"/>
      <c r="E635" s="28"/>
      <c r="F635" s="28"/>
      <c r="G635" s="28"/>
      <c r="H635" s="28"/>
      <c r="I635" s="28"/>
      <c r="J635" s="28"/>
      <c r="K635" s="28"/>
      <c r="L635" s="28"/>
      <c r="M635" s="33"/>
      <c r="N635" s="33"/>
      <c r="O635" s="33"/>
      <c r="P635" s="33"/>
      <c r="Q635" s="28"/>
      <c r="R635" s="28"/>
      <c r="S635" s="28"/>
      <c r="T635" s="28"/>
      <c r="U635" s="28"/>
      <c r="V635" s="28"/>
      <c r="W635" s="28"/>
      <c r="X635" s="28"/>
      <c r="Y635" s="28"/>
      <c r="Z635" s="28"/>
      <c r="AA635" s="28"/>
    </row>
    <row r="636" ht="18.75" customHeight="1">
      <c r="A636" s="28"/>
      <c r="B636" s="28"/>
      <c r="C636" s="28"/>
      <c r="D636" s="28"/>
      <c r="E636" s="28"/>
      <c r="F636" s="28"/>
      <c r="G636" s="28"/>
      <c r="H636" s="28"/>
      <c r="I636" s="28"/>
      <c r="J636" s="28"/>
      <c r="K636" s="28"/>
      <c r="L636" s="28"/>
      <c r="M636" s="33"/>
      <c r="N636" s="33"/>
      <c r="O636" s="33"/>
      <c r="P636" s="33"/>
      <c r="Q636" s="28"/>
      <c r="R636" s="28"/>
      <c r="S636" s="28"/>
      <c r="T636" s="28"/>
      <c r="U636" s="28"/>
      <c r="V636" s="28"/>
      <c r="W636" s="28"/>
      <c r="X636" s="28"/>
      <c r="Y636" s="28"/>
      <c r="Z636" s="28"/>
      <c r="AA636" s="28"/>
    </row>
    <row r="637" ht="18.75" customHeight="1">
      <c r="A637" s="28"/>
      <c r="B637" s="28"/>
      <c r="C637" s="28"/>
      <c r="D637" s="28"/>
      <c r="E637" s="28"/>
      <c r="F637" s="28"/>
      <c r="G637" s="28"/>
      <c r="H637" s="28"/>
      <c r="I637" s="28"/>
      <c r="J637" s="28"/>
      <c r="K637" s="28"/>
      <c r="L637" s="28"/>
      <c r="M637" s="33"/>
      <c r="N637" s="33"/>
      <c r="O637" s="33"/>
      <c r="P637" s="33"/>
      <c r="Q637" s="28"/>
      <c r="R637" s="28"/>
      <c r="S637" s="28"/>
      <c r="T637" s="28"/>
      <c r="U637" s="28"/>
      <c r="V637" s="28"/>
      <c r="W637" s="28"/>
      <c r="X637" s="28"/>
      <c r="Y637" s="28"/>
      <c r="Z637" s="28"/>
      <c r="AA637" s="28"/>
    </row>
    <row r="638" ht="18.75" customHeight="1">
      <c r="A638" s="28"/>
      <c r="B638" s="28"/>
      <c r="C638" s="28"/>
      <c r="D638" s="28"/>
      <c r="E638" s="28"/>
      <c r="F638" s="28"/>
      <c r="G638" s="28"/>
      <c r="H638" s="28"/>
      <c r="I638" s="28"/>
      <c r="J638" s="28"/>
      <c r="K638" s="28"/>
      <c r="L638" s="28"/>
      <c r="M638" s="33"/>
      <c r="N638" s="33"/>
      <c r="O638" s="33"/>
      <c r="P638" s="33"/>
      <c r="Q638" s="28"/>
      <c r="R638" s="28"/>
      <c r="S638" s="28"/>
      <c r="T638" s="28"/>
      <c r="U638" s="28"/>
      <c r="V638" s="28"/>
      <c r="W638" s="28"/>
      <c r="X638" s="28"/>
      <c r="Y638" s="28"/>
      <c r="Z638" s="28"/>
      <c r="AA638" s="28"/>
    </row>
    <row r="639" ht="18.75" customHeight="1">
      <c r="A639" s="28"/>
      <c r="B639" s="28"/>
      <c r="C639" s="28"/>
      <c r="D639" s="28"/>
      <c r="E639" s="28"/>
      <c r="F639" s="28"/>
      <c r="G639" s="28"/>
      <c r="H639" s="28"/>
      <c r="I639" s="28"/>
      <c r="J639" s="28"/>
      <c r="K639" s="28"/>
      <c r="L639" s="28"/>
      <c r="M639" s="33"/>
      <c r="N639" s="33"/>
      <c r="O639" s="33"/>
      <c r="P639" s="33"/>
      <c r="Q639" s="28"/>
      <c r="R639" s="28"/>
      <c r="S639" s="28"/>
      <c r="T639" s="28"/>
      <c r="U639" s="28"/>
      <c r="V639" s="28"/>
      <c r="W639" s="28"/>
      <c r="X639" s="28"/>
      <c r="Y639" s="28"/>
      <c r="Z639" s="28"/>
      <c r="AA639" s="28"/>
    </row>
    <row r="640" ht="18.75" customHeight="1">
      <c r="A640" s="28"/>
      <c r="B640" s="28"/>
      <c r="C640" s="28"/>
      <c r="D640" s="28"/>
      <c r="E640" s="28"/>
      <c r="F640" s="28"/>
      <c r="G640" s="28"/>
      <c r="H640" s="28"/>
      <c r="I640" s="28"/>
      <c r="J640" s="28"/>
      <c r="K640" s="28"/>
      <c r="L640" s="28"/>
      <c r="M640" s="33"/>
      <c r="N640" s="33"/>
      <c r="O640" s="33"/>
      <c r="P640" s="33"/>
      <c r="Q640" s="28"/>
      <c r="R640" s="28"/>
      <c r="S640" s="28"/>
      <c r="T640" s="28"/>
      <c r="U640" s="28"/>
      <c r="V640" s="28"/>
      <c r="W640" s="28"/>
      <c r="X640" s="28"/>
      <c r="Y640" s="28"/>
      <c r="Z640" s="28"/>
      <c r="AA640" s="28"/>
    </row>
    <row r="641" ht="18.75" customHeight="1">
      <c r="A641" s="28"/>
      <c r="B641" s="28"/>
      <c r="C641" s="28"/>
      <c r="D641" s="28"/>
      <c r="E641" s="28"/>
      <c r="F641" s="28"/>
      <c r="G641" s="28"/>
      <c r="H641" s="28"/>
      <c r="I641" s="28"/>
      <c r="J641" s="28"/>
      <c r="K641" s="28"/>
      <c r="L641" s="28"/>
      <c r="M641" s="33"/>
      <c r="N641" s="33"/>
      <c r="O641" s="33"/>
      <c r="P641" s="33"/>
      <c r="Q641" s="28"/>
      <c r="R641" s="28"/>
      <c r="S641" s="28"/>
      <c r="T641" s="28"/>
      <c r="U641" s="28"/>
      <c r="V641" s="28"/>
      <c r="W641" s="28"/>
      <c r="X641" s="28"/>
      <c r="Y641" s="28"/>
      <c r="Z641" s="28"/>
      <c r="AA641" s="28"/>
    </row>
    <row r="642" ht="18.75" customHeight="1">
      <c r="A642" s="28"/>
      <c r="B642" s="28"/>
      <c r="C642" s="28"/>
      <c r="D642" s="28"/>
      <c r="E642" s="28"/>
      <c r="F642" s="28"/>
      <c r="G642" s="28"/>
      <c r="H642" s="28"/>
      <c r="I642" s="28"/>
      <c r="J642" s="28"/>
      <c r="K642" s="28"/>
      <c r="L642" s="28"/>
      <c r="M642" s="33"/>
      <c r="N642" s="33"/>
      <c r="O642" s="33"/>
      <c r="P642" s="33"/>
      <c r="Q642" s="28"/>
      <c r="R642" s="28"/>
      <c r="S642" s="28"/>
      <c r="T642" s="28"/>
      <c r="U642" s="28"/>
      <c r="V642" s="28"/>
      <c r="W642" s="28"/>
      <c r="X642" s="28"/>
      <c r="Y642" s="28"/>
      <c r="Z642" s="28"/>
      <c r="AA642" s="28"/>
    </row>
    <row r="643" ht="18.75" customHeight="1">
      <c r="A643" s="28"/>
      <c r="B643" s="28"/>
      <c r="C643" s="28"/>
      <c r="D643" s="28"/>
      <c r="E643" s="28"/>
      <c r="F643" s="28"/>
      <c r="G643" s="28"/>
      <c r="H643" s="28"/>
      <c r="I643" s="28"/>
      <c r="J643" s="28"/>
      <c r="K643" s="28"/>
      <c r="L643" s="28"/>
      <c r="M643" s="33"/>
      <c r="N643" s="33"/>
      <c r="O643" s="33"/>
      <c r="P643" s="33"/>
      <c r="Q643" s="28"/>
      <c r="R643" s="28"/>
      <c r="S643" s="28"/>
      <c r="T643" s="28"/>
      <c r="U643" s="28"/>
      <c r="V643" s="28"/>
      <c r="W643" s="28"/>
      <c r="X643" s="28"/>
      <c r="Y643" s="28"/>
      <c r="Z643" s="28"/>
      <c r="AA643" s="28"/>
    </row>
    <row r="644" ht="18.75" customHeight="1">
      <c r="A644" s="28"/>
      <c r="B644" s="28"/>
      <c r="C644" s="28"/>
      <c r="D644" s="28"/>
      <c r="E644" s="28"/>
      <c r="F644" s="28"/>
      <c r="G644" s="28"/>
      <c r="H644" s="28"/>
      <c r="I644" s="28"/>
      <c r="J644" s="28"/>
      <c r="K644" s="28"/>
      <c r="L644" s="28"/>
      <c r="M644" s="33"/>
      <c r="N644" s="33"/>
      <c r="O644" s="33"/>
      <c r="P644" s="33"/>
      <c r="Q644" s="28"/>
      <c r="R644" s="28"/>
      <c r="S644" s="28"/>
      <c r="T644" s="28"/>
      <c r="U644" s="28"/>
      <c r="V644" s="28"/>
      <c r="W644" s="28"/>
      <c r="X644" s="28"/>
      <c r="Y644" s="28"/>
      <c r="Z644" s="28"/>
      <c r="AA644" s="28"/>
    </row>
    <row r="645" ht="18.75" customHeight="1">
      <c r="A645" s="28"/>
      <c r="B645" s="28"/>
      <c r="C645" s="28"/>
      <c r="D645" s="28"/>
      <c r="E645" s="28"/>
      <c r="F645" s="28"/>
      <c r="G645" s="28"/>
      <c r="H645" s="28"/>
      <c r="I645" s="28"/>
      <c r="J645" s="28"/>
      <c r="K645" s="28"/>
      <c r="L645" s="28"/>
      <c r="M645" s="33"/>
      <c r="N645" s="33"/>
      <c r="O645" s="33"/>
      <c r="P645" s="33"/>
      <c r="Q645" s="28"/>
      <c r="R645" s="28"/>
      <c r="S645" s="28"/>
      <c r="T645" s="28"/>
      <c r="U645" s="28"/>
      <c r="V645" s="28"/>
      <c r="W645" s="28"/>
      <c r="X645" s="28"/>
      <c r="Y645" s="28"/>
      <c r="Z645" s="28"/>
      <c r="AA645" s="28"/>
    </row>
    <row r="646" ht="18.75" customHeight="1">
      <c r="A646" s="28"/>
      <c r="B646" s="28"/>
      <c r="C646" s="28"/>
      <c r="D646" s="28"/>
      <c r="E646" s="28"/>
      <c r="F646" s="28"/>
      <c r="G646" s="28"/>
      <c r="H646" s="28"/>
      <c r="I646" s="28"/>
      <c r="J646" s="28"/>
      <c r="K646" s="28"/>
      <c r="L646" s="28"/>
      <c r="M646" s="33"/>
      <c r="N646" s="33"/>
      <c r="O646" s="33"/>
      <c r="P646" s="33"/>
      <c r="Q646" s="28"/>
      <c r="R646" s="28"/>
      <c r="S646" s="28"/>
      <c r="T646" s="28"/>
      <c r="U646" s="28"/>
      <c r="V646" s="28"/>
      <c r="W646" s="28"/>
      <c r="X646" s="28"/>
      <c r="Y646" s="28"/>
      <c r="Z646" s="28"/>
      <c r="AA646" s="28"/>
    </row>
    <row r="647" ht="18.75" customHeight="1">
      <c r="A647" s="28"/>
      <c r="B647" s="28"/>
      <c r="C647" s="28"/>
      <c r="D647" s="28"/>
      <c r="E647" s="28"/>
      <c r="F647" s="28"/>
      <c r="G647" s="28"/>
      <c r="H647" s="28"/>
      <c r="I647" s="28"/>
      <c r="J647" s="28"/>
      <c r="K647" s="28"/>
      <c r="L647" s="28"/>
      <c r="M647" s="33"/>
      <c r="N647" s="33"/>
      <c r="O647" s="33"/>
      <c r="P647" s="33"/>
      <c r="Q647" s="28"/>
      <c r="R647" s="28"/>
      <c r="S647" s="28"/>
      <c r="T647" s="28"/>
      <c r="U647" s="28"/>
      <c r="V647" s="28"/>
      <c r="W647" s="28"/>
      <c r="X647" s="28"/>
      <c r="Y647" s="28"/>
      <c r="Z647" s="28"/>
      <c r="AA647" s="28"/>
    </row>
    <row r="648" ht="18.75" customHeight="1">
      <c r="A648" s="28"/>
      <c r="B648" s="28"/>
      <c r="C648" s="28"/>
      <c r="D648" s="28"/>
      <c r="E648" s="28"/>
      <c r="F648" s="28"/>
      <c r="G648" s="28"/>
      <c r="H648" s="28"/>
      <c r="I648" s="28"/>
      <c r="J648" s="28"/>
      <c r="K648" s="28"/>
      <c r="L648" s="28"/>
      <c r="M648" s="33"/>
      <c r="N648" s="33"/>
      <c r="O648" s="33"/>
      <c r="P648" s="33"/>
      <c r="Q648" s="28"/>
      <c r="R648" s="28"/>
      <c r="S648" s="28"/>
      <c r="T648" s="28"/>
      <c r="U648" s="28"/>
      <c r="V648" s="28"/>
      <c r="W648" s="28"/>
      <c r="X648" s="28"/>
      <c r="Y648" s="28"/>
      <c r="Z648" s="28"/>
      <c r="AA648" s="28"/>
    </row>
    <row r="649" ht="18.75" customHeight="1">
      <c r="A649" s="28"/>
      <c r="B649" s="28"/>
      <c r="C649" s="28"/>
      <c r="D649" s="28"/>
      <c r="E649" s="28"/>
      <c r="F649" s="28"/>
      <c r="G649" s="28"/>
      <c r="H649" s="28"/>
      <c r="I649" s="28"/>
      <c r="J649" s="28"/>
      <c r="K649" s="28"/>
      <c r="L649" s="28"/>
      <c r="M649" s="33"/>
      <c r="N649" s="33"/>
      <c r="O649" s="33"/>
      <c r="P649" s="33"/>
      <c r="Q649" s="28"/>
      <c r="R649" s="28"/>
      <c r="S649" s="28"/>
      <c r="T649" s="28"/>
      <c r="U649" s="28"/>
      <c r="V649" s="28"/>
      <c r="W649" s="28"/>
      <c r="X649" s="28"/>
      <c r="Y649" s="28"/>
      <c r="Z649" s="28"/>
      <c r="AA649" s="28"/>
    </row>
    <row r="650" ht="18.75" customHeight="1">
      <c r="A650" s="28"/>
      <c r="B650" s="28"/>
      <c r="C650" s="28"/>
      <c r="D650" s="28"/>
      <c r="E650" s="28"/>
      <c r="F650" s="28"/>
      <c r="G650" s="28"/>
      <c r="H650" s="28"/>
      <c r="I650" s="28"/>
      <c r="J650" s="28"/>
      <c r="K650" s="28"/>
      <c r="L650" s="28"/>
      <c r="M650" s="33"/>
      <c r="N650" s="33"/>
      <c r="O650" s="33"/>
      <c r="P650" s="33"/>
      <c r="Q650" s="28"/>
      <c r="R650" s="28"/>
      <c r="S650" s="28"/>
      <c r="T650" s="28"/>
      <c r="U650" s="28"/>
      <c r="V650" s="28"/>
      <c r="W650" s="28"/>
      <c r="X650" s="28"/>
      <c r="Y650" s="28"/>
      <c r="Z650" s="28"/>
      <c r="AA650" s="28"/>
    </row>
    <row r="651" ht="18.75" customHeight="1">
      <c r="A651" s="28"/>
      <c r="B651" s="28"/>
      <c r="C651" s="28"/>
      <c r="D651" s="28"/>
      <c r="E651" s="28"/>
      <c r="F651" s="28"/>
      <c r="G651" s="28"/>
      <c r="H651" s="28"/>
      <c r="I651" s="28"/>
      <c r="J651" s="28"/>
      <c r="K651" s="28"/>
      <c r="L651" s="28"/>
      <c r="M651" s="33"/>
      <c r="N651" s="33"/>
      <c r="O651" s="33"/>
      <c r="P651" s="33"/>
      <c r="Q651" s="28"/>
      <c r="R651" s="28"/>
      <c r="S651" s="28"/>
      <c r="T651" s="28"/>
      <c r="U651" s="28"/>
      <c r="V651" s="28"/>
      <c r="W651" s="28"/>
      <c r="X651" s="28"/>
      <c r="Y651" s="28"/>
      <c r="Z651" s="28"/>
      <c r="AA651" s="28"/>
    </row>
    <row r="652" ht="18.75" customHeight="1">
      <c r="A652" s="28"/>
      <c r="B652" s="28"/>
      <c r="C652" s="28"/>
      <c r="D652" s="28"/>
      <c r="E652" s="28"/>
      <c r="F652" s="28"/>
      <c r="G652" s="28"/>
      <c r="H652" s="28"/>
      <c r="I652" s="28"/>
      <c r="J652" s="28"/>
      <c r="K652" s="28"/>
      <c r="L652" s="28"/>
      <c r="M652" s="33"/>
      <c r="N652" s="33"/>
      <c r="O652" s="33"/>
      <c r="P652" s="33"/>
      <c r="Q652" s="28"/>
      <c r="R652" s="28"/>
      <c r="S652" s="28"/>
      <c r="T652" s="28"/>
      <c r="U652" s="28"/>
      <c r="V652" s="28"/>
      <c r="W652" s="28"/>
      <c r="X652" s="28"/>
      <c r="Y652" s="28"/>
      <c r="Z652" s="28"/>
      <c r="AA652" s="28"/>
    </row>
    <row r="653" ht="18.75" customHeight="1">
      <c r="A653" s="28"/>
      <c r="B653" s="28"/>
      <c r="C653" s="28"/>
      <c r="D653" s="28"/>
      <c r="E653" s="28"/>
      <c r="F653" s="28"/>
      <c r="G653" s="28"/>
      <c r="H653" s="28"/>
      <c r="I653" s="28"/>
      <c r="J653" s="28"/>
      <c r="K653" s="28"/>
      <c r="L653" s="28"/>
      <c r="M653" s="33"/>
      <c r="N653" s="33"/>
      <c r="O653" s="33"/>
      <c r="P653" s="33"/>
      <c r="Q653" s="28"/>
      <c r="R653" s="28"/>
      <c r="S653" s="28"/>
      <c r="T653" s="28"/>
      <c r="U653" s="28"/>
      <c r="V653" s="28"/>
      <c r="W653" s="28"/>
      <c r="X653" s="28"/>
      <c r="Y653" s="28"/>
      <c r="Z653" s="28"/>
      <c r="AA653" s="28"/>
    </row>
    <row r="654" ht="18.75" customHeight="1">
      <c r="A654" s="28"/>
      <c r="B654" s="28"/>
      <c r="C654" s="28"/>
      <c r="D654" s="28"/>
      <c r="E654" s="28"/>
      <c r="F654" s="28"/>
      <c r="G654" s="28"/>
      <c r="H654" s="28"/>
      <c r="I654" s="28"/>
      <c r="J654" s="28"/>
      <c r="K654" s="28"/>
      <c r="L654" s="28"/>
      <c r="M654" s="33"/>
      <c r="N654" s="33"/>
      <c r="O654" s="33"/>
      <c r="P654" s="33"/>
      <c r="Q654" s="28"/>
      <c r="R654" s="28"/>
      <c r="S654" s="28"/>
      <c r="T654" s="28"/>
      <c r="U654" s="28"/>
      <c r="V654" s="28"/>
      <c r="W654" s="28"/>
      <c r="X654" s="28"/>
      <c r="Y654" s="28"/>
      <c r="Z654" s="28"/>
      <c r="AA654" s="28"/>
    </row>
    <row r="655" ht="18.75" customHeight="1">
      <c r="A655" s="28"/>
      <c r="B655" s="28"/>
      <c r="C655" s="28"/>
      <c r="D655" s="28"/>
      <c r="E655" s="28"/>
      <c r="F655" s="28"/>
      <c r="G655" s="28"/>
      <c r="H655" s="28"/>
      <c r="I655" s="28"/>
      <c r="J655" s="28"/>
      <c r="K655" s="28"/>
      <c r="L655" s="28"/>
      <c r="M655" s="33"/>
      <c r="N655" s="33"/>
      <c r="O655" s="33"/>
      <c r="P655" s="33"/>
      <c r="Q655" s="28"/>
      <c r="R655" s="28"/>
      <c r="S655" s="28"/>
      <c r="T655" s="28"/>
      <c r="U655" s="28"/>
      <c r="V655" s="28"/>
      <c r="W655" s="28"/>
      <c r="X655" s="28"/>
      <c r="Y655" s="28"/>
      <c r="Z655" s="28"/>
      <c r="AA655" s="28"/>
    </row>
    <row r="656" ht="18.75" customHeight="1">
      <c r="A656" s="28"/>
      <c r="B656" s="28"/>
      <c r="C656" s="28"/>
      <c r="D656" s="28"/>
      <c r="E656" s="28"/>
      <c r="F656" s="28"/>
      <c r="G656" s="28"/>
      <c r="H656" s="28"/>
      <c r="I656" s="28"/>
      <c r="J656" s="28"/>
      <c r="K656" s="28"/>
      <c r="L656" s="28"/>
      <c r="M656" s="33"/>
      <c r="N656" s="33"/>
      <c r="O656" s="33"/>
      <c r="P656" s="33"/>
      <c r="Q656" s="28"/>
      <c r="R656" s="28"/>
      <c r="S656" s="28"/>
      <c r="T656" s="28"/>
      <c r="U656" s="28"/>
      <c r="V656" s="28"/>
      <c r="W656" s="28"/>
      <c r="X656" s="28"/>
      <c r="Y656" s="28"/>
      <c r="Z656" s="28"/>
      <c r="AA656" s="28"/>
    </row>
    <row r="657" ht="18.75" customHeight="1">
      <c r="A657" s="28"/>
      <c r="B657" s="28"/>
      <c r="C657" s="28"/>
      <c r="D657" s="28"/>
      <c r="E657" s="28"/>
      <c r="F657" s="28"/>
      <c r="G657" s="28"/>
      <c r="H657" s="28"/>
      <c r="I657" s="28"/>
      <c r="J657" s="28"/>
      <c r="K657" s="28"/>
      <c r="L657" s="28"/>
      <c r="M657" s="33"/>
      <c r="N657" s="33"/>
      <c r="O657" s="33"/>
      <c r="P657" s="33"/>
      <c r="Q657" s="28"/>
      <c r="R657" s="28"/>
      <c r="S657" s="28"/>
      <c r="T657" s="28"/>
      <c r="U657" s="28"/>
      <c r="V657" s="28"/>
      <c r="W657" s="28"/>
      <c r="X657" s="28"/>
      <c r="Y657" s="28"/>
      <c r="Z657" s="28"/>
      <c r="AA657" s="28"/>
    </row>
    <row r="658" ht="18.75" customHeight="1">
      <c r="A658" s="28"/>
      <c r="B658" s="28"/>
      <c r="C658" s="28"/>
      <c r="D658" s="28"/>
      <c r="E658" s="28"/>
      <c r="F658" s="28"/>
      <c r="G658" s="28"/>
      <c r="H658" s="28"/>
      <c r="I658" s="28"/>
      <c r="J658" s="28"/>
      <c r="K658" s="28"/>
      <c r="L658" s="28"/>
      <c r="M658" s="33"/>
      <c r="N658" s="33"/>
      <c r="O658" s="33"/>
      <c r="P658" s="33"/>
      <c r="Q658" s="28"/>
      <c r="R658" s="28"/>
      <c r="S658" s="28"/>
      <c r="T658" s="28"/>
      <c r="U658" s="28"/>
      <c r="V658" s="28"/>
      <c r="W658" s="28"/>
      <c r="X658" s="28"/>
      <c r="Y658" s="28"/>
      <c r="Z658" s="28"/>
      <c r="AA658" s="28"/>
    </row>
    <row r="659" ht="18.75" customHeight="1">
      <c r="A659" s="28"/>
      <c r="B659" s="28"/>
      <c r="C659" s="28"/>
      <c r="D659" s="28"/>
      <c r="E659" s="28"/>
      <c r="F659" s="28"/>
      <c r="G659" s="28"/>
      <c r="H659" s="28"/>
      <c r="I659" s="28"/>
      <c r="J659" s="28"/>
      <c r="K659" s="28"/>
      <c r="L659" s="28"/>
      <c r="M659" s="33"/>
      <c r="N659" s="33"/>
      <c r="O659" s="33"/>
      <c r="P659" s="33"/>
      <c r="Q659" s="28"/>
      <c r="R659" s="28"/>
      <c r="S659" s="28"/>
      <c r="T659" s="28"/>
      <c r="U659" s="28"/>
      <c r="V659" s="28"/>
      <c r="W659" s="28"/>
      <c r="X659" s="28"/>
      <c r="Y659" s="28"/>
      <c r="Z659" s="28"/>
      <c r="AA659" s="28"/>
    </row>
    <row r="660" ht="18.75" customHeight="1">
      <c r="A660" s="28"/>
      <c r="B660" s="28"/>
      <c r="C660" s="28"/>
      <c r="D660" s="28"/>
      <c r="E660" s="28"/>
      <c r="F660" s="28"/>
      <c r="G660" s="28"/>
      <c r="H660" s="28"/>
      <c r="I660" s="28"/>
      <c r="J660" s="28"/>
      <c r="K660" s="28"/>
      <c r="L660" s="28"/>
      <c r="M660" s="33"/>
      <c r="N660" s="33"/>
      <c r="O660" s="33"/>
      <c r="P660" s="33"/>
      <c r="Q660" s="28"/>
      <c r="R660" s="28"/>
      <c r="S660" s="28"/>
      <c r="T660" s="28"/>
      <c r="U660" s="28"/>
      <c r="V660" s="28"/>
      <c r="W660" s="28"/>
      <c r="X660" s="28"/>
      <c r="Y660" s="28"/>
      <c r="Z660" s="28"/>
      <c r="AA660" s="28"/>
    </row>
    <row r="661" ht="18.75" customHeight="1">
      <c r="A661" s="28"/>
      <c r="B661" s="28"/>
      <c r="C661" s="28"/>
      <c r="D661" s="28"/>
      <c r="E661" s="28"/>
      <c r="F661" s="28"/>
      <c r="G661" s="28"/>
      <c r="H661" s="28"/>
      <c r="I661" s="28"/>
      <c r="J661" s="28"/>
      <c r="K661" s="28"/>
      <c r="L661" s="28"/>
      <c r="M661" s="33"/>
      <c r="N661" s="33"/>
      <c r="O661" s="33"/>
      <c r="P661" s="33"/>
      <c r="Q661" s="28"/>
      <c r="R661" s="28"/>
      <c r="S661" s="28"/>
      <c r="T661" s="28"/>
      <c r="U661" s="28"/>
      <c r="V661" s="28"/>
      <c r="W661" s="28"/>
      <c r="X661" s="28"/>
      <c r="Y661" s="28"/>
      <c r="Z661" s="28"/>
      <c r="AA661" s="28"/>
    </row>
    <row r="662" ht="18.75" customHeight="1">
      <c r="A662" s="28"/>
      <c r="B662" s="28"/>
      <c r="C662" s="28"/>
      <c r="D662" s="28"/>
      <c r="E662" s="28"/>
      <c r="F662" s="28"/>
      <c r="G662" s="28"/>
      <c r="H662" s="28"/>
      <c r="I662" s="28"/>
      <c r="J662" s="28"/>
      <c r="K662" s="28"/>
      <c r="L662" s="28"/>
      <c r="M662" s="33"/>
      <c r="N662" s="33"/>
      <c r="O662" s="33"/>
      <c r="P662" s="33"/>
      <c r="Q662" s="28"/>
      <c r="R662" s="28"/>
      <c r="S662" s="28"/>
      <c r="T662" s="28"/>
      <c r="U662" s="28"/>
      <c r="V662" s="28"/>
      <c r="W662" s="28"/>
      <c r="X662" s="28"/>
      <c r="Y662" s="28"/>
      <c r="Z662" s="28"/>
      <c r="AA662" s="28"/>
    </row>
    <row r="663" ht="18.75" customHeight="1">
      <c r="A663" s="28"/>
      <c r="B663" s="28"/>
      <c r="C663" s="28"/>
      <c r="D663" s="28"/>
      <c r="E663" s="28"/>
      <c r="F663" s="28"/>
      <c r="G663" s="28"/>
      <c r="H663" s="28"/>
      <c r="I663" s="28"/>
      <c r="J663" s="28"/>
      <c r="K663" s="28"/>
      <c r="L663" s="28"/>
      <c r="M663" s="33"/>
      <c r="N663" s="33"/>
      <c r="O663" s="33"/>
      <c r="P663" s="33"/>
      <c r="Q663" s="28"/>
      <c r="R663" s="28"/>
      <c r="S663" s="28"/>
      <c r="T663" s="28"/>
      <c r="U663" s="28"/>
      <c r="V663" s="28"/>
      <c r="W663" s="28"/>
      <c r="X663" s="28"/>
      <c r="Y663" s="28"/>
      <c r="Z663" s="28"/>
      <c r="AA663" s="28"/>
    </row>
    <row r="664" ht="18.75" customHeight="1">
      <c r="A664" s="28"/>
      <c r="B664" s="28"/>
      <c r="C664" s="28"/>
      <c r="D664" s="28"/>
      <c r="E664" s="28"/>
      <c r="F664" s="28"/>
      <c r="G664" s="28"/>
      <c r="H664" s="28"/>
      <c r="I664" s="28"/>
      <c r="J664" s="28"/>
      <c r="K664" s="28"/>
      <c r="L664" s="28"/>
      <c r="M664" s="33"/>
      <c r="N664" s="33"/>
      <c r="O664" s="33"/>
      <c r="P664" s="33"/>
      <c r="Q664" s="28"/>
      <c r="R664" s="28"/>
      <c r="S664" s="28"/>
      <c r="T664" s="28"/>
      <c r="U664" s="28"/>
      <c r="V664" s="28"/>
      <c r="W664" s="28"/>
      <c r="X664" s="28"/>
      <c r="Y664" s="28"/>
      <c r="Z664" s="28"/>
      <c r="AA664" s="28"/>
    </row>
    <row r="665" ht="18.75" customHeight="1">
      <c r="A665" s="28"/>
      <c r="B665" s="28"/>
      <c r="C665" s="28"/>
      <c r="D665" s="28"/>
      <c r="E665" s="28"/>
      <c r="F665" s="28"/>
      <c r="G665" s="28"/>
      <c r="H665" s="28"/>
      <c r="I665" s="28"/>
      <c r="J665" s="28"/>
      <c r="K665" s="28"/>
      <c r="L665" s="28"/>
      <c r="M665" s="33"/>
      <c r="N665" s="33"/>
      <c r="O665" s="33"/>
      <c r="P665" s="33"/>
      <c r="Q665" s="28"/>
      <c r="R665" s="28"/>
      <c r="S665" s="28"/>
      <c r="T665" s="28"/>
      <c r="U665" s="28"/>
      <c r="V665" s="28"/>
      <c r="W665" s="28"/>
      <c r="X665" s="28"/>
      <c r="Y665" s="28"/>
      <c r="Z665" s="28"/>
      <c r="AA665" s="28"/>
    </row>
    <row r="666" ht="18.75" customHeight="1">
      <c r="A666" s="28"/>
      <c r="B666" s="28"/>
      <c r="C666" s="28"/>
      <c r="D666" s="28"/>
      <c r="E666" s="28"/>
      <c r="F666" s="28"/>
      <c r="G666" s="28"/>
      <c r="H666" s="28"/>
      <c r="I666" s="28"/>
      <c r="J666" s="28"/>
      <c r="K666" s="28"/>
      <c r="L666" s="28"/>
      <c r="M666" s="33"/>
      <c r="N666" s="33"/>
      <c r="O666" s="33"/>
      <c r="P666" s="33"/>
      <c r="Q666" s="28"/>
      <c r="R666" s="28"/>
      <c r="S666" s="28"/>
      <c r="T666" s="28"/>
      <c r="U666" s="28"/>
      <c r="V666" s="28"/>
      <c r="W666" s="28"/>
      <c r="X666" s="28"/>
      <c r="Y666" s="28"/>
      <c r="Z666" s="28"/>
      <c r="AA666" s="28"/>
    </row>
    <row r="667" ht="18.75" customHeight="1">
      <c r="A667" s="28"/>
      <c r="B667" s="28"/>
      <c r="C667" s="28"/>
      <c r="D667" s="28"/>
      <c r="E667" s="28"/>
      <c r="F667" s="28"/>
      <c r="G667" s="28"/>
      <c r="H667" s="28"/>
      <c r="I667" s="28"/>
      <c r="J667" s="28"/>
      <c r="K667" s="28"/>
      <c r="L667" s="28"/>
      <c r="M667" s="33"/>
      <c r="N667" s="33"/>
      <c r="O667" s="33"/>
      <c r="P667" s="33"/>
      <c r="Q667" s="28"/>
      <c r="R667" s="28"/>
      <c r="S667" s="28"/>
      <c r="T667" s="28"/>
      <c r="U667" s="28"/>
      <c r="V667" s="28"/>
      <c r="W667" s="28"/>
      <c r="X667" s="28"/>
      <c r="Y667" s="28"/>
      <c r="Z667" s="28"/>
      <c r="AA667" s="28"/>
    </row>
    <row r="668" ht="18.75" customHeight="1">
      <c r="A668" s="28"/>
      <c r="B668" s="28"/>
      <c r="C668" s="28"/>
      <c r="D668" s="28"/>
      <c r="E668" s="28"/>
      <c r="F668" s="28"/>
      <c r="G668" s="28"/>
      <c r="H668" s="28"/>
      <c r="I668" s="28"/>
      <c r="J668" s="28"/>
      <c r="K668" s="28"/>
      <c r="L668" s="28"/>
      <c r="M668" s="33"/>
      <c r="N668" s="33"/>
      <c r="O668" s="33"/>
      <c r="P668" s="33"/>
      <c r="Q668" s="28"/>
      <c r="R668" s="28"/>
      <c r="S668" s="28"/>
      <c r="T668" s="28"/>
      <c r="U668" s="28"/>
      <c r="V668" s="28"/>
      <c r="W668" s="28"/>
      <c r="X668" s="28"/>
      <c r="Y668" s="28"/>
      <c r="Z668" s="28"/>
      <c r="AA668" s="28"/>
    </row>
    <row r="669" ht="18.75" customHeight="1">
      <c r="A669" s="28"/>
      <c r="B669" s="28"/>
      <c r="C669" s="28"/>
      <c r="D669" s="28"/>
      <c r="E669" s="28"/>
      <c r="F669" s="28"/>
      <c r="G669" s="28"/>
      <c r="H669" s="28"/>
      <c r="I669" s="28"/>
      <c r="J669" s="28"/>
      <c r="K669" s="28"/>
      <c r="L669" s="28"/>
      <c r="M669" s="33"/>
      <c r="N669" s="33"/>
      <c r="O669" s="33"/>
      <c r="P669" s="33"/>
      <c r="Q669" s="28"/>
      <c r="R669" s="28"/>
      <c r="S669" s="28"/>
      <c r="T669" s="28"/>
      <c r="U669" s="28"/>
      <c r="V669" s="28"/>
      <c r="W669" s="28"/>
      <c r="X669" s="28"/>
      <c r="Y669" s="28"/>
      <c r="Z669" s="28"/>
      <c r="AA669" s="28"/>
    </row>
    <row r="670" ht="18.75" customHeight="1">
      <c r="A670" s="28"/>
      <c r="B670" s="28"/>
      <c r="C670" s="28"/>
      <c r="D670" s="28"/>
      <c r="E670" s="28"/>
      <c r="F670" s="28"/>
      <c r="G670" s="28"/>
      <c r="H670" s="28"/>
      <c r="I670" s="28"/>
      <c r="J670" s="28"/>
      <c r="K670" s="28"/>
      <c r="L670" s="28"/>
      <c r="M670" s="33"/>
      <c r="N670" s="33"/>
      <c r="O670" s="33"/>
      <c r="P670" s="33"/>
      <c r="Q670" s="28"/>
      <c r="R670" s="28"/>
      <c r="S670" s="28"/>
      <c r="T670" s="28"/>
      <c r="U670" s="28"/>
      <c r="V670" s="28"/>
      <c r="W670" s="28"/>
      <c r="X670" s="28"/>
      <c r="Y670" s="28"/>
      <c r="Z670" s="28"/>
      <c r="AA670" s="28"/>
    </row>
    <row r="671" ht="18.75" customHeight="1">
      <c r="A671" s="28"/>
      <c r="B671" s="28"/>
      <c r="C671" s="28"/>
      <c r="D671" s="28"/>
      <c r="E671" s="28"/>
      <c r="F671" s="28"/>
      <c r="G671" s="28"/>
      <c r="H671" s="28"/>
      <c r="I671" s="28"/>
      <c r="J671" s="28"/>
      <c r="K671" s="28"/>
      <c r="L671" s="28"/>
      <c r="M671" s="33"/>
      <c r="N671" s="33"/>
      <c r="O671" s="33"/>
      <c r="P671" s="33"/>
      <c r="Q671" s="28"/>
      <c r="R671" s="28"/>
      <c r="S671" s="28"/>
      <c r="T671" s="28"/>
      <c r="U671" s="28"/>
      <c r="V671" s="28"/>
      <c r="W671" s="28"/>
      <c r="X671" s="28"/>
      <c r="Y671" s="28"/>
      <c r="Z671" s="28"/>
      <c r="AA671" s="28"/>
    </row>
    <row r="672" ht="18.75" customHeight="1">
      <c r="A672" s="28"/>
      <c r="B672" s="28"/>
      <c r="C672" s="28"/>
      <c r="D672" s="28"/>
      <c r="E672" s="28"/>
      <c r="F672" s="28"/>
      <c r="G672" s="28"/>
      <c r="H672" s="28"/>
      <c r="I672" s="28"/>
      <c r="J672" s="28"/>
      <c r="K672" s="28"/>
      <c r="L672" s="28"/>
      <c r="M672" s="33"/>
      <c r="N672" s="33"/>
      <c r="O672" s="33"/>
      <c r="P672" s="33"/>
      <c r="Q672" s="28"/>
      <c r="R672" s="28"/>
      <c r="S672" s="28"/>
      <c r="T672" s="28"/>
      <c r="U672" s="28"/>
      <c r="V672" s="28"/>
      <c r="W672" s="28"/>
      <c r="X672" s="28"/>
      <c r="Y672" s="28"/>
      <c r="Z672" s="28"/>
      <c r="AA672" s="28"/>
    </row>
    <row r="673" ht="18.75" customHeight="1">
      <c r="A673" s="28"/>
      <c r="B673" s="28"/>
      <c r="C673" s="28"/>
      <c r="D673" s="28"/>
      <c r="E673" s="28"/>
      <c r="F673" s="28"/>
      <c r="G673" s="28"/>
      <c r="H673" s="28"/>
      <c r="I673" s="28"/>
      <c r="J673" s="28"/>
      <c r="K673" s="28"/>
      <c r="L673" s="28"/>
      <c r="M673" s="33"/>
      <c r="N673" s="33"/>
      <c r="O673" s="33"/>
      <c r="P673" s="33"/>
      <c r="Q673" s="28"/>
      <c r="R673" s="28"/>
      <c r="S673" s="28"/>
      <c r="T673" s="28"/>
      <c r="U673" s="28"/>
      <c r="V673" s="28"/>
      <c r="W673" s="28"/>
      <c r="X673" s="28"/>
      <c r="Y673" s="28"/>
      <c r="Z673" s="28"/>
      <c r="AA673" s="28"/>
    </row>
    <row r="674" ht="18.75" customHeight="1">
      <c r="A674" s="28"/>
      <c r="B674" s="28"/>
      <c r="C674" s="28"/>
      <c r="D674" s="28"/>
      <c r="E674" s="28"/>
      <c r="F674" s="28"/>
      <c r="G674" s="28"/>
      <c r="H674" s="28"/>
      <c r="I674" s="28"/>
      <c r="J674" s="28"/>
      <c r="K674" s="28"/>
      <c r="L674" s="28"/>
      <c r="M674" s="33"/>
      <c r="N674" s="33"/>
      <c r="O674" s="33"/>
      <c r="P674" s="33"/>
      <c r="Q674" s="28"/>
      <c r="R674" s="28"/>
      <c r="S674" s="28"/>
      <c r="T674" s="28"/>
      <c r="U674" s="28"/>
      <c r="V674" s="28"/>
      <c r="W674" s="28"/>
      <c r="X674" s="28"/>
      <c r="Y674" s="28"/>
      <c r="Z674" s="28"/>
      <c r="AA674" s="28"/>
    </row>
    <row r="675" ht="18.75" customHeight="1">
      <c r="A675" s="28"/>
      <c r="B675" s="28"/>
      <c r="C675" s="28"/>
      <c r="D675" s="28"/>
      <c r="E675" s="28"/>
      <c r="F675" s="28"/>
      <c r="G675" s="28"/>
      <c r="H675" s="28"/>
      <c r="I675" s="28"/>
      <c r="J675" s="28"/>
      <c r="K675" s="28"/>
      <c r="L675" s="28"/>
      <c r="M675" s="33"/>
      <c r="N675" s="33"/>
      <c r="O675" s="33"/>
      <c r="P675" s="33"/>
      <c r="Q675" s="28"/>
      <c r="R675" s="28"/>
      <c r="S675" s="28"/>
      <c r="T675" s="28"/>
      <c r="U675" s="28"/>
      <c r="V675" s="28"/>
      <c r="W675" s="28"/>
      <c r="X675" s="28"/>
      <c r="Y675" s="28"/>
      <c r="Z675" s="28"/>
      <c r="AA675" s="28"/>
    </row>
    <row r="676" ht="18.75" customHeight="1">
      <c r="A676" s="28"/>
      <c r="B676" s="28"/>
      <c r="C676" s="28"/>
      <c r="D676" s="28"/>
      <c r="E676" s="28"/>
      <c r="F676" s="28"/>
      <c r="G676" s="28"/>
      <c r="H676" s="28"/>
      <c r="I676" s="28"/>
      <c r="J676" s="28"/>
      <c r="K676" s="28"/>
      <c r="L676" s="28"/>
      <c r="M676" s="33"/>
      <c r="N676" s="33"/>
      <c r="O676" s="33"/>
      <c r="P676" s="33"/>
      <c r="Q676" s="28"/>
      <c r="R676" s="28"/>
      <c r="S676" s="28"/>
      <c r="T676" s="28"/>
      <c r="U676" s="28"/>
      <c r="V676" s="28"/>
      <c r="W676" s="28"/>
      <c r="X676" s="28"/>
      <c r="Y676" s="28"/>
      <c r="Z676" s="28"/>
      <c r="AA676" s="28"/>
    </row>
    <row r="677" ht="18.75" customHeight="1">
      <c r="A677" s="28"/>
      <c r="B677" s="28"/>
      <c r="C677" s="28"/>
      <c r="D677" s="28"/>
      <c r="E677" s="28"/>
      <c r="F677" s="28"/>
      <c r="G677" s="28"/>
      <c r="H677" s="28"/>
      <c r="I677" s="28"/>
      <c r="J677" s="28"/>
      <c r="K677" s="28"/>
      <c r="L677" s="28"/>
      <c r="M677" s="33"/>
      <c r="N677" s="33"/>
      <c r="O677" s="33"/>
      <c r="P677" s="33"/>
      <c r="Q677" s="28"/>
      <c r="R677" s="28"/>
      <c r="S677" s="28"/>
      <c r="T677" s="28"/>
      <c r="U677" s="28"/>
      <c r="V677" s="28"/>
      <c r="W677" s="28"/>
      <c r="X677" s="28"/>
      <c r="Y677" s="28"/>
      <c r="Z677" s="28"/>
      <c r="AA677" s="28"/>
    </row>
    <row r="678" ht="18.75" customHeight="1">
      <c r="A678" s="28"/>
      <c r="B678" s="28"/>
      <c r="C678" s="28"/>
      <c r="D678" s="28"/>
      <c r="E678" s="28"/>
      <c r="F678" s="28"/>
      <c r="G678" s="28"/>
      <c r="H678" s="28"/>
      <c r="I678" s="28"/>
      <c r="J678" s="28"/>
      <c r="K678" s="28"/>
      <c r="L678" s="28"/>
      <c r="M678" s="33"/>
      <c r="N678" s="33"/>
      <c r="O678" s="33"/>
      <c r="P678" s="33"/>
      <c r="Q678" s="28"/>
      <c r="R678" s="28"/>
      <c r="S678" s="28"/>
      <c r="T678" s="28"/>
      <c r="U678" s="28"/>
      <c r="V678" s="28"/>
      <c r="W678" s="28"/>
      <c r="X678" s="28"/>
      <c r="Y678" s="28"/>
      <c r="Z678" s="28"/>
      <c r="AA678" s="28"/>
    </row>
    <row r="679" ht="18.75" customHeight="1">
      <c r="A679" s="28"/>
      <c r="B679" s="28"/>
      <c r="C679" s="28"/>
      <c r="D679" s="28"/>
      <c r="E679" s="28"/>
      <c r="F679" s="28"/>
      <c r="G679" s="28"/>
      <c r="H679" s="28"/>
      <c r="I679" s="28"/>
      <c r="J679" s="28"/>
      <c r="K679" s="28"/>
      <c r="L679" s="28"/>
      <c r="M679" s="33"/>
      <c r="N679" s="33"/>
      <c r="O679" s="33"/>
      <c r="P679" s="33"/>
      <c r="Q679" s="28"/>
      <c r="R679" s="28"/>
      <c r="S679" s="28"/>
      <c r="T679" s="28"/>
      <c r="U679" s="28"/>
      <c r="V679" s="28"/>
      <c r="W679" s="28"/>
      <c r="X679" s="28"/>
      <c r="Y679" s="28"/>
      <c r="Z679" s="28"/>
      <c r="AA679" s="28"/>
    </row>
    <row r="680" ht="18.75" customHeight="1">
      <c r="A680" s="28"/>
      <c r="B680" s="28"/>
      <c r="C680" s="28"/>
      <c r="D680" s="28"/>
      <c r="E680" s="28"/>
      <c r="F680" s="28"/>
      <c r="G680" s="28"/>
      <c r="H680" s="28"/>
      <c r="I680" s="28"/>
      <c r="J680" s="28"/>
      <c r="K680" s="28"/>
      <c r="L680" s="28"/>
      <c r="M680" s="33"/>
      <c r="N680" s="33"/>
      <c r="O680" s="33"/>
      <c r="P680" s="33"/>
      <c r="Q680" s="28"/>
      <c r="R680" s="28"/>
      <c r="S680" s="28"/>
      <c r="T680" s="28"/>
      <c r="U680" s="28"/>
      <c r="V680" s="28"/>
      <c r="W680" s="28"/>
      <c r="X680" s="28"/>
      <c r="Y680" s="28"/>
      <c r="Z680" s="28"/>
      <c r="AA680" s="28"/>
    </row>
    <row r="681" ht="18.75" customHeight="1">
      <c r="A681" s="28"/>
      <c r="B681" s="28"/>
      <c r="C681" s="28"/>
      <c r="D681" s="28"/>
      <c r="E681" s="28"/>
      <c r="F681" s="28"/>
      <c r="G681" s="28"/>
      <c r="H681" s="28"/>
      <c r="I681" s="28"/>
      <c r="J681" s="28"/>
      <c r="K681" s="28"/>
      <c r="L681" s="28"/>
      <c r="M681" s="33"/>
      <c r="N681" s="33"/>
      <c r="O681" s="33"/>
      <c r="P681" s="33"/>
      <c r="Q681" s="28"/>
      <c r="R681" s="28"/>
      <c r="S681" s="28"/>
      <c r="T681" s="28"/>
      <c r="U681" s="28"/>
      <c r="V681" s="28"/>
      <c r="W681" s="28"/>
      <c r="X681" s="28"/>
      <c r="Y681" s="28"/>
      <c r="Z681" s="28"/>
      <c r="AA681" s="28"/>
    </row>
    <row r="682" ht="18.75" customHeight="1">
      <c r="A682" s="28"/>
      <c r="B682" s="28"/>
      <c r="C682" s="28"/>
      <c r="D682" s="28"/>
      <c r="E682" s="28"/>
      <c r="F682" s="28"/>
      <c r="G682" s="28"/>
      <c r="H682" s="28"/>
      <c r="I682" s="28"/>
      <c r="J682" s="28"/>
      <c r="K682" s="28"/>
      <c r="L682" s="28"/>
      <c r="M682" s="33"/>
      <c r="N682" s="33"/>
      <c r="O682" s="33"/>
      <c r="P682" s="33"/>
      <c r="Q682" s="28"/>
      <c r="R682" s="28"/>
      <c r="S682" s="28"/>
      <c r="T682" s="28"/>
      <c r="U682" s="28"/>
      <c r="V682" s="28"/>
      <c r="W682" s="28"/>
      <c r="X682" s="28"/>
      <c r="Y682" s="28"/>
      <c r="Z682" s="28"/>
      <c r="AA682" s="28"/>
    </row>
    <row r="683" ht="18.75" customHeight="1">
      <c r="A683" s="28"/>
      <c r="B683" s="28"/>
      <c r="C683" s="28"/>
      <c r="D683" s="28"/>
      <c r="E683" s="28"/>
      <c r="F683" s="28"/>
      <c r="G683" s="28"/>
      <c r="H683" s="28"/>
      <c r="I683" s="28"/>
      <c r="J683" s="28"/>
      <c r="K683" s="28"/>
      <c r="L683" s="28"/>
      <c r="M683" s="33"/>
      <c r="N683" s="33"/>
      <c r="O683" s="33"/>
      <c r="P683" s="33"/>
      <c r="Q683" s="28"/>
      <c r="R683" s="28"/>
      <c r="S683" s="28"/>
      <c r="T683" s="28"/>
      <c r="U683" s="28"/>
      <c r="V683" s="28"/>
      <c r="W683" s="28"/>
      <c r="X683" s="28"/>
      <c r="Y683" s="28"/>
      <c r="Z683" s="28"/>
      <c r="AA683" s="28"/>
    </row>
    <row r="684" ht="18.75" customHeight="1">
      <c r="A684" s="28"/>
      <c r="B684" s="28"/>
      <c r="C684" s="28"/>
      <c r="D684" s="28"/>
      <c r="E684" s="28"/>
      <c r="F684" s="28"/>
      <c r="G684" s="28"/>
      <c r="H684" s="28"/>
      <c r="I684" s="28"/>
      <c r="J684" s="28"/>
      <c r="K684" s="28"/>
      <c r="L684" s="28"/>
      <c r="M684" s="33"/>
      <c r="N684" s="33"/>
      <c r="O684" s="33"/>
      <c r="P684" s="33"/>
      <c r="Q684" s="28"/>
      <c r="R684" s="28"/>
      <c r="S684" s="28"/>
      <c r="T684" s="28"/>
      <c r="U684" s="28"/>
      <c r="V684" s="28"/>
      <c r="W684" s="28"/>
      <c r="X684" s="28"/>
      <c r="Y684" s="28"/>
      <c r="Z684" s="28"/>
      <c r="AA684" s="28"/>
    </row>
    <row r="685" ht="18.75" customHeight="1">
      <c r="A685" s="28"/>
      <c r="B685" s="28"/>
      <c r="C685" s="28"/>
      <c r="D685" s="28"/>
      <c r="E685" s="28"/>
      <c r="F685" s="28"/>
      <c r="G685" s="28"/>
      <c r="H685" s="28"/>
      <c r="I685" s="28"/>
      <c r="J685" s="28"/>
      <c r="K685" s="28"/>
      <c r="L685" s="28"/>
      <c r="M685" s="33"/>
      <c r="N685" s="33"/>
      <c r="O685" s="33"/>
      <c r="P685" s="33"/>
      <c r="Q685" s="28"/>
      <c r="R685" s="28"/>
      <c r="S685" s="28"/>
      <c r="T685" s="28"/>
      <c r="U685" s="28"/>
      <c r="V685" s="28"/>
      <c r="W685" s="28"/>
      <c r="X685" s="28"/>
      <c r="Y685" s="28"/>
      <c r="Z685" s="28"/>
      <c r="AA685" s="28"/>
    </row>
    <row r="686" ht="18.75" customHeight="1">
      <c r="A686" s="28"/>
      <c r="B686" s="28"/>
      <c r="C686" s="28"/>
      <c r="D686" s="28"/>
      <c r="E686" s="28"/>
      <c r="F686" s="28"/>
      <c r="G686" s="28"/>
      <c r="H686" s="28"/>
      <c r="I686" s="28"/>
      <c r="J686" s="28"/>
      <c r="K686" s="28"/>
      <c r="L686" s="28"/>
      <c r="M686" s="33"/>
      <c r="N686" s="33"/>
      <c r="O686" s="33"/>
      <c r="P686" s="33"/>
      <c r="Q686" s="28"/>
      <c r="R686" s="28"/>
      <c r="S686" s="28"/>
      <c r="T686" s="28"/>
      <c r="U686" s="28"/>
      <c r="V686" s="28"/>
      <c r="W686" s="28"/>
      <c r="X686" s="28"/>
      <c r="Y686" s="28"/>
      <c r="Z686" s="28"/>
      <c r="AA686" s="28"/>
    </row>
    <row r="687" ht="18.75" customHeight="1">
      <c r="A687" s="28"/>
      <c r="B687" s="28"/>
      <c r="C687" s="28"/>
      <c r="D687" s="28"/>
      <c r="E687" s="28"/>
      <c r="F687" s="28"/>
      <c r="G687" s="28"/>
      <c r="H687" s="28"/>
      <c r="I687" s="28"/>
      <c r="J687" s="28"/>
      <c r="K687" s="28"/>
      <c r="L687" s="28"/>
      <c r="M687" s="33"/>
      <c r="N687" s="33"/>
      <c r="O687" s="33"/>
      <c r="P687" s="33"/>
      <c r="Q687" s="28"/>
      <c r="R687" s="28"/>
      <c r="S687" s="28"/>
      <c r="T687" s="28"/>
      <c r="U687" s="28"/>
      <c r="V687" s="28"/>
      <c r="W687" s="28"/>
      <c r="X687" s="28"/>
      <c r="Y687" s="28"/>
      <c r="Z687" s="28"/>
      <c r="AA687" s="28"/>
    </row>
    <row r="688" ht="18.75" customHeight="1">
      <c r="A688" s="28"/>
      <c r="B688" s="28"/>
      <c r="C688" s="28"/>
      <c r="D688" s="28"/>
      <c r="E688" s="28"/>
      <c r="F688" s="28"/>
      <c r="G688" s="28"/>
      <c r="H688" s="28"/>
      <c r="I688" s="28"/>
      <c r="J688" s="28"/>
      <c r="K688" s="28"/>
      <c r="L688" s="28"/>
      <c r="M688" s="33"/>
      <c r="N688" s="33"/>
      <c r="O688" s="33"/>
      <c r="P688" s="33"/>
      <c r="Q688" s="28"/>
      <c r="R688" s="28"/>
      <c r="S688" s="28"/>
      <c r="T688" s="28"/>
      <c r="U688" s="28"/>
      <c r="V688" s="28"/>
      <c r="W688" s="28"/>
      <c r="X688" s="28"/>
      <c r="Y688" s="28"/>
      <c r="Z688" s="28"/>
      <c r="AA688" s="28"/>
    </row>
    <row r="689" ht="18.75" customHeight="1">
      <c r="A689" s="28"/>
      <c r="B689" s="28"/>
      <c r="C689" s="28"/>
      <c r="D689" s="28"/>
      <c r="E689" s="28"/>
      <c r="F689" s="28"/>
      <c r="G689" s="28"/>
      <c r="H689" s="28"/>
      <c r="I689" s="28"/>
      <c r="J689" s="28"/>
      <c r="K689" s="28"/>
      <c r="L689" s="28"/>
      <c r="M689" s="33"/>
      <c r="N689" s="33"/>
      <c r="O689" s="33"/>
      <c r="P689" s="33"/>
      <c r="Q689" s="28"/>
      <c r="R689" s="28"/>
      <c r="S689" s="28"/>
      <c r="T689" s="28"/>
      <c r="U689" s="28"/>
      <c r="V689" s="28"/>
      <c r="W689" s="28"/>
      <c r="X689" s="28"/>
      <c r="Y689" s="28"/>
      <c r="Z689" s="28"/>
      <c r="AA689" s="28"/>
    </row>
    <row r="690" ht="18.75" customHeight="1">
      <c r="A690" s="28"/>
      <c r="B690" s="28"/>
      <c r="C690" s="28"/>
      <c r="D690" s="28"/>
      <c r="E690" s="28"/>
      <c r="F690" s="28"/>
      <c r="G690" s="28"/>
      <c r="H690" s="28"/>
      <c r="I690" s="28"/>
      <c r="J690" s="28"/>
      <c r="K690" s="28"/>
      <c r="L690" s="28"/>
      <c r="M690" s="33"/>
      <c r="N690" s="33"/>
      <c r="O690" s="33"/>
      <c r="P690" s="33"/>
      <c r="Q690" s="28"/>
      <c r="R690" s="28"/>
      <c r="S690" s="28"/>
      <c r="T690" s="28"/>
      <c r="U690" s="28"/>
      <c r="V690" s="28"/>
      <c r="W690" s="28"/>
      <c r="X690" s="28"/>
      <c r="Y690" s="28"/>
      <c r="Z690" s="28"/>
      <c r="AA690" s="28"/>
    </row>
    <row r="691" ht="18.75" customHeight="1">
      <c r="A691" s="28"/>
      <c r="B691" s="28"/>
      <c r="C691" s="28"/>
      <c r="D691" s="28"/>
      <c r="E691" s="28"/>
      <c r="F691" s="28"/>
      <c r="G691" s="28"/>
      <c r="H691" s="28"/>
      <c r="I691" s="28"/>
      <c r="J691" s="28"/>
      <c r="K691" s="28"/>
      <c r="L691" s="28"/>
      <c r="M691" s="33"/>
      <c r="N691" s="33"/>
      <c r="O691" s="33"/>
      <c r="P691" s="33"/>
      <c r="Q691" s="28"/>
      <c r="R691" s="28"/>
      <c r="S691" s="28"/>
      <c r="T691" s="28"/>
      <c r="U691" s="28"/>
      <c r="V691" s="28"/>
      <c r="W691" s="28"/>
      <c r="X691" s="28"/>
      <c r="Y691" s="28"/>
      <c r="Z691" s="28"/>
      <c r="AA691" s="28"/>
    </row>
    <row r="692" ht="18.75" customHeight="1">
      <c r="A692" s="28"/>
      <c r="B692" s="28"/>
      <c r="C692" s="28"/>
      <c r="D692" s="28"/>
      <c r="E692" s="28"/>
      <c r="F692" s="28"/>
      <c r="G692" s="28"/>
      <c r="H692" s="28"/>
      <c r="I692" s="28"/>
      <c r="J692" s="28"/>
      <c r="K692" s="28"/>
      <c r="L692" s="28"/>
      <c r="M692" s="33"/>
      <c r="N692" s="33"/>
      <c r="O692" s="33"/>
      <c r="P692" s="33"/>
      <c r="Q692" s="28"/>
      <c r="R692" s="28"/>
      <c r="S692" s="28"/>
      <c r="T692" s="28"/>
      <c r="U692" s="28"/>
      <c r="V692" s="28"/>
      <c r="W692" s="28"/>
      <c r="X692" s="28"/>
      <c r="Y692" s="28"/>
      <c r="Z692" s="28"/>
      <c r="AA692" s="28"/>
    </row>
    <row r="693" ht="18.75" customHeight="1">
      <c r="A693" s="28"/>
      <c r="B693" s="28"/>
      <c r="C693" s="28"/>
      <c r="D693" s="28"/>
      <c r="E693" s="28"/>
      <c r="F693" s="28"/>
      <c r="G693" s="28"/>
      <c r="H693" s="28"/>
      <c r="I693" s="28"/>
      <c r="J693" s="28"/>
      <c r="K693" s="28"/>
      <c r="L693" s="28"/>
      <c r="M693" s="33"/>
      <c r="N693" s="33"/>
      <c r="O693" s="33"/>
      <c r="P693" s="33"/>
      <c r="Q693" s="28"/>
      <c r="R693" s="28"/>
      <c r="S693" s="28"/>
      <c r="T693" s="28"/>
      <c r="U693" s="28"/>
      <c r="V693" s="28"/>
      <c r="W693" s="28"/>
      <c r="X693" s="28"/>
      <c r="Y693" s="28"/>
      <c r="Z693" s="28"/>
      <c r="AA693" s="28"/>
    </row>
    <row r="694" ht="18.75" customHeight="1">
      <c r="A694" s="28"/>
      <c r="B694" s="28"/>
      <c r="C694" s="28"/>
      <c r="D694" s="28"/>
      <c r="E694" s="28"/>
      <c r="F694" s="28"/>
      <c r="G694" s="28"/>
      <c r="H694" s="28"/>
      <c r="I694" s="28"/>
      <c r="J694" s="28"/>
      <c r="K694" s="28"/>
      <c r="L694" s="28"/>
      <c r="M694" s="33"/>
      <c r="N694" s="33"/>
      <c r="O694" s="33"/>
      <c r="P694" s="33"/>
      <c r="Q694" s="28"/>
      <c r="R694" s="28"/>
      <c r="S694" s="28"/>
      <c r="T694" s="28"/>
      <c r="U694" s="28"/>
      <c r="V694" s="28"/>
      <c r="W694" s="28"/>
      <c r="X694" s="28"/>
      <c r="Y694" s="28"/>
      <c r="Z694" s="28"/>
      <c r="AA694" s="28"/>
    </row>
    <row r="695" ht="18.75" customHeight="1">
      <c r="A695" s="28"/>
      <c r="B695" s="28"/>
      <c r="C695" s="28"/>
      <c r="D695" s="28"/>
      <c r="E695" s="28"/>
      <c r="F695" s="28"/>
      <c r="G695" s="28"/>
      <c r="H695" s="28"/>
      <c r="I695" s="28"/>
      <c r="J695" s="28"/>
      <c r="K695" s="28"/>
      <c r="L695" s="28"/>
      <c r="M695" s="33"/>
      <c r="N695" s="33"/>
      <c r="O695" s="33"/>
      <c r="P695" s="33"/>
      <c r="Q695" s="28"/>
      <c r="R695" s="28"/>
      <c r="S695" s="28"/>
      <c r="T695" s="28"/>
      <c r="U695" s="28"/>
      <c r="V695" s="28"/>
      <c r="W695" s="28"/>
      <c r="X695" s="28"/>
      <c r="Y695" s="28"/>
      <c r="Z695" s="28"/>
      <c r="AA695" s="28"/>
    </row>
    <row r="696" ht="18.75" customHeight="1">
      <c r="A696" s="28"/>
      <c r="B696" s="28"/>
      <c r="C696" s="28"/>
      <c r="D696" s="28"/>
      <c r="E696" s="28"/>
      <c r="F696" s="28"/>
      <c r="G696" s="28"/>
      <c r="H696" s="28"/>
      <c r="I696" s="28"/>
      <c r="J696" s="28"/>
      <c r="K696" s="28"/>
      <c r="L696" s="28"/>
      <c r="M696" s="33"/>
      <c r="N696" s="33"/>
      <c r="O696" s="33"/>
      <c r="P696" s="33"/>
      <c r="Q696" s="28"/>
      <c r="R696" s="28"/>
      <c r="S696" s="28"/>
      <c r="T696" s="28"/>
      <c r="U696" s="28"/>
      <c r="V696" s="28"/>
      <c r="W696" s="28"/>
      <c r="X696" s="28"/>
      <c r="Y696" s="28"/>
      <c r="Z696" s="28"/>
      <c r="AA696" s="28"/>
    </row>
    <row r="697" ht="18.75" customHeight="1">
      <c r="A697" s="28"/>
      <c r="B697" s="28"/>
      <c r="C697" s="28"/>
      <c r="D697" s="28"/>
      <c r="E697" s="28"/>
      <c r="F697" s="28"/>
      <c r="G697" s="28"/>
      <c r="H697" s="28"/>
      <c r="I697" s="28"/>
      <c r="J697" s="28"/>
      <c r="K697" s="28"/>
      <c r="L697" s="28"/>
      <c r="M697" s="33"/>
      <c r="N697" s="33"/>
      <c r="O697" s="33"/>
      <c r="P697" s="33"/>
      <c r="Q697" s="28"/>
      <c r="R697" s="28"/>
      <c r="S697" s="28"/>
      <c r="T697" s="28"/>
      <c r="U697" s="28"/>
      <c r="V697" s="28"/>
      <c r="W697" s="28"/>
      <c r="X697" s="28"/>
      <c r="Y697" s="28"/>
      <c r="Z697" s="28"/>
      <c r="AA697" s="28"/>
    </row>
    <row r="698" ht="18.75" customHeight="1">
      <c r="A698" s="28"/>
      <c r="B698" s="28"/>
      <c r="C698" s="28"/>
      <c r="D698" s="28"/>
      <c r="E698" s="28"/>
      <c r="F698" s="28"/>
      <c r="G698" s="28"/>
      <c r="H698" s="28"/>
      <c r="I698" s="28"/>
      <c r="J698" s="28"/>
      <c r="K698" s="28"/>
      <c r="L698" s="28"/>
      <c r="M698" s="33"/>
      <c r="N698" s="33"/>
      <c r="O698" s="33"/>
      <c r="P698" s="33"/>
      <c r="Q698" s="28"/>
      <c r="R698" s="28"/>
      <c r="S698" s="28"/>
      <c r="T698" s="28"/>
      <c r="U698" s="28"/>
      <c r="V698" s="28"/>
      <c r="W698" s="28"/>
      <c r="X698" s="28"/>
      <c r="Y698" s="28"/>
      <c r="Z698" s="28"/>
      <c r="AA698" s="28"/>
    </row>
    <row r="699" ht="18.75" customHeight="1">
      <c r="A699" s="28"/>
      <c r="B699" s="28"/>
      <c r="C699" s="28"/>
      <c r="D699" s="28"/>
      <c r="E699" s="28"/>
      <c r="F699" s="28"/>
      <c r="G699" s="28"/>
      <c r="H699" s="28"/>
      <c r="I699" s="28"/>
      <c r="J699" s="28"/>
      <c r="K699" s="28"/>
      <c r="L699" s="28"/>
      <c r="M699" s="33"/>
      <c r="N699" s="33"/>
      <c r="O699" s="33"/>
      <c r="P699" s="33"/>
      <c r="Q699" s="28"/>
      <c r="R699" s="28"/>
      <c r="S699" s="28"/>
      <c r="T699" s="28"/>
      <c r="U699" s="28"/>
      <c r="V699" s="28"/>
      <c r="W699" s="28"/>
      <c r="X699" s="28"/>
      <c r="Y699" s="28"/>
      <c r="Z699" s="28"/>
      <c r="AA699" s="28"/>
    </row>
    <row r="700" ht="18.75" customHeight="1">
      <c r="A700" s="28"/>
      <c r="B700" s="28"/>
      <c r="C700" s="28"/>
      <c r="D700" s="28"/>
      <c r="E700" s="28"/>
      <c r="F700" s="28"/>
      <c r="G700" s="28"/>
      <c r="H700" s="28"/>
      <c r="I700" s="28"/>
      <c r="J700" s="28"/>
      <c r="K700" s="28"/>
      <c r="L700" s="28"/>
      <c r="M700" s="33"/>
      <c r="N700" s="33"/>
      <c r="O700" s="33"/>
      <c r="P700" s="33"/>
      <c r="Q700" s="28"/>
      <c r="R700" s="28"/>
      <c r="S700" s="28"/>
      <c r="T700" s="28"/>
      <c r="U700" s="28"/>
      <c r="V700" s="28"/>
      <c r="W700" s="28"/>
      <c r="X700" s="28"/>
      <c r="Y700" s="28"/>
      <c r="Z700" s="28"/>
      <c r="AA700" s="28"/>
    </row>
    <row r="701" ht="18.75" customHeight="1">
      <c r="A701" s="28"/>
      <c r="B701" s="28"/>
      <c r="C701" s="28"/>
      <c r="D701" s="28"/>
      <c r="E701" s="28"/>
      <c r="F701" s="28"/>
      <c r="G701" s="28"/>
      <c r="H701" s="28"/>
      <c r="I701" s="28"/>
      <c r="J701" s="28"/>
      <c r="K701" s="28"/>
      <c r="L701" s="28"/>
      <c r="M701" s="33"/>
      <c r="N701" s="33"/>
      <c r="O701" s="33"/>
      <c r="P701" s="33"/>
      <c r="Q701" s="28"/>
      <c r="R701" s="28"/>
      <c r="S701" s="28"/>
      <c r="T701" s="28"/>
      <c r="U701" s="28"/>
      <c r="V701" s="28"/>
      <c r="W701" s="28"/>
      <c r="X701" s="28"/>
      <c r="Y701" s="28"/>
      <c r="Z701" s="28"/>
      <c r="AA701" s="28"/>
    </row>
    <row r="702" ht="18.75" customHeight="1">
      <c r="A702" s="28"/>
      <c r="B702" s="28"/>
      <c r="C702" s="28"/>
      <c r="D702" s="28"/>
      <c r="E702" s="28"/>
      <c r="F702" s="28"/>
      <c r="G702" s="28"/>
      <c r="H702" s="28"/>
      <c r="I702" s="28"/>
      <c r="J702" s="28"/>
      <c r="K702" s="28"/>
      <c r="L702" s="28"/>
      <c r="M702" s="33"/>
      <c r="N702" s="33"/>
      <c r="O702" s="33"/>
      <c r="P702" s="33"/>
      <c r="Q702" s="28"/>
      <c r="R702" s="28"/>
      <c r="S702" s="28"/>
      <c r="T702" s="28"/>
      <c r="U702" s="28"/>
      <c r="V702" s="28"/>
      <c r="W702" s="28"/>
      <c r="X702" s="28"/>
      <c r="Y702" s="28"/>
      <c r="Z702" s="28"/>
      <c r="AA702" s="28"/>
    </row>
    <row r="703" ht="18.75" customHeight="1">
      <c r="A703" s="28"/>
      <c r="B703" s="28"/>
      <c r="C703" s="28"/>
      <c r="D703" s="28"/>
      <c r="E703" s="28"/>
      <c r="F703" s="28"/>
      <c r="G703" s="28"/>
      <c r="H703" s="28"/>
      <c r="I703" s="28"/>
      <c r="J703" s="28"/>
      <c r="K703" s="28"/>
      <c r="L703" s="28"/>
      <c r="M703" s="33"/>
      <c r="N703" s="33"/>
      <c r="O703" s="33"/>
      <c r="P703" s="33"/>
      <c r="Q703" s="28"/>
      <c r="R703" s="28"/>
      <c r="S703" s="28"/>
      <c r="T703" s="28"/>
      <c r="U703" s="28"/>
      <c r="V703" s="28"/>
      <c r="W703" s="28"/>
      <c r="X703" s="28"/>
      <c r="Y703" s="28"/>
      <c r="Z703" s="28"/>
      <c r="AA703" s="28"/>
    </row>
    <row r="704" ht="18.75" customHeight="1">
      <c r="A704" s="28"/>
      <c r="B704" s="28"/>
      <c r="C704" s="28"/>
      <c r="D704" s="28"/>
      <c r="E704" s="28"/>
      <c r="F704" s="28"/>
      <c r="G704" s="28"/>
      <c r="H704" s="28"/>
      <c r="I704" s="28"/>
      <c r="J704" s="28"/>
      <c r="K704" s="28"/>
      <c r="L704" s="28"/>
      <c r="M704" s="33"/>
      <c r="N704" s="33"/>
      <c r="O704" s="33"/>
      <c r="P704" s="33"/>
      <c r="Q704" s="28"/>
      <c r="R704" s="28"/>
      <c r="S704" s="28"/>
      <c r="T704" s="28"/>
      <c r="U704" s="28"/>
      <c r="V704" s="28"/>
      <c r="W704" s="28"/>
      <c r="X704" s="28"/>
      <c r="Y704" s="28"/>
      <c r="Z704" s="28"/>
      <c r="AA704" s="28"/>
    </row>
    <row r="705" ht="18.75" customHeight="1">
      <c r="A705" s="28"/>
      <c r="B705" s="28"/>
      <c r="C705" s="28"/>
      <c r="D705" s="28"/>
      <c r="E705" s="28"/>
      <c r="F705" s="28"/>
      <c r="G705" s="28"/>
      <c r="H705" s="28"/>
      <c r="I705" s="28"/>
      <c r="J705" s="28"/>
      <c r="K705" s="28"/>
      <c r="L705" s="28"/>
      <c r="M705" s="33"/>
      <c r="N705" s="33"/>
      <c r="O705" s="33"/>
      <c r="P705" s="33"/>
      <c r="Q705" s="28"/>
      <c r="R705" s="28"/>
      <c r="S705" s="28"/>
      <c r="T705" s="28"/>
      <c r="U705" s="28"/>
      <c r="V705" s="28"/>
      <c r="W705" s="28"/>
      <c r="X705" s="28"/>
      <c r="Y705" s="28"/>
      <c r="Z705" s="28"/>
      <c r="AA705" s="28"/>
    </row>
    <row r="706" ht="18.75" customHeight="1">
      <c r="A706" s="28"/>
      <c r="B706" s="28"/>
      <c r="C706" s="28"/>
      <c r="D706" s="28"/>
      <c r="E706" s="28"/>
      <c r="F706" s="28"/>
      <c r="G706" s="28"/>
      <c r="H706" s="28"/>
      <c r="I706" s="28"/>
      <c r="J706" s="28"/>
      <c r="K706" s="28"/>
      <c r="L706" s="28"/>
      <c r="M706" s="33"/>
      <c r="N706" s="33"/>
      <c r="O706" s="33"/>
      <c r="P706" s="33"/>
      <c r="Q706" s="28"/>
      <c r="R706" s="28"/>
      <c r="S706" s="28"/>
      <c r="T706" s="28"/>
      <c r="U706" s="28"/>
      <c r="V706" s="28"/>
      <c r="W706" s="28"/>
      <c r="X706" s="28"/>
      <c r="Y706" s="28"/>
      <c r="Z706" s="28"/>
      <c r="AA706" s="28"/>
    </row>
    <row r="707" ht="18.75" customHeight="1">
      <c r="A707" s="28"/>
      <c r="B707" s="28"/>
      <c r="C707" s="28"/>
      <c r="D707" s="28"/>
      <c r="E707" s="28"/>
      <c r="F707" s="28"/>
      <c r="G707" s="28"/>
      <c r="H707" s="28"/>
      <c r="I707" s="28"/>
      <c r="J707" s="28"/>
      <c r="K707" s="28"/>
      <c r="L707" s="28"/>
      <c r="M707" s="33"/>
      <c r="N707" s="33"/>
      <c r="O707" s="33"/>
      <c r="P707" s="33"/>
      <c r="Q707" s="28"/>
      <c r="R707" s="28"/>
      <c r="S707" s="28"/>
      <c r="T707" s="28"/>
      <c r="U707" s="28"/>
      <c r="V707" s="28"/>
      <c r="W707" s="28"/>
      <c r="X707" s="28"/>
      <c r="Y707" s="28"/>
      <c r="Z707" s="28"/>
      <c r="AA707" s="28"/>
    </row>
    <row r="708" ht="18.75" customHeight="1">
      <c r="A708" s="28"/>
      <c r="B708" s="28"/>
      <c r="C708" s="28"/>
      <c r="D708" s="28"/>
      <c r="E708" s="28"/>
      <c r="F708" s="28"/>
      <c r="G708" s="28"/>
      <c r="H708" s="28"/>
      <c r="I708" s="28"/>
      <c r="J708" s="28"/>
      <c r="K708" s="28"/>
      <c r="L708" s="28"/>
      <c r="M708" s="33"/>
      <c r="N708" s="33"/>
      <c r="O708" s="33"/>
      <c r="P708" s="33"/>
      <c r="Q708" s="28"/>
      <c r="R708" s="28"/>
      <c r="S708" s="28"/>
      <c r="T708" s="28"/>
      <c r="U708" s="28"/>
      <c r="V708" s="28"/>
      <c r="W708" s="28"/>
      <c r="X708" s="28"/>
      <c r="Y708" s="28"/>
      <c r="Z708" s="28"/>
      <c r="AA708" s="28"/>
    </row>
    <row r="709" ht="18.75" customHeight="1">
      <c r="A709" s="28"/>
      <c r="B709" s="28"/>
      <c r="C709" s="28"/>
      <c r="D709" s="28"/>
      <c r="E709" s="28"/>
      <c r="F709" s="28"/>
      <c r="G709" s="28"/>
      <c r="H709" s="28"/>
      <c r="I709" s="28"/>
      <c r="J709" s="28"/>
      <c r="K709" s="28"/>
      <c r="L709" s="28"/>
      <c r="M709" s="33"/>
      <c r="N709" s="33"/>
      <c r="O709" s="33"/>
      <c r="P709" s="33"/>
      <c r="Q709" s="28"/>
      <c r="R709" s="28"/>
      <c r="S709" s="28"/>
      <c r="T709" s="28"/>
      <c r="U709" s="28"/>
      <c r="V709" s="28"/>
      <c r="W709" s="28"/>
      <c r="X709" s="28"/>
      <c r="Y709" s="28"/>
      <c r="Z709" s="28"/>
      <c r="AA709" s="28"/>
    </row>
    <row r="710" ht="18.75" customHeight="1">
      <c r="A710" s="28"/>
      <c r="B710" s="28"/>
      <c r="C710" s="28"/>
      <c r="D710" s="28"/>
      <c r="E710" s="28"/>
      <c r="F710" s="28"/>
      <c r="G710" s="28"/>
      <c r="H710" s="28"/>
      <c r="I710" s="28"/>
      <c r="J710" s="28"/>
      <c r="K710" s="28"/>
      <c r="L710" s="28"/>
      <c r="M710" s="33"/>
      <c r="N710" s="33"/>
      <c r="O710" s="33"/>
      <c r="P710" s="33"/>
      <c r="Q710" s="28"/>
      <c r="R710" s="28"/>
      <c r="S710" s="28"/>
      <c r="T710" s="28"/>
      <c r="U710" s="28"/>
      <c r="V710" s="28"/>
      <c r="W710" s="28"/>
      <c r="X710" s="28"/>
      <c r="Y710" s="28"/>
      <c r="Z710" s="28"/>
      <c r="AA710" s="28"/>
    </row>
    <row r="711" ht="18.75" customHeight="1">
      <c r="A711" s="28"/>
      <c r="B711" s="28"/>
      <c r="C711" s="28"/>
      <c r="D711" s="28"/>
      <c r="E711" s="28"/>
      <c r="F711" s="28"/>
      <c r="G711" s="28"/>
      <c r="H711" s="28"/>
      <c r="I711" s="28"/>
      <c r="J711" s="28"/>
      <c r="K711" s="28"/>
      <c r="L711" s="28"/>
      <c r="M711" s="33"/>
      <c r="N711" s="33"/>
      <c r="O711" s="33"/>
      <c r="P711" s="33"/>
      <c r="Q711" s="28"/>
      <c r="R711" s="28"/>
      <c r="S711" s="28"/>
      <c r="T711" s="28"/>
      <c r="U711" s="28"/>
      <c r="V711" s="28"/>
      <c r="W711" s="28"/>
      <c r="X711" s="28"/>
      <c r="Y711" s="28"/>
      <c r="Z711" s="28"/>
      <c r="AA711" s="28"/>
    </row>
    <row r="712" ht="18.75" customHeight="1">
      <c r="A712" s="28"/>
      <c r="B712" s="28"/>
      <c r="C712" s="28"/>
      <c r="D712" s="28"/>
      <c r="E712" s="28"/>
      <c r="F712" s="28"/>
      <c r="G712" s="28"/>
      <c r="H712" s="28"/>
      <c r="I712" s="28"/>
      <c r="J712" s="28"/>
      <c r="K712" s="28"/>
      <c r="L712" s="28"/>
      <c r="M712" s="33"/>
      <c r="N712" s="33"/>
      <c r="O712" s="33"/>
      <c r="P712" s="33"/>
      <c r="Q712" s="28"/>
      <c r="R712" s="28"/>
      <c r="S712" s="28"/>
      <c r="T712" s="28"/>
      <c r="U712" s="28"/>
      <c r="V712" s="28"/>
      <c r="W712" s="28"/>
      <c r="X712" s="28"/>
      <c r="Y712" s="28"/>
      <c r="Z712" s="28"/>
      <c r="AA712" s="28"/>
    </row>
    <row r="713" ht="18.75" customHeight="1">
      <c r="A713" s="28"/>
      <c r="B713" s="28"/>
      <c r="C713" s="28"/>
      <c r="D713" s="28"/>
      <c r="E713" s="28"/>
      <c r="F713" s="28"/>
      <c r="G713" s="28"/>
      <c r="H713" s="28"/>
      <c r="I713" s="28"/>
      <c r="J713" s="28"/>
      <c r="K713" s="28"/>
      <c r="L713" s="28"/>
      <c r="M713" s="33"/>
      <c r="N713" s="33"/>
      <c r="O713" s="33"/>
      <c r="P713" s="33"/>
      <c r="Q713" s="28"/>
      <c r="R713" s="28"/>
      <c r="S713" s="28"/>
      <c r="T713" s="28"/>
      <c r="U713" s="28"/>
      <c r="V713" s="28"/>
      <c r="W713" s="28"/>
      <c r="X713" s="28"/>
      <c r="Y713" s="28"/>
      <c r="Z713" s="28"/>
      <c r="AA713" s="28"/>
    </row>
    <row r="714" ht="18.75" customHeight="1">
      <c r="A714" s="28"/>
      <c r="B714" s="28"/>
      <c r="C714" s="28"/>
      <c r="D714" s="28"/>
      <c r="E714" s="28"/>
      <c r="F714" s="28"/>
      <c r="G714" s="28"/>
      <c r="H714" s="28"/>
      <c r="I714" s="28"/>
      <c r="J714" s="28"/>
      <c r="K714" s="28"/>
      <c r="L714" s="28"/>
      <c r="M714" s="33"/>
      <c r="N714" s="33"/>
      <c r="O714" s="33"/>
      <c r="P714" s="33"/>
      <c r="Q714" s="28"/>
      <c r="R714" s="28"/>
      <c r="S714" s="28"/>
      <c r="T714" s="28"/>
      <c r="U714" s="28"/>
      <c r="V714" s="28"/>
      <c r="W714" s="28"/>
      <c r="X714" s="28"/>
      <c r="Y714" s="28"/>
      <c r="Z714" s="28"/>
      <c r="AA714" s="28"/>
    </row>
    <row r="715" ht="18.75" customHeight="1">
      <c r="A715" s="28"/>
      <c r="B715" s="28"/>
      <c r="C715" s="28"/>
      <c r="D715" s="28"/>
      <c r="E715" s="28"/>
      <c r="F715" s="28"/>
      <c r="G715" s="28"/>
      <c r="H715" s="28"/>
      <c r="I715" s="28"/>
      <c r="J715" s="28"/>
      <c r="K715" s="28"/>
      <c r="L715" s="28"/>
      <c r="M715" s="33"/>
      <c r="N715" s="33"/>
      <c r="O715" s="33"/>
      <c r="P715" s="33"/>
      <c r="Q715" s="28"/>
      <c r="R715" s="28"/>
      <c r="S715" s="28"/>
      <c r="T715" s="28"/>
      <c r="U715" s="28"/>
      <c r="V715" s="28"/>
      <c r="W715" s="28"/>
      <c r="X715" s="28"/>
      <c r="Y715" s="28"/>
      <c r="Z715" s="28"/>
      <c r="AA715" s="28"/>
    </row>
    <row r="716" ht="18.75" customHeight="1">
      <c r="A716" s="28"/>
      <c r="B716" s="28"/>
      <c r="C716" s="28"/>
      <c r="D716" s="28"/>
      <c r="E716" s="28"/>
      <c r="F716" s="28"/>
      <c r="G716" s="28"/>
      <c r="H716" s="28"/>
      <c r="I716" s="28"/>
      <c r="J716" s="28"/>
      <c r="K716" s="28"/>
      <c r="L716" s="28"/>
      <c r="M716" s="33"/>
      <c r="N716" s="33"/>
      <c r="O716" s="33"/>
      <c r="P716" s="33"/>
      <c r="Q716" s="28"/>
      <c r="R716" s="28"/>
      <c r="S716" s="28"/>
      <c r="T716" s="28"/>
      <c r="U716" s="28"/>
      <c r="V716" s="28"/>
      <c r="W716" s="28"/>
      <c r="X716" s="28"/>
      <c r="Y716" s="28"/>
      <c r="Z716" s="28"/>
      <c r="AA716" s="28"/>
    </row>
    <row r="717" ht="18.75" customHeight="1">
      <c r="A717" s="28"/>
      <c r="B717" s="28"/>
      <c r="C717" s="28"/>
      <c r="D717" s="28"/>
      <c r="E717" s="28"/>
      <c r="F717" s="28"/>
      <c r="G717" s="28"/>
      <c r="H717" s="28"/>
      <c r="I717" s="28"/>
      <c r="J717" s="28"/>
      <c r="K717" s="28"/>
      <c r="L717" s="28"/>
      <c r="M717" s="33"/>
      <c r="N717" s="33"/>
      <c r="O717" s="33"/>
      <c r="P717" s="33"/>
      <c r="Q717" s="28"/>
      <c r="R717" s="28"/>
      <c r="S717" s="28"/>
      <c r="T717" s="28"/>
      <c r="U717" s="28"/>
      <c r="V717" s="28"/>
      <c r="W717" s="28"/>
      <c r="X717" s="28"/>
      <c r="Y717" s="28"/>
      <c r="Z717" s="28"/>
      <c r="AA717" s="28"/>
    </row>
    <row r="718" ht="18.75" customHeight="1">
      <c r="A718" s="28"/>
      <c r="B718" s="28"/>
      <c r="C718" s="28"/>
      <c r="D718" s="28"/>
      <c r="E718" s="28"/>
      <c r="F718" s="28"/>
      <c r="G718" s="28"/>
      <c r="H718" s="28"/>
      <c r="I718" s="28"/>
      <c r="J718" s="28"/>
      <c r="K718" s="28"/>
      <c r="L718" s="28"/>
      <c r="M718" s="33"/>
      <c r="N718" s="33"/>
      <c r="O718" s="33"/>
      <c r="P718" s="33"/>
      <c r="Q718" s="28"/>
      <c r="R718" s="28"/>
      <c r="S718" s="28"/>
      <c r="T718" s="28"/>
      <c r="U718" s="28"/>
      <c r="V718" s="28"/>
      <c r="W718" s="28"/>
      <c r="X718" s="28"/>
      <c r="Y718" s="28"/>
      <c r="Z718" s="28"/>
      <c r="AA718" s="28"/>
    </row>
    <row r="719" ht="18.75" customHeight="1">
      <c r="A719" s="28"/>
      <c r="B719" s="28"/>
      <c r="C719" s="28"/>
      <c r="D719" s="28"/>
      <c r="E719" s="28"/>
      <c r="F719" s="28"/>
      <c r="G719" s="28"/>
      <c r="H719" s="28"/>
      <c r="I719" s="28"/>
      <c r="J719" s="28"/>
      <c r="K719" s="28"/>
      <c r="L719" s="28"/>
      <c r="M719" s="33"/>
      <c r="N719" s="33"/>
      <c r="O719" s="33"/>
      <c r="P719" s="33"/>
      <c r="Q719" s="28"/>
      <c r="R719" s="28"/>
      <c r="S719" s="28"/>
      <c r="T719" s="28"/>
      <c r="U719" s="28"/>
      <c r="V719" s="28"/>
      <c r="W719" s="28"/>
      <c r="X719" s="28"/>
      <c r="Y719" s="28"/>
      <c r="Z719" s="28"/>
      <c r="AA719" s="28"/>
    </row>
    <row r="720" ht="18.75" customHeight="1">
      <c r="A720" s="28"/>
      <c r="B720" s="28"/>
      <c r="C720" s="28"/>
      <c r="D720" s="28"/>
      <c r="E720" s="28"/>
      <c r="F720" s="28"/>
      <c r="G720" s="28"/>
      <c r="H720" s="28"/>
      <c r="I720" s="28"/>
      <c r="J720" s="28"/>
      <c r="K720" s="28"/>
      <c r="L720" s="28"/>
      <c r="M720" s="33"/>
      <c r="N720" s="33"/>
      <c r="O720" s="33"/>
      <c r="P720" s="33"/>
      <c r="Q720" s="28"/>
      <c r="R720" s="28"/>
      <c r="S720" s="28"/>
      <c r="T720" s="28"/>
      <c r="U720" s="28"/>
      <c r="V720" s="28"/>
      <c r="W720" s="28"/>
      <c r="X720" s="28"/>
      <c r="Y720" s="28"/>
      <c r="Z720" s="28"/>
      <c r="AA720" s="28"/>
    </row>
    <row r="721" ht="18.75" customHeight="1">
      <c r="A721" s="28"/>
      <c r="B721" s="28"/>
      <c r="C721" s="28"/>
      <c r="D721" s="28"/>
      <c r="E721" s="28"/>
      <c r="F721" s="28"/>
      <c r="G721" s="28"/>
      <c r="H721" s="28"/>
      <c r="I721" s="28"/>
      <c r="J721" s="28"/>
      <c r="K721" s="28"/>
      <c r="L721" s="28"/>
      <c r="M721" s="33"/>
      <c r="N721" s="33"/>
      <c r="O721" s="33"/>
      <c r="P721" s="33"/>
      <c r="Q721" s="28"/>
      <c r="R721" s="28"/>
      <c r="S721" s="28"/>
      <c r="T721" s="28"/>
      <c r="U721" s="28"/>
      <c r="V721" s="28"/>
      <c r="W721" s="28"/>
      <c r="X721" s="28"/>
      <c r="Y721" s="28"/>
      <c r="Z721" s="28"/>
      <c r="AA721" s="28"/>
    </row>
    <row r="722" ht="18.75" customHeight="1">
      <c r="A722" s="28"/>
      <c r="B722" s="28"/>
      <c r="C722" s="28"/>
      <c r="D722" s="28"/>
      <c r="E722" s="28"/>
      <c r="F722" s="28"/>
      <c r="G722" s="28"/>
      <c r="H722" s="28"/>
      <c r="I722" s="28"/>
      <c r="J722" s="28"/>
      <c r="K722" s="28"/>
      <c r="L722" s="28"/>
      <c r="M722" s="33"/>
      <c r="N722" s="33"/>
      <c r="O722" s="33"/>
      <c r="P722" s="33"/>
      <c r="Q722" s="28"/>
      <c r="R722" s="28"/>
      <c r="S722" s="28"/>
      <c r="T722" s="28"/>
      <c r="U722" s="28"/>
      <c r="V722" s="28"/>
      <c r="W722" s="28"/>
      <c r="X722" s="28"/>
      <c r="Y722" s="28"/>
      <c r="Z722" s="28"/>
      <c r="AA722" s="28"/>
    </row>
    <row r="723" ht="18.75" customHeight="1">
      <c r="A723" s="28"/>
      <c r="B723" s="28"/>
      <c r="C723" s="28"/>
      <c r="D723" s="28"/>
      <c r="E723" s="28"/>
      <c r="F723" s="28"/>
      <c r="G723" s="28"/>
      <c r="H723" s="28"/>
      <c r="I723" s="28"/>
      <c r="J723" s="28"/>
      <c r="K723" s="28"/>
      <c r="L723" s="28"/>
      <c r="M723" s="33"/>
      <c r="N723" s="33"/>
      <c r="O723" s="33"/>
      <c r="P723" s="33"/>
      <c r="Q723" s="28"/>
      <c r="R723" s="28"/>
      <c r="S723" s="28"/>
      <c r="T723" s="28"/>
      <c r="U723" s="28"/>
      <c r="V723" s="28"/>
      <c r="W723" s="28"/>
      <c r="X723" s="28"/>
      <c r="Y723" s="28"/>
      <c r="Z723" s="28"/>
      <c r="AA723" s="28"/>
    </row>
    <row r="724" ht="18.75" customHeight="1">
      <c r="A724" s="28"/>
      <c r="B724" s="28"/>
      <c r="C724" s="28"/>
      <c r="D724" s="28"/>
      <c r="E724" s="28"/>
      <c r="F724" s="28"/>
      <c r="G724" s="28"/>
      <c r="H724" s="28"/>
      <c r="I724" s="28"/>
      <c r="J724" s="28"/>
      <c r="K724" s="28"/>
      <c r="L724" s="28"/>
      <c r="M724" s="33"/>
      <c r="N724" s="33"/>
      <c r="O724" s="33"/>
      <c r="P724" s="33"/>
      <c r="Q724" s="28"/>
      <c r="R724" s="28"/>
      <c r="S724" s="28"/>
      <c r="T724" s="28"/>
      <c r="U724" s="28"/>
      <c r="V724" s="28"/>
      <c r="W724" s="28"/>
      <c r="X724" s="28"/>
      <c r="Y724" s="28"/>
      <c r="Z724" s="28"/>
      <c r="AA724" s="28"/>
    </row>
    <row r="725" ht="18.75" customHeight="1">
      <c r="A725" s="28"/>
      <c r="B725" s="28"/>
      <c r="C725" s="28"/>
      <c r="D725" s="28"/>
      <c r="E725" s="28"/>
      <c r="F725" s="28"/>
      <c r="G725" s="28"/>
      <c r="H725" s="28"/>
      <c r="I725" s="28"/>
      <c r="J725" s="28"/>
      <c r="K725" s="28"/>
      <c r="L725" s="28"/>
      <c r="M725" s="33"/>
      <c r="N725" s="33"/>
      <c r="O725" s="33"/>
      <c r="P725" s="33"/>
      <c r="Q725" s="28"/>
      <c r="R725" s="28"/>
      <c r="S725" s="28"/>
      <c r="T725" s="28"/>
      <c r="U725" s="28"/>
      <c r="V725" s="28"/>
      <c r="W725" s="28"/>
      <c r="X725" s="28"/>
      <c r="Y725" s="28"/>
      <c r="Z725" s="28"/>
      <c r="AA725" s="28"/>
    </row>
    <row r="726" ht="18.75" customHeight="1">
      <c r="A726" s="28"/>
      <c r="B726" s="28"/>
      <c r="C726" s="28"/>
      <c r="D726" s="28"/>
      <c r="E726" s="28"/>
      <c r="F726" s="28"/>
      <c r="G726" s="28"/>
      <c r="H726" s="28"/>
      <c r="I726" s="28"/>
      <c r="J726" s="28"/>
      <c r="K726" s="28"/>
      <c r="L726" s="28"/>
      <c r="M726" s="33"/>
      <c r="N726" s="33"/>
      <c r="O726" s="33"/>
      <c r="P726" s="33"/>
      <c r="Q726" s="28"/>
      <c r="R726" s="28"/>
      <c r="S726" s="28"/>
      <c r="T726" s="28"/>
      <c r="U726" s="28"/>
      <c r="V726" s="28"/>
      <c r="W726" s="28"/>
      <c r="X726" s="28"/>
      <c r="Y726" s="28"/>
      <c r="Z726" s="28"/>
      <c r="AA726" s="28"/>
    </row>
    <row r="727" ht="18.75" customHeight="1">
      <c r="A727" s="28"/>
      <c r="B727" s="28"/>
      <c r="C727" s="28"/>
      <c r="D727" s="28"/>
      <c r="E727" s="28"/>
      <c r="F727" s="28"/>
      <c r="G727" s="28"/>
      <c r="H727" s="28"/>
      <c r="I727" s="28"/>
      <c r="J727" s="28"/>
      <c r="K727" s="28"/>
      <c r="L727" s="28"/>
      <c r="M727" s="33"/>
      <c r="N727" s="33"/>
      <c r="O727" s="33"/>
      <c r="P727" s="33"/>
      <c r="Q727" s="28"/>
      <c r="R727" s="28"/>
      <c r="S727" s="28"/>
      <c r="T727" s="28"/>
      <c r="U727" s="28"/>
      <c r="V727" s="28"/>
      <c r="W727" s="28"/>
      <c r="X727" s="28"/>
      <c r="Y727" s="28"/>
      <c r="Z727" s="28"/>
      <c r="AA727" s="28"/>
    </row>
    <row r="728" ht="18.75" customHeight="1">
      <c r="A728" s="28"/>
      <c r="B728" s="28"/>
      <c r="C728" s="28"/>
      <c r="D728" s="28"/>
      <c r="E728" s="28"/>
      <c r="F728" s="28"/>
      <c r="G728" s="28"/>
      <c r="H728" s="28"/>
      <c r="I728" s="28"/>
      <c r="J728" s="28"/>
      <c r="K728" s="28"/>
      <c r="L728" s="28"/>
      <c r="M728" s="33"/>
      <c r="N728" s="33"/>
      <c r="O728" s="33"/>
      <c r="P728" s="33"/>
      <c r="Q728" s="28"/>
      <c r="R728" s="28"/>
      <c r="S728" s="28"/>
      <c r="T728" s="28"/>
      <c r="U728" s="28"/>
      <c r="V728" s="28"/>
      <c r="W728" s="28"/>
      <c r="X728" s="28"/>
      <c r="Y728" s="28"/>
      <c r="Z728" s="28"/>
      <c r="AA728" s="28"/>
    </row>
    <row r="729" ht="18.75" customHeight="1">
      <c r="A729" s="28"/>
      <c r="B729" s="28"/>
      <c r="C729" s="28"/>
      <c r="D729" s="28"/>
      <c r="E729" s="28"/>
      <c r="F729" s="28"/>
      <c r="G729" s="28"/>
      <c r="H729" s="28"/>
      <c r="I729" s="28"/>
      <c r="J729" s="28"/>
      <c r="K729" s="28"/>
      <c r="L729" s="28"/>
      <c r="M729" s="33"/>
      <c r="N729" s="33"/>
      <c r="O729" s="33"/>
      <c r="P729" s="33"/>
      <c r="Q729" s="28"/>
      <c r="R729" s="28"/>
      <c r="S729" s="28"/>
      <c r="T729" s="28"/>
      <c r="U729" s="28"/>
      <c r="V729" s="28"/>
      <c r="W729" s="28"/>
      <c r="X729" s="28"/>
      <c r="Y729" s="28"/>
      <c r="Z729" s="28"/>
      <c r="AA729" s="28"/>
    </row>
    <row r="730" ht="18.75" customHeight="1">
      <c r="A730" s="28"/>
      <c r="B730" s="28"/>
      <c r="C730" s="28"/>
      <c r="D730" s="28"/>
      <c r="E730" s="28"/>
      <c r="F730" s="28"/>
      <c r="G730" s="28"/>
      <c r="H730" s="28"/>
      <c r="I730" s="28"/>
      <c r="J730" s="28"/>
      <c r="K730" s="28"/>
      <c r="L730" s="28"/>
      <c r="M730" s="33"/>
      <c r="N730" s="33"/>
      <c r="O730" s="33"/>
      <c r="P730" s="33"/>
      <c r="Q730" s="28"/>
      <c r="R730" s="28"/>
      <c r="S730" s="28"/>
      <c r="T730" s="28"/>
      <c r="U730" s="28"/>
      <c r="V730" s="28"/>
      <c r="W730" s="28"/>
      <c r="X730" s="28"/>
      <c r="Y730" s="28"/>
      <c r="Z730" s="28"/>
      <c r="AA730" s="28"/>
    </row>
    <row r="731" ht="18.75" customHeight="1">
      <c r="A731" s="28"/>
      <c r="B731" s="28"/>
      <c r="C731" s="28"/>
      <c r="D731" s="28"/>
      <c r="E731" s="28"/>
      <c r="F731" s="28"/>
      <c r="G731" s="28"/>
      <c r="H731" s="28"/>
      <c r="I731" s="28"/>
      <c r="J731" s="28"/>
      <c r="K731" s="28"/>
      <c r="L731" s="28"/>
      <c r="M731" s="33"/>
      <c r="N731" s="33"/>
      <c r="O731" s="33"/>
      <c r="P731" s="33"/>
      <c r="Q731" s="28"/>
      <c r="R731" s="28"/>
      <c r="S731" s="28"/>
      <c r="T731" s="28"/>
      <c r="U731" s="28"/>
      <c r="V731" s="28"/>
      <c r="W731" s="28"/>
      <c r="X731" s="28"/>
      <c r="Y731" s="28"/>
      <c r="Z731" s="28"/>
      <c r="AA731" s="28"/>
    </row>
    <row r="732" ht="18.75" customHeight="1">
      <c r="A732" s="28"/>
      <c r="B732" s="28"/>
      <c r="C732" s="28"/>
      <c r="D732" s="28"/>
      <c r="E732" s="28"/>
      <c r="F732" s="28"/>
      <c r="G732" s="28"/>
      <c r="H732" s="28"/>
      <c r="I732" s="28"/>
      <c r="J732" s="28"/>
      <c r="K732" s="28"/>
      <c r="L732" s="28"/>
      <c r="M732" s="33"/>
      <c r="N732" s="33"/>
      <c r="O732" s="33"/>
      <c r="P732" s="33"/>
      <c r="Q732" s="28"/>
      <c r="R732" s="28"/>
      <c r="S732" s="28"/>
      <c r="T732" s="28"/>
      <c r="U732" s="28"/>
      <c r="V732" s="28"/>
      <c r="W732" s="28"/>
      <c r="X732" s="28"/>
      <c r="Y732" s="28"/>
      <c r="Z732" s="28"/>
      <c r="AA732" s="28"/>
    </row>
    <row r="733" ht="18.75" customHeight="1">
      <c r="A733" s="28"/>
      <c r="B733" s="28"/>
      <c r="C733" s="28"/>
      <c r="D733" s="28"/>
      <c r="E733" s="28"/>
      <c r="F733" s="28"/>
      <c r="G733" s="28"/>
      <c r="H733" s="28"/>
      <c r="I733" s="28"/>
      <c r="J733" s="28"/>
      <c r="K733" s="28"/>
      <c r="L733" s="28"/>
      <c r="M733" s="33"/>
      <c r="N733" s="33"/>
      <c r="O733" s="33"/>
      <c r="P733" s="33"/>
      <c r="Q733" s="28"/>
      <c r="R733" s="28"/>
      <c r="S733" s="28"/>
      <c r="T733" s="28"/>
      <c r="U733" s="28"/>
      <c r="V733" s="28"/>
      <c r="W733" s="28"/>
      <c r="X733" s="28"/>
      <c r="Y733" s="28"/>
      <c r="Z733" s="28"/>
      <c r="AA733" s="28"/>
    </row>
    <row r="734" ht="18.75" customHeight="1">
      <c r="A734" s="28"/>
      <c r="B734" s="28"/>
      <c r="C734" s="28"/>
      <c r="D734" s="28"/>
      <c r="E734" s="28"/>
      <c r="F734" s="28"/>
      <c r="G734" s="28"/>
      <c r="H734" s="28"/>
      <c r="I734" s="28"/>
      <c r="J734" s="28"/>
      <c r="K734" s="28"/>
      <c r="L734" s="28"/>
      <c r="M734" s="33"/>
      <c r="N734" s="33"/>
      <c r="O734" s="33"/>
      <c r="P734" s="33"/>
      <c r="Q734" s="28"/>
      <c r="R734" s="28"/>
      <c r="S734" s="28"/>
      <c r="T734" s="28"/>
      <c r="U734" s="28"/>
      <c r="V734" s="28"/>
      <c r="W734" s="28"/>
      <c r="X734" s="28"/>
      <c r="Y734" s="28"/>
      <c r="Z734" s="28"/>
      <c r="AA734" s="28"/>
    </row>
    <row r="735" ht="18.75" customHeight="1">
      <c r="A735" s="28"/>
      <c r="B735" s="28"/>
      <c r="C735" s="28"/>
      <c r="D735" s="28"/>
      <c r="E735" s="28"/>
      <c r="F735" s="28"/>
      <c r="G735" s="28"/>
      <c r="H735" s="28"/>
      <c r="I735" s="28"/>
      <c r="J735" s="28"/>
      <c r="K735" s="28"/>
      <c r="L735" s="28"/>
      <c r="M735" s="33"/>
      <c r="N735" s="33"/>
      <c r="O735" s="33"/>
      <c r="P735" s="33"/>
      <c r="Q735" s="28"/>
      <c r="R735" s="28"/>
      <c r="S735" s="28"/>
      <c r="T735" s="28"/>
      <c r="U735" s="28"/>
      <c r="V735" s="28"/>
      <c r="W735" s="28"/>
      <c r="X735" s="28"/>
      <c r="Y735" s="28"/>
      <c r="Z735" s="28"/>
      <c r="AA735" s="28"/>
    </row>
    <row r="736" ht="18.75" customHeight="1">
      <c r="A736" s="28"/>
      <c r="B736" s="28"/>
      <c r="C736" s="28"/>
      <c r="D736" s="28"/>
      <c r="E736" s="28"/>
      <c r="F736" s="28"/>
      <c r="G736" s="28"/>
      <c r="H736" s="28"/>
      <c r="I736" s="28"/>
      <c r="J736" s="28"/>
      <c r="K736" s="28"/>
      <c r="L736" s="28"/>
      <c r="M736" s="33"/>
      <c r="N736" s="33"/>
      <c r="O736" s="33"/>
      <c r="P736" s="33"/>
      <c r="Q736" s="28"/>
      <c r="R736" s="28"/>
      <c r="S736" s="28"/>
      <c r="T736" s="28"/>
      <c r="U736" s="28"/>
      <c r="V736" s="28"/>
      <c r="W736" s="28"/>
      <c r="X736" s="28"/>
      <c r="Y736" s="28"/>
      <c r="Z736" s="28"/>
      <c r="AA736" s="28"/>
    </row>
    <row r="737" ht="18.75" customHeight="1">
      <c r="A737" s="28"/>
      <c r="B737" s="28"/>
      <c r="C737" s="28"/>
      <c r="D737" s="28"/>
      <c r="E737" s="28"/>
      <c r="F737" s="28"/>
      <c r="G737" s="28"/>
      <c r="H737" s="28"/>
      <c r="I737" s="28"/>
      <c r="J737" s="28"/>
      <c r="K737" s="28"/>
      <c r="L737" s="28"/>
      <c r="M737" s="33"/>
      <c r="N737" s="33"/>
      <c r="O737" s="33"/>
      <c r="P737" s="33"/>
      <c r="Q737" s="28"/>
      <c r="R737" s="28"/>
      <c r="S737" s="28"/>
      <c r="T737" s="28"/>
      <c r="U737" s="28"/>
      <c r="V737" s="28"/>
      <c r="W737" s="28"/>
      <c r="X737" s="28"/>
      <c r="Y737" s="28"/>
      <c r="Z737" s="28"/>
      <c r="AA737" s="28"/>
    </row>
    <row r="738" ht="18.75" customHeight="1">
      <c r="A738" s="28"/>
      <c r="B738" s="28"/>
      <c r="C738" s="28"/>
      <c r="D738" s="28"/>
      <c r="E738" s="28"/>
      <c r="F738" s="28"/>
      <c r="G738" s="28"/>
      <c r="H738" s="28"/>
      <c r="I738" s="28"/>
      <c r="J738" s="28"/>
      <c r="K738" s="28"/>
      <c r="L738" s="28"/>
      <c r="M738" s="33"/>
      <c r="N738" s="33"/>
      <c r="O738" s="33"/>
      <c r="P738" s="33"/>
      <c r="Q738" s="28"/>
      <c r="R738" s="28"/>
      <c r="S738" s="28"/>
      <c r="T738" s="28"/>
      <c r="U738" s="28"/>
      <c r="V738" s="28"/>
      <c r="W738" s="28"/>
      <c r="X738" s="28"/>
      <c r="Y738" s="28"/>
      <c r="Z738" s="28"/>
      <c r="AA738" s="28"/>
    </row>
    <row r="739" ht="18.75" customHeight="1">
      <c r="A739" s="28"/>
      <c r="B739" s="28"/>
      <c r="C739" s="28"/>
      <c r="D739" s="28"/>
      <c r="E739" s="28"/>
      <c r="F739" s="28"/>
      <c r="G739" s="28"/>
      <c r="H739" s="28"/>
      <c r="I739" s="28"/>
      <c r="J739" s="28"/>
      <c r="K739" s="28"/>
      <c r="L739" s="28"/>
      <c r="M739" s="33"/>
      <c r="N739" s="33"/>
      <c r="O739" s="33"/>
      <c r="P739" s="33"/>
      <c r="Q739" s="28"/>
      <c r="R739" s="28"/>
      <c r="S739" s="28"/>
      <c r="T739" s="28"/>
      <c r="U739" s="28"/>
      <c r="V739" s="28"/>
      <c r="W739" s="28"/>
      <c r="X739" s="28"/>
      <c r="Y739" s="28"/>
      <c r="Z739" s="28"/>
      <c r="AA739" s="28"/>
    </row>
    <row r="740" ht="18.75" customHeight="1">
      <c r="A740" s="28"/>
      <c r="B740" s="28"/>
      <c r="C740" s="28"/>
      <c r="D740" s="28"/>
      <c r="E740" s="28"/>
      <c r="F740" s="28"/>
      <c r="G740" s="28"/>
      <c r="H740" s="28"/>
      <c r="I740" s="28"/>
      <c r="J740" s="28"/>
      <c r="K740" s="28"/>
      <c r="L740" s="28"/>
      <c r="M740" s="33"/>
      <c r="N740" s="33"/>
      <c r="O740" s="33"/>
      <c r="P740" s="33"/>
      <c r="Q740" s="28"/>
      <c r="R740" s="28"/>
      <c r="S740" s="28"/>
      <c r="T740" s="28"/>
      <c r="U740" s="28"/>
      <c r="V740" s="28"/>
      <c r="W740" s="28"/>
      <c r="X740" s="28"/>
      <c r="Y740" s="28"/>
      <c r="Z740" s="28"/>
      <c r="AA740" s="28"/>
    </row>
    <row r="741" ht="18.75" customHeight="1">
      <c r="A741" s="28"/>
      <c r="B741" s="28"/>
      <c r="C741" s="28"/>
      <c r="D741" s="28"/>
      <c r="E741" s="28"/>
      <c r="F741" s="28"/>
      <c r="G741" s="28"/>
      <c r="H741" s="28"/>
      <c r="I741" s="28"/>
      <c r="J741" s="28"/>
      <c r="K741" s="28"/>
      <c r="L741" s="28"/>
      <c r="M741" s="33"/>
      <c r="N741" s="33"/>
      <c r="O741" s="33"/>
      <c r="P741" s="33"/>
      <c r="Q741" s="28"/>
      <c r="R741" s="28"/>
      <c r="S741" s="28"/>
      <c r="T741" s="28"/>
      <c r="U741" s="28"/>
      <c r="V741" s="28"/>
      <c r="W741" s="28"/>
      <c r="X741" s="28"/>
      <c r="Y741" s="28"/>
      <c r="Z741" s="28"/>
      <c r="AA741" s="28"/>
    </row>
    <row r="742" ht="18.75" customHeight="1">
      <c r="A742" s="28"/>
      <c r="B742" s="28"/>
      <c r="C742" s="28"/>
      <c r="D742" s="28"/>
      <c r="E742" s="28"/>
      <c r="F742" s="28"/>
      <c r="G742" s="28"/>
      <c r="H742" s="28"/>
      <c r="I742" s="28"/>
      <c r="J742" s="28"/>
      <c r="K742" s="28"/>
      <c r="L742" s="28"/>
      <c r="M742" s="33"/>
      <c r="N742" s="33"/>
      <c r="O742" s="33"/>
      <c r="P742" s="33"/>
      <c r="Q742" s="28"/>
      <c r="R742" s="28"/>
      <c r="S742" s="28"/>
      <c r="T742" s="28"/>
      <c r="U742" s="28"/>
      <c r="V742" s="28"/>
      <c r="W742" s="28"/>
      <c r="X742" s="28"/>
      <c r="Y742" s="28"/>
      <c r="Z742" s="28"/>
      <c r="AA742" s="28"/>
    </row>
    <row r="743" ht="18.75" customHeight="1">
      <c r="A743" s="28"/>
      <c r="B743" s="28"/>
      <c r="C743" s="28"/>
      <c r="D743" s="28"/>
      <c r="E743" s="28"/>
      <c r="F743" s="28"/>
      <c r="G743" s="28"/>
      <c r="H743" s="28"/>
      <c r="I743" s="28"/>
      <c r="J743" s="28"/>
      <c r="K743" s="28"/>
      <c r="L743" s="28"/>
      <c r="M743" s="33"/>
      <c r="N743" s="33"/>
      <c r="O743" s="33"/>
      <c r="P743" s="33"/>
      <c r="Q743" s="28"/>
      <c r="R743" s="28"/>
      <c r="S743" s="28"/>
      <c r="T743" s="28"/>
      <c r="U743" s="28"/>
      <c r="V743" s="28"/>
      <c r="W743" s="28"/>
      <c r="X743" s="28"/>
      <c r="Y743" s="28"/>
      <c r="Z743" s="28"/>
      <c r="AA743" s="28"/>
    </row>
    <row r="744" ht="18.75" customHeight="1">
      <c r="A744" s="28"/>
      <c r="B744" s="28"/>
      <c r="C744" s="28"/>
      <c r="D744" s="28"/>
      <c r="E744" s="28"/>
      <c r="F744" s="28"/>
      <c r="G744" s="28"/>
      <c r="H744" s="28"/>
      <c r="I744" s="28"/>
      <c r="J744" s="28"/>
      <c r="K744" s="28"/>
      <c r="L744" s="28"/>
      <c r="M744" s="33"/>
      <c r="N744" s="33"/>
      <c r="O744" s="33"/>
      <c r="P744" s="33"/>
      <c r="Q744" s="28"/>
      <c r="R744" s="28"/>
      <c r="S744" s="28"/>
      <c r="T744" s="28"/>
      <c r="U744" s="28"/>
      <c r="V744" s="28"/>
      <c r="W744" s="28"/>
      <c r="X744" s="28"/>
      <c r="Y744" s="28"/>
      <c r="Z744" s="28"/>
      <c r="AA744" s="28"/>
    </row>
    <row r="745" ht="18.75" customHeight="1">
      <c r="A745" s="28"/>
      <c r="B745" s="28"/>
      <c r="C745" s="28"/>
      <c r="D745" s="28"/>
      <c r="E745" s="28"/>
      <c r="F745" s="28"/>
      <c r="G745" s="28"/>
      <c r="H745" s="28"/>
      <c r="I745" s="28"/>
      <c r="J745" s="28"/>
      <c r="K745" s="28"/>
      <c r="L745" s="28"/>
      <c r="M745" s="33"/>
      <c r="N745" s="33"/>
      <c r="O745" s="33"/>
      <c r="P745" s="33"/>
      <c r="Q745" s="28"/>
      <c r="R745" s="28"/>
      <c r="S745" s="28"/>
      <c r="T745" s="28"/>
      <c r="U745" s="28"/>
      <c r="V745" s="28"/>
      <c r="W745" s="28"/>
      <c r="X745" s="28"/>
      <c r="Y745" s="28"/>
      <c r="Z745" s="28"/>
      <c r="AA745" s="28"/>
    </row>
    <row r="746" ht="18.75" customHeight="1">
      <c r="A746" s="28"/>
      <c r="B746" s="28"/>
      <c r="C746" s="28"/>
      <c r="D746" s="28"/>
      <c r="E746" s="28"/>
      <c r="F746" s="28"/>
      <c r="G746" s="28"/>
      <c r="H746" s="28"/>
      <c r="I746" s="28"/>
      <c r="J746" s="28"/>
      <c r="K746" s="28"/>
      <c r="L746" s="28"/>
      <c r="M746" s="33"/>
      <c r="N746" s="33"/>
      <c r="O746" s="33"/>
      <c r="P746" s="33"/>
      <c r="Q746" s="28"/>
      <c r="R746" s="28"/>
      <c r="S746" s="28"/>
      <c r="T746" s="28"/>
      <c r="U746" s="28"/>
      <c r="V746" s="28"/>
      <c r="W746" s="28"/>
      <c r="X746" s="28"/>
      <c r="Y746" s="28"/>
      <c r="Z746" s="28"/>
      <c r="AA746" s="28"/>
    </row>
    <row r="747" ht="18.75" customHeight="1">
      <c r="A747" s="28"/>
      <c r="B747" s="28"/>
      <c r="C747" s="28"/>
      <c r="D747" s="28"/>
      <c r="E747" s="28"/>
      <c r="F747" s="28"/>
      <c r="G747" s="28"/>
      <c r="H747" s="28"/>
      <c r="I747" s="28"/>
      <c r="J747" s="28"/>
      <c r="K747" s="28"/>
      <c r="L747" s="28"/>
      <c r="M747" s="33"/>
      <c r="N747" s="33"/>
      <c r="O747" s="33"/>
      <c r="P747" s="33"/>
      <c r="Q747" s="28"/>
      <c r="R747" s="28"/>
      <c r="S747" s="28"/>
      <c r="T747" s="28"/>
      <c r="U747" s="28"/>
      <c r="V747" s="28"/>
      <c r="W747" s="28"/>
      <c r="X747" s="28"/>
      <c r="Y747" s="28"/>
      <c r="Z747" s="28"/>
      <c r="AA747" s="28"/>
    </row>
    <row r="748" ht="18.75" customHeight="1">
      <c r="A748" s="28"/>
      <c r="B748" s="28"/>
      <c r="C748" s="28"/>
      <c r="D748" s="28"/>
      <c r="E748" s="28"/>
      <c r="F748" s="28"/>
      <c r="G748" s="28"/>
      <c r="H748" s="28"/>
      <c r="I748" s="28"/>
      <c r="J748" s="28"/>
      <c r="K748" s="28"/>
      <c r="L748" s="28"/>
      <c r="M748" s="33"/>
      <c r="N748" s="33"/>
      <c r="O748" s="33"/>
      <c r="P748" s="33"/>
      <c r="Q748" s="28"/>
      <c r="R748" s="28"/>
      <c r="S748" s="28"/>
      <c r="T748" s="28"/>
      <c r="U748" s="28"/>
      <c r="V748" s="28"/>
      <c r="W748" s="28"/>
      <c r="X748" s="28"/>
      <c r="Y748" s="28"/>
      <c r="Z748" s="28"/>
      <c r="AA748" s="28"/>
    </row>
    <row r="749" ht="18.75" customHeight="1">
      <c r="A749" s="28"/>
      <c r="B749" s="28"/>
      <c r="C749" s="28"/>
      <c r="D749" s="28"/>
      <c r="E749" s="28"/>
      <c r="F749" s="28"/>
      <c r="G749" s="28"/>
      <c r="H749" s="28"/>
      <c r="I749" s="28"/>
      <c r="J749" s="28"/>
      <c r="K749" s="28"/>
      <c r="L749" s="28"/>
      <c r="M749" s="33"/>
      <c r="N749" s="33"/>
      <c r="O749" s="33"/>
      <c r="P749" s="33"/>
      <c r="Q749" s="28"/>
      <c r="R749" s="28"/>
      <c r="S749" s="28"/>
      <c r="T749" s="28"/>
      <c r="U749" s="28"/>
      <c r="V749" s="28"/>
      <c r="W749" s="28"/>
      <c r="X749" s="28"/>
      <c r="Y749" s="28"/>
      <c r="Z749" s="28"/>
      <c r="AA749" s="28"/>
    </row>
    <row r="750" ht="18.75" customHeight="1">
      <c r="A750" s="28"/>
      <c r="B750" s="28"/>
      <c r="C750" s="28"/>
      <c r="D750" s="28"/>
      <c r="E750" s="28"/>
      <c r="F750" s="28"/>
      <c r="G750" s="28"/>
      <c r="H750" s="28"/>
      <c r="I750" s="28"/>
      <c r="J750" s="28"/>
      <c r="K750" s="28"/>
      <c r="L750" s="28"/>
      <c r="M750" s="33"/>
      <c r="N750" s="33"/>
      <c r="O750" s="33"/>
      <c r="P750" s="33"/>
      <c r="Q750" s="28"/>
      <c r="R750" s="28"/>
      <c r="S750" s="28"/>
      <c r="T750" s="28"/>
      <c r="U750" s="28"/>
      <c r="V750" s="28"/>
      <c r="W750" s="28"/>
      <c r="X750" s="28"/>
      <c r="Y750" s="28"/>
      <c r="Z750" s="28"/>
      <c r="AA750" s="28"/>
    </row>
    <row r="751" ht="18.75" customHeight="1">
      <c r="A751" s="28"/>
      <c r="B751" s="28"/>
      <c r="C751" s="28"/>
      <c r="D751" s="28"/>
      <c r="E751" s="28"/>
      <c r="F751" s="28"/>
      <c r="G751" s="28"/>
      <c r="H751" s="28"/>
      <c r="I751" s="28"/>
      <c r="J751" s="28"/>
      <c r="K751" s="28"/>
      <c r="L751" s="28"/>
      <c r="M751" s="33"/>
      <c r="N751" s="33"/>
      <c r="O751" s="33"/>
      <c r="P751" s="33"/>
      <c r="Q751" s="28"/>
      <c r="R751" s="28"/>
      <c r="S751" s="28"/>
      <c r="T751" s="28"/>
      <c r="U751" s="28"/>
      <c r="V751" s="28"/>
      <c r="W751" s="28"/>
      <c r="X751" s="28"/>
      <c r="Y751" s="28"/>
      <c r="Z751" s="28"/>
      <c r="AA751" s="28"/>
    </row>
    <row r="752" ht="18.75" customHeight="1">
      <c r="A752" s="28"/>
      <c r="B752" s="28"/>
      <c r="C752" s="28"/>
      <c r="D752" s="28"/>
      <c r="E752" s="28"/>
      <c r="F752" s="28"/>
      <c r="G752" s="28"/>
      <c r="H752" s="28"/>
      <c r="I752" s="28"/>
      <c r="J752" s="28"/>
      <c r="K752" s="28"/>
      <c r="L752" s="28"/>
      <c r="M752" s="33"/>
      <c r="N752" s="33"/>
      <c r="O752" s="33"/>
      <c r="P752" s="33"/>
      <c r="Q752" s="28"/>
      <c r="R752" s="28"/>
      <c r="S752" s="28"/>
      <c r="T752" s="28"/>
      <c r="U752" s="28"/>
      <c r="V752" s="28"/>
      <c r="W752" s="28"/>
      <c r="X752" s="28"/>
      <c r="Y752" s="28"/>
      <c r="Z752" s="28"/>
      <c r="AA752" s="28"/>
    </row>
    <row r="753" ht="18.75" customHeight="1">
      <c r="A753" s="28"/>
      <c r="B753" s="28"/>
      <c r="C753" s="28"/>
      <c r="D753" s="28"/>
      <c r="E753" s="28"/>
      <c r="F753" s="28"/>
      <c r="G753" s="28"/>
      <c r="H753" s="28"/>
      <c r="I753" s="28"/>
      <c r="J753" s="28"/>
      <c r="K753" s="28"/>
      <c r="L753" s="28"/>
      <c r="M753" s="33"/>
      <c r="N753" s="33"/>
      <c r="O753" s="33"/>
      <c r="P753" s="33"/>
      <c r="Q753" s="28"/>
      <c r="R753" s="28"/>
      <c r="S753" s="28"/>
      <c r="T753" s="28"/>
      <c r="U753" s="28"/>
      <c r="V753" s="28"/>
      <c r="W753" s="28"/>
      <c r="X753" s="28"/>
      <c r="Y753" s="28"/>
      <c r="Z753" s="28"/>
      <c r="AA753" s="28"/>
    </row>
    <row r="754" ht="18.75" customHeight="1">
      <c r="A754" s="28"/>
      <c r="B754" s="28"/>
      <c r="C754" s="28"/>
      <c r="D754" s="28"/>
      <c r="E754" s="28"/>
      <c r="F754" s="28"/>
      <c r="G754" s="28"/>
      <c r="H754" s="28"/>
      <c r="I754" s="28"/>
      <c r="J754" s="28"/>
      <c r="K754" s="28"/>
      <c r="L754" s="28"/>
      <c r="M754" s="33"/>
      <c r="N754" s="33"/>
      <c r="O754" s="33"/>
      <c r="P754" s="33"/>
      <c r="Q754" s="28"/>
      <c r="R754" s="28"/>
      <c r="S754" s="28"/>
      <c r="T754" s="28"/>
      <c r="U754" s="28"/>
      <c r="V754" s="28"/>
      <c r="W754" s="28"/>
      <c r="X754" s="28"/>
      <c r="Y754" s="28"/>
      <c r="Z754" s="28"/>
      <c r="AA754" s="28"/>
    </row>
    <row r="755" ht="18.75" customHeight="1">
      <c r="A755" s="28"/>
      <c r="B755" s="28"/>
      <c r="C755" s="28"/>
      <c r="D755" s="28"/>
      <c r="E755" s="28"/>
      <c r="F755" s="28"/>
      <c r="G755" s="28"/>
      <c r="H755" s="28"/>
      <c r="I755" s="28"/>
      <c r="J755" s="28"/>
      <c r="K755" s="28"/>
      <c r="L755" s="28"/>
      <c r="M755" s="33"/>
      <c r="N755" s="33"/>
      <c r="O755" s="33"/>
      <c r="P755" s="33"/>
      <c r="Q755" s="28"/>
      <c r="R755" s="28"/>
      <c r="S755" s="28"/>
      <c r="T755" s="28"/>
      <c r="U755" s="28"/>
      <c r="V755" s="28"/>
      <c r="W755" s="28"/>
      <c r="X755" s="28"/>
      <c r="Y755" s="28"/>
      <c r="Z755" s="28"/>
      <c r="AA755" s="28"/>
    </row>
    <row r="756" ht="18.75" customHeight="1">
      <c r="A756" s="28"/>
      <c r="B756" s="28"/>
      <c r="C756" s="28"/>
      <c r="D756" s="28"/>
      <c r="E756" s="28"/>
      <c r="F756" s="28"/>
      <c r="G756" s="28"/>
      <c r="H756" s="28"/>
      <c r="I756" s="28"/>
      <c r="J756" s="28"/>
      <c r="K756" s="28"/>
      <c r="L756" s="28"/>
      <c r="M756" s="33"/>
      <c r="N756" s="33"/>
      <c r="O756" s="33"/>
      <c r="P756" s="33"/>
      <c r="Q756" s="28"/>
      <c r="R756" s="28"/>
      <c r="S756" s="28"/>
      <c r="T756" s="28"/>
      <c r="U756" s="28"/>
      <c r="V756" s="28"/>
      <c r="W756" s="28"/>
      <c r="X756" s="28"/>
      <c r="Y756" s="28"/>
      <c r="Z756" s="28"/>
      <c r="AA756" s="28"/>
    </row>
    <row r="757" ht="18.75" customHeight="1">
      <c r="A757" s="28"/>
      <c r="B757" s="28"/>
      <c r="C757" s="28"/>
      <c r="D757" s="28"/>
      <c r="E757" s="28"/>
      <c r="F757" s="28"/>
      <c r="G757" s="28"/>
      <c r="H757" s="28"/>
      <c r="I757" s="28"/>
      <c r="J757" s="28"/>
      <c r="K757" s="28"/>
      <c r="L757" s="28"/>
      <c r="M757" s="33"/>
      <c r="N757" s="33"/>
      <c r="O757" s="33"/>
      <c r="P757" s="33"/>
      <c r="Q757" s="28"/>
      <c r="R757" s="28"/>
      <c r="S757" s="28"/>
      <c r="T757" s="28"/>
      <c r="U757" s="28"/>
      <c r="V757" s="28"/>
      <c r="W757" s="28"/>
      <c r="X757" s="28"/>
      <c r="Y757" s="28"/>
      <c r="Z757" s="28"/>
      <c r="AA757" s="28"/>
    </row>
    <row r="758" ht="18.75" customHeight="1">
      <c r="A758" s="28"/>
      <c r="B758" s="28"/>
      <c r="C758" s="28"/>
      <c r="D758" s="28"/>
      <c r="E758" s="28"/>
      <c r="F758" s="28"/>
      <c r="G758" s="28"/>
      <c r="H758" s="28"/>
      <c r="I758" s="28"/>
      <c r="J758" s="28"/>
      <c r="K758" s="28"/>
      <c r="L758" s="28"/>
      <c r="M758" s="33"/>
      <c r="N758" s="33"/>
      <c r="O758" s="33"/>
      <c r="P758" s="33"/>
      <c r="Q758" s="28"/>
      <c r="R758" s="28"/>
      <c r="S758" s="28"/>
      <c r="T758" s="28"/>
      <c r="U758" s="28"/>
      <c r="V758" s="28"/>
      <c r="W758" s="28"/>
      <c r="X758" s="28"/>
      <c r="Y758" s="28"/>
      <c r="Z758" s="28"/>
      <c r="AA758" s="28"/>
    </row>
    <row r="759" ht="18.75" customHeight="1">
      <c r="A759" s="28"/>
      <c r="B759" s="28"/>
      <c r="C759" s="28"/>
      <c r="D759" s="28"/>
      <c r="E759" s="28"/>
      <c r="F759" s="28"/>
      <c r="G759" s="28"/>
      <c r="H759" s="28"/>
      <c r="I759" s="28"/>
      <c r="J759" s="28"/>
      <c r="K759" s="28"/>
      <c r="L759" s="28"/>
      <c r="M759" s="33"/>
      <c r="N759" s="33"/>
      <c r="O759" s="33"/>
      <c r="P759" s="33"/>
      <c r="Q759" s="28"/>
      <c r="R759" s="28"/>
      <c r="S759" s="28"/>
      <c r="T759" s="28"/>
      <c r="U759" s="28"/>
      <c r="V759" s="28"/>
      <c r="W759" s="28"/>
      <c r="X759" s="28"/>
      <c r="Y759" s="28"/>
      <c r="Z759" s="28"/>
      <c r="AA759" s="28"/>
    </row>
    <row r="760" ht="18.75" customHeight="1">
      <c r="A760" s="28"/>
      <c r="B760" s="28"/>
      <c r="C760" s="28"/>
      <c r="D760" s="28"/>
      <c r="E760" s="28"/>
      <c r="F760" s="28"/>
      <c r="G760" s="28"/>
      <c r="H760" s="28"/>
      <c r="I760" s="28"/>
      <c r="J760" s="28"/>
      <c r="K760" s="28"/>
      <c r="L760" s="28"/>
      <c r="M760" s="33"/>
      <c r="N760" s="33"/>
      <c r="O760" s="33"/>
      <c r="P760" s="33"/>
      <c r="Q760" s="28"/>
      <c r="R760" s="28"/>
      <c r="S760" s="28"/>
      <c r="T760" s="28"/>
      <c r="U760" s="28"/>
      <c r="V760" s="28"/>
      <c r="W760" s="28"/>
      <c r="X760" s="28"/>
      <c r="Y760" s="28"/>
      <c r="Z760" s="28"/>
      <c r="AA760" s="28"/>
    </row>
    <row r="761" ht="18.75" customHeight="1">
      <c r="A761" s="28"/>
      <c r="B761" s="28"/>
      <c r="C761" s="28"/>
      <c r="D761" s="28"/>
      <c r="E761" s="28"/>
      <c r="F761" s="28"/>
      <c r="G761" s="28"/>
      <c r="H761" s="28"/>
      <c r="I761" s="28"/>
      <c r="J761" s="28"/>
      <c r="K761" s="28"/>
      <c r="L761" s="28"/>
      <c r="M761" s="33"/>
      <c r="N761" s="33"/>
      <c r="O761" s="33"/>
      <c r="P761" s="33"/>
      <c r="Q761" s="28"/>
      <c r="R761" s="28"/>
      <c r="S761" s="28"/>
      <c r="T761" s="28"/>
      <c r="U761" s="28"/>
      <c r="V761" s="28"/>
      <c r="W761" s="28"/>
      <c r="X761" s="28"/>
      <c r="Y761" s="28"/>
      <c r="Z761" s="28"/>
      <c r="AA761" s="28"/>
    </row>
    <row r="762" ht="18.75" customHeight="1">
      <c r="A762" s="28"/>
      <c r="B762" s="28"/>
      <c r="C762" s="28"/>
      <c r="D762" s="28"/>
      <c r="E762" s="28"/>
      <c r="F762" s="28"/>
      <c r="G762" s="28"/>
      <c r="H762" s="28"/>
      <c r="I762" s="28"/>
      <c r="J762" s="28"/>
      <c r="K762" s="28"/>
      <c r="L762" s="28"/>
      <c r="M762" s="33"/>
      <c r="N762" s="33"/>
      <c r="O762" s="33"/>
      <c r="P762" s="33"/>
      <c r="Q762" s="28"/>
      <c r="R762" s="28"/>
      <c r="S762" s="28"/>
      <c r="T762" s="28"/>
      <c r="U762" s="28"/>
      <c r="V762" s="28"/>
      <c r="W762" s="28"/>
      <c r="X762" s="28"/>
      <c r="Y762" s="28"/>
      <c r="Z762" s="28"/>
      <c r="AA762" s="28"/>
    </row>
    <row r="763" ht="18.75" customHeight="1">
      <c r="A763" s="28"/>
      <c r="B763" s="28"/>
      <c r="C763" s="28"/>
      <c r="D763" s="28"/>
      <c r="E763" s="28"/>
      <c r="F763" s="28"/>
      <c r="G763" s="28"/>
      <c r="H763" s="28"/>
      <c r="I763" s="28"/>
      <c r="J763" s="28"/>
      <c r="K763" s="28"/>
      <c r="L763" s="28"/>
      <c r="M763" s="33"/>
      <c r="N763" s="33"/>
      <c r="O763" s="33"/>
      <c r="P763" s="33"/>
      <c r="Q763" s="28"/>
      <c r="R763" s="28"/>
      <c r="S763" s="28"/>
      <c r="T763" s="28"/>
      <c r="U763" s="28"/>
      <c r="V763" s="28"/>
      <c r="W763" s="28"/>
      <c r="X763" s="28"/>
      <c r="Y763" s="28"/>
      <c r="Z763" s="28"/>
      <c r="AA763" s="28"/>
    </row>
    <row r="764" ht="18.75" customHeight="1">
      <c r="A764" s="28"/>
      <c r="B764" s="28"/>
      <c r="C764" s="28"/>
      <c r="D764" s="28"/>
      <c r="E764" s="28"/>
      <c r="F764" s="28"/>
      <c r="G764" s="28"/>
      <c r="H764" s="28"/>
      <c r="I764" s="28"/>
      <c r="J764" s="28"/>
      <c r="K764" s="28"/>
      <c r="L764" s="28"/>
      <c r="M764" s="33"/>
      <c r="N764" s="33"/>
      <c r="O764" s="33"/>
      <c r="P764" s="33"/>
      <c r="Q764" s="28"/>
      <c r="R764" s="28"/>
      <c r="S764" s="28"/>
      <c r="T764" s="28"/>
      <c r="U764" s="28"/>
      <c r="V764" s="28"/>
      <c r="W764" s="28"/>
      <c r="X764" s="28"/>
      <c r="Y764" s="28"/>
      <c r="Z764" s="28"/>
      <c r="AA764" s="28"/>
    </row>
    <row r="765" ht="18.75" customHeight="1">
      <c r="A765" s="28"/>
      <c r="B765" s="28"/>
      <c r="C765" s="28"/>
      <c r="D765" s="28"/>
      <c r="E765" s="28"/>
      <c r="F765" s="28"/>
      <c r="G765" s="28"/>
      <c r="H765" s="28"/>
      <c r="I765" s="28"/>
      <c r="J765" s="28"/>
      <c r="K765" s="28"/>
      <c r="L765" s="28"/>
      <c r="M765" s="33"/>
      <c r="N765" s="33"/>
      <c r="O765" s="33"/>
      <c r="P765" s="33"/>
      <c r="Q765" s="28"/>
      <c r="R765" s="28"/>
      <c r="S765" s="28"/>
      <c r="T765" s="28"/>
      <c r="U765" s="28"/>
      <c r="V765" s="28"/>
      <c r="W765" s="28"/>
      <c r="X765" s="28"/>
      <c r="Y765" s="28"/>
      <c r="Z765" s="28"/>
      <c r="AA765" s="28"/>
    </row>
    <row r="766" ht="18.75" customHeight="1">
      <c r="A766" s="28"/>
      <c r="B766" s="28"/>
      <c r="C766" s="28"/>
      <c r="D766" s="28"/>
      <c r="E766" s="28"/>
      <c r="F766" s="28"/>
      <c r="G766" s="28"/>
      <c r="H766" s="28"/>
      <c r="I766" s="28"/>
      <c r="J766" s="28"/>
      <c r="K766" s="28"/>
      <c r="L766" s="28"/>
      <c r="M766" s="33"/>
      <c r="N766" s="33"/>
      <c r="O766" s="33"/>
      <c r="P766" s="33"/>
      <c r="Q766" s="28"/>
      <c r="R766" s="28"/>
      <c r="S766" s="28"/>
      <c r="T766" s="28"/>
      <c r="U766" s="28"/>
      <c r="V766" s="28"/>
      <c r="W766" s="28"/>
      <c r="X766" s="28"/>
      <c r="Y766" s="28"/>
      <c r="Z766" s="28"/>
      <c r="AA766" s="28"/>
    </row>
    <row r="767" ht="18.75" customHeight="1">
      <c r="A767" s="28"/>
      <c r="B767" s="28"/>
      <c r="C767" s="28"/>
      <c r="D767" s="28"/>
      <c r="E767" s="28"/>
      <c r="F767" s="28"/>
      <c r="G767" s="28"/>
      <c r="H767" s="28"/>
      <c r="I767" s="28"/>
      <c r="J767" s="28"/>
      <c r="K767" s="28"/>
      <c r="L767" s="28"/>
      <c r="M767" s="33"/>
      <c r="N767" s="33"/>
      <c r="O767" s="33"/>
      <c r="P767" s="33"/>
      <c r="Q767" s="28"/>
      <c r="R767" s="28"/>
      <c r="S767" s="28"/>
      <c r="T767" s="28"/>
      <c r="U767" s="28"/>
      <c r="V767" s="28"/>
      <c r="W767" s="28"/>
      <c r="X767" s="28"/>
      <c r="Y767" s="28"/>
      <c r="Z767" s="28"/>
      <c r="AA767" s="28"/>
    </row>
    <row r="768" ht="18.75" customHeight="1">
      <c r="A768" s="28"/>
      <c r="B768" s="28"/>
      <c r="C768" s="28"/>
      <c r="D768" s="28"/>
      <c r="E768" s="28"/>
      <c r="F768" s="28"/>
      <c r="G768" s="28"/>
      <c r="H768" s="28"/>
      <c r="I768" s="28"/>
      <c r="J768" s="28"/>
      <c r="K768" s="28"/>
      <c r="L768" s="28"/>
      <c r="M768" s="33"/>
      <c r="N768" s="33"/>
      <c r="O768" s="33"/>
      <c r="P768" s="33"/>
      <c r="Q768" s="28"/>
      <c r="R768" s="28"/>
      <c r="S768" s="28"/>
      <c r="T768" s="28"/>
      <c r="U768" s="28"/>
      <c r="V768" s="28"/>
      <c r="W768" s="28"/>
      <c r="X768" s="28"/>
      <c r="Y768" s="28"/>
      <c r="Z768" s="28"/>
      <c r="AA768" s="28"/>
    </row>
    <row r="769" ht="18.75" customHeight="1">
      <c r="A769" s="28"/>
      <c r="B769" s="28"/>
      <c r="C769" s="28"/>
      <c r="D769" s="28"/>
      <c r="E769" s="28"/>
      <c r="F769" s="28"/>
      <c r="G769" s="28"/>
      <c r="H769" s="28"/>
      <c r="I769" s="28"/>
      <c r="J769" s="28"/>
      <c r="K769" s="28"/>
      <c r="L769" s="28"/>
      <c r="M769" s="33"/>
      <c r="N769" s="33"/>
      <c r="O769" s="33"/>
      <c r="P769" s="33"/>
      <c r="Q769" s="28"/>
      <c r="R769" s="28"/>
      <c r="S769" s="28"/>
      <c r="T769" s="28"/>
      <c r="U769" s="28"/>
      <c r="V769" s="28"/>
      <c r="W769" s="28"/>
      <c r="X769" s="28"/>
      <c r="Y769" s="28"/>
      <c r="Z769" s="28"/>
      <c r="AA769" s="28"/>
    </row>
    <row r="770" ht="18.75" customHeight="1">
      <c r="A770" s="28"/>
      <c r="B770" s="28"/>
      <c r="C770" s="28"/>
      <c r="D770" s="28"/>
      <c r="E770" s="28"/>
      <c r="F770" s="28"/>
      <c r="G770" s="28"/>
      <c r="H770" s="28"/>
      <c r="I770" s="28"/>
      <c r="J770" s="28"/>
      <c r="K770" s="28"/>
      <c r="L770" s="28"/>
      <c r="M770" s="33"/>
      <c r="N770" s="33"/>
      <c r="O770" s="33"/>
      <c r="P770" s="33"/>
      <c r="Q770" s="28"/>
      <c r="R770" s="28"/>
      <c r="S770" s="28"/>
      <c r="T770" s="28"/>
      <c r="U770" s="28"/>
      <c r="V770" s="28"/>
      <c r="W770" s="28"/>
      <c r="X770" s="28"/>
      <c r="Y770" s="28"/>
      <c r="Z770" s="28"/>
      <c r="AA770" s="28"/>
    </row>
    <row r="771" ht="18.75" customHeight="1">
      <c r="A771" s="28"/>
      <c r="B771" s="28"/>
      <c r="C771" s="28"/>
      <c r="D771" s="28"/>
      <c r="E771" s="28"/>
      <c r="F771" s="28"/>
      <c r="G771" s="28"/>
      <c r="H771" s="28"/>
      <c r="I771" s="28"/>
      <c r="J771" s="28"/>
      <c r="K771" s="28"/>
      <c r="L771" s="28"/>
      <c r="M771" s="33"/>
      <c r="N771" s="33"/>
      <c r="O771" s="33"/>
      <c r="P771" s="33"/>
      <c r="Q771" s="28"/>
      <c r="R771" s="28"/>
      <c r="S771" s="28"/>
      <c r="T771" s="28"/>
      <c r="U771" s="28"/>
      <c r="V771" s="28"/>
      <c r="W771" s="28"/>
      <c r="X771" s="28"/>
      <c r="Y771" s="28"/>
      <c r="Z771" s="28"/>
      <c r="AA771" s="28"/>
    </row>
    <row r="772" ht="18.75" customHeight="1">
      <c r="A772" s="28"/>
      <c r="B772" s="28"/>
      <c r="C772" s="28"/>
      <c r="D772" s="28"/>
      <c r="E772" s="28"/>
      <c r="F772" s="28"/>
      <c r="G772" s="28"/>
      <c r="H772" s="28"/>
      <c r="I772" s="28"/>
      <c r="J772" s="28"/>
      <c r="K772" s="28"/>
      <c r="L772" s="28"/>
      <c r="M772" s="33"/>
      <c r="N772" s="33"/>
      <c r="O772" s="33"/>
      <c r="P772" s="33"/>
      <c r="Q772" s="28"/>
      <c r="R772" s="28"/>
      <c r="S772" s="28"/>
      <c r="T772" s="28"/>
      <c r="U772" s="28"/>
      <c r="V772" s="28"/>
      <c r="W772" s="28"/>
      <c r="X772" s="28"/>
      <c r="Y772" s="28"/>
      <c r="Z772" s="28"/>
      <c r="AA772" s="28"/>
    </row>
    <row r="773" ht="18.75" customHeight="1">
      <c r="A773" s="28"/>
      <c r="B773" s="28"/>
      <c r="C773" s="28"/>
      <c r="D773" s="28"/>
      <c r="E773" s="28"/>
      <c r="F773" s="28"/>
      <c r="G773" s="28"/>
      <c r="H773" s="28"/>
      <c r="I773" s="28"/>
      <c r="J773" s="28"/>
      <c r="K773" s="28"/>
      <c r="L773" s="28"/>
      <c r="M773" s="33"/>
      <c r="N773" s="33"/>
      <c r="O773" s="33"/>
      <c r="P773" s="33"/>
      <c r="Q773" s="28"/>
      <c r="R773" s="28"/>
      <c r="S773" s="28"/>
      <c r="T773" s="28"/>
      <c r="U773" s="28"/>
      <c r="V773" s="28"/>
      <c r="W773" s="28"/>
      <c r="X773" s="28"/>
      <c r="Y773" s="28"/>
      <c r="Z773" s="28"/>
      <c r="AA773" s="28"/>
    </row>
    <row r="774" ht="18.75" customHeight="1">
      <c r="A774" s="28"/>
      <c r="B774" s="28"/>
      <c r="C774" s="28"/>
      <c r="D774" s="28"/>
      <c r="E774" s="28"/>
      <c r="F774" s="28"/>
      <c r="G774" s="28"/>
      <c r="H774" s="28"/>
      <c r="I774" s="28"/>
      <c r="J774" s="28"/>
      <c r="K774" s="28"/>
      <c r="L774" s="28"/>
      <c r="M774" s="33"/>
      <c r="N774" s="33"/>
      <c r="O774" s="33"/>
      <c r="P774" s="33"/>
      <c r="Q774" s="28"/>
      <c r="R774" s="28"/>
      <c r="S774" s="28"/>
      <c r="T774" s="28"/>
      <c r="U774" s="28"/>
      <c r="V774" s="28"/>
      <c r="W774" s="28"/>
      <c r="X774" s="28"/>
      <c r="Y774" s="28"/>
      <c r="Z774" s="28"/>
      <c r="AA774" s="28"/>
    </row>
    <row r="775" ht="18.75" customHeight="1">
      <c r="A775" s="28"/>
      <c r="B775" s="28"/>
      <c r="C775" s="28"/>
      <c r="D775" s="28"/>
      <c r="E775" s="28"/>
      <c r="F775" s="28"/>
      <c r="G775" s="28"/>
      <c r="H775" s="28"/>
      <c r="I775" s="28"/>
      <c r="J775" s="28"/>
      <c r="K775" s="28"/>
      <c r="L775" s="28"/>
      <c r="M775" s="33"/>
      <c r="N775" s="33"/>
      <c r="O775" s="33"/>
      <c r="P775" s="33"/>
      <c r="Q775" s="28"/>
      <c r="R775" s="28"/>
      <c r="S775" s="28"/>
      <c r="T775" s="28"/>
      <c r="U775" s="28"/>
      <c r="V775" s="28"/>
      <c r="W775" s="28"/>
      <c r="X775" s="28"/>
      <c r="Y775" s="28"/>
      <c r="Z775" s="28"/>
      <c r="AA775" s="28"/>
    </row>
    <row r="776" ht="18.75" customHeight="1">
      <c r="A776" s="28"/>
      <c r="B776" s="28"/>
      <c r="C776" s="28"/>
      <c r="D776" s="28"/>
      <c r="E776" s="28"/>
      <c r="F776" s="28"/>
      <c r="G776" s="28"/>
      <c r="H776" s="28"/>
      <c r="I776" s="28"/>
      <c r="J776" s="28"/>
      <c r="K776" s="28"/>
      <c r="L776" s="28"/>
      <c r="M776" s="33"/>
      <c r="N776" s="33"/>
      <c r="O776" s="33"/>
      <c r="P776" s="33"/>
      <c r="Q776" s="28"/>
      <c r="R776" s="28"/>
      <c r="S776" s="28"/>
      <c r="T776" s="28"/>
      <c r="U776" s="28"/>
      <c r="V776" s="28"/>
      <c r="W776" s="28"/>
      <c r="X776" s="28"/>
      <c r="Y776" s="28"/>
      <c r="Z776" s="28"/>
      <c r="AA776" s="28"/>
    </row>
    <row r="777" ht="18.75" customHeight="1">
      <c r="A777" s="28"/>
      <c r="B777" s="28"/>
      <c r="C777" s="28"/>
      <c r="D777" s="28"/>
      <c r="E777" s="28"/>
      <c r="F777" s="28"/>
      <c r="G777" s="28"/>
      <c r="H777" s="28"/>
      <c r="I777" s="28"/>
      <c r="J777" s="28"/>
      <c r="K777" s="28"/>
      <c r="L777" s="28"/>
      <c r="M777" s="33"/>
      <c r="N777" s="33"/>
      <c r="O777" s="33"/>
      <c r="P777" s="33"/>
      <c r="Q777" s="28"/>
      <c r="R777" s="28"/>
      <c r="S777" s="28"/>
      <c r="T777" s="28"/>
      <c r="U777" s="28"/>
      <c r="V777" s="28"/>
      <c r="W777" s="28"/>
      <c r="X777" s="28"/>
      <c r="Y777" s="28"/>
      <c r="Z777" s="28"/>
      <c r="AA777" s="28"/>
    </row>
    <row r="778" ht="18.75" customHeight="1">
      <c r="A778" s="28"/>
      <c r="B778" s="28"/>
      <c r="C778" s="28"/>
      <c r="D778" s="28"/>
      <c r="E778" s="28"/>
      <c r="F778" s="28"/>
      <c r="G778" s="28"/>
      <c r="H778" s="28"/>
      <c r="I778" s="28"/>
      <c r="J778" s="28"/>
      <c r="K778" s="28"/>
      <c r="L778" s="28"/>
      <c r="M778" s="33"/>
      <c r="N778" s="33"/>
      <c r="O778" s="33"/>
      <c r="P778" s="33"/>
      <c r="Q778" s="28"/>
      <c r="R778" s="28"/>
      <c r="S778" s="28"/>
      <c r="T778" s="28"/>
      <c r="U778" s="28"/>
      <c r="V778" s="28"/>
      <c r="W778" s="28"/>
      <c r="X778" s="28"/>
      <c r="Y778" s="28"/>
      <c r="Z778" s="28"/>
      <c r="AA778" s="28"/>
    </row>
    <row r="779" ht="18.75" customHeight="1">
      <c r="A779" s="28"/>
      <c r="B779" s="28"/>
      <c r="C779" s="28"/>
      <c r="D779" s="28"/>
      <c r="E779" s="28"/>
      <c r="F779" s="28"/>
      <c r="G779" s="28"/>
      <c r="H779" s="28"/>
      <c r="I779" s="28"/>
      <c r="J779" s="28"/>
      <c r="K779" s="28"/>
      <c r="L779" s="28"/>
      <c r="M779" s="33"/>
      <c r="N779" s="33"/>
      <c r="O779" s="33"/>
      <c r="P779" s="33"/>
      <c r="Q779" s="28"/>
      <c r="R779" s="28"/>
      <c r="S779" s="28"/>
      <c r="T779" s="28"/>
      <c r="U779" s="28"/>
      <c r="V779" s="28"/>
      <c r="W779" s="28"/>
      <c r="X779" s="28"/>
      <c r="Y779" s="28"/>
      <c r="Z779" s="28"/>
      <c r="AA779" s="28"/>
    </row>
    <row r="780" ht="18.75" customHeight="1">
      <c r="A780" s="28"/>
      <c r="B780" s="28"/>
      <c r="C780" s="28"/>
      <c r="D780" s="28"/>
      <c r="E780" s="28"/>
      <c r="F780" s="28"/>
      <c r="G780" s="28"/>
      <c r="H780" s="28"/>
      <c r="I780" s="28"/>
      <c r="J780" s="28"/>
      <c r="K780" s="28"/>
      <c r="L780" s="28"/>
      <c r="M780" s="33"/>
      <c r="N780" s="33"/>
      <c r="O780" s="33"/>
      <c r="P780" s="33"/>
      <c r="Q780" s="28"/>
      <c r="R780" s="28"/>
      <c r="S780" s="28"/>
      <c r="T780" s="28"/>
      <c r="U780" s="28"/>
      <c r="V780" s="28"/>
      <c r="W780" s="28"/>
      <c r="X780" s="28"/>
      <c r="Y780" s="28"/>
      <c r="Z780" s="28"/>
      <c r="AA780" s="28"/>
    </row>
    <row r="781" ht="18.75" customHeight="1">
      <c r="A781" s="28"/>
      <c r="B781" s="28"/>
      <c r="C781" s="28"/>
      <c r="D781" s="28"/>
      <c r="E781" s="28"/>
      <c r="F781" s="28"/>
      <c r="G781" s="28"/>
      <c r="H781" s="28"/>
      <c r="I781" s="28"/>
      <c r="J781" s="28"/>
      <c r="K781" s="28"/>
      <c r="L781" s="28"/>
      <c r="M781" s="33"/>
      <c r="N781" s="33"/>
      <c r="O781" s="33"/>
      <c r="P781" s="33"/>
      <c r="Q781" s="28"/>
      <c r="R781" s="28"/>
      <c r="S781" s="28"/>
      <c r="T781" s="28"/>
      <c r="U781" s="28"/>
      <c r="V781" s="28"/>
      <c r="W781" s="28"/>
      <c r="X781" s="28"/>
      <c r="Y781" s="28"/>
      <c r="Z781" s="28"/>
      <c r="AA781" s="28"/>
    </row>
    <row r="782" ht="18.75" customHeight="1">
      <c r="A782" s="28"/>
      <c r="B782" s="28"/>
      <c r="C782" s="28"/>
      <c r="D782" s="28"/>
      <c r="E782" s="28"/>
      <c r="F782" s="28"/>
      <c r="G782" s="28"/>
      <c r="H782" s="28"/>
      <c r="I782" s="28"/>
      <c r="J782" s="28"/>
      <c r="K782" s="28"/>
      <c r="L782" s="28"/>
      <c r="M782" s="33"/>
      <c r="N782" s="33"/>
      <c r="O782" s="33"/>
      <c r="P782" s="33"/>
      <c r="Q782" s="28"/>
      <c r="R782" s="28"/>
      <c r="S782" s="28"/>
      <c r="T782" s="28"/>
      <c r="U782" s="28"/>
      <c r="V782" s="28"/>
      <c r="W782" s="28"/>
      <c r="X782" s="28"/>
      <c r="Y782" s="28"/>
      <c r="Z782" s="28"/>
      <c r="AA782" s="28"/>
    </row>
    <row r="783" ht="18.75" customHeight="1">
      <c r="A783" s="28"/>
      <c r="B783" s="28"/>
      <c r="C783" s="28"/>
      <c r="D783" s="28"/>
      <c r="E783" s="28"/>
      <c r="F783" s="28"/>
      <c r="G783" s="28"/>
      <c r="H783" s="28"/>
      <c r="I783" s="28"/>
      <c r="J783" s="28"/>
      <c r="K783" s="28"/>
      <c r="L783" s="28"/>
      <c r="M783" s="33"/>
      <c r="N783" s="33"/>
      <c r="O783" s="33"/>
      <c r="P783" s="33"/>
      <c r="Q783" s="28"/>
      <c r="R783" s="28"/>
      <c r="S783" s="28"/>
      <c r="T783" s="28"/>
      <c r="U783" s="28"/>
      <c r="V783" s="28"/>
      <c r="W783" s="28"/>
      <c r="X783" s="28"/>
      <c r="Y783" s="28"/>
      <c r="Z783" s="28"/>
      <c r="AA783" s="28"/>
    </row>
    <row r="784" ht="18.75" customHeight="1">
      <c r="A784" s="28"/>
      <c r="B784" s="28"/>
      <c r="C784" s="28"/>
      <c r="D784" s="28"/>
      <c r="E784" s="28"/>
      <c r="F784" s="28"/>
      <c r="G784" s="28"/>
      <c r="H784" s="28"/>
      <c r="I784" s="28"/>
      <c r="J784" s="28"/>
      <c r="K784" s="28"/>
      <c r="L784" s="28"/>
      <c r="M784" s="33"/>
      <c r="N784" s="33"/>
      <c r="O784" s="33"/>
      <c r="P784" s="33"/>
      <c r="Q784" s="28"/>
      <c r="R784" s="28"/>
      <c r="S784" s="28"/>
      <c r="T784" s="28"/>
      <c r="U784" s="28"/>
      <c r="V784" s="28"/>
      <c r="W784" s="28"/>
      <c r="X784" s="28"/>
      <c r="Y784" s="28"/>
      <c r="Z784" s="28"/>
      <c r="AA784" s="28"/>
    </row>
    <row r="785" ht="18.75" customHeight="1">
      <c r="A785" s="28"/>
      <c r="B785" s="28"/>
      <c r="C785" s="28"/>
      <c r="D785" s="28"/>
      <c r="E785" s="28"/>
      <c r="F785" s="28"/>
      <c r="G785" s="28"/>
      <c r="H785" s="28"/>
      <c r="I785" s="28"/>
      <c r="J785" s="28"/>
      <c r="K785" s="28"/>
      <c r="L785" s="28"/>
      <c r="M785" s="33"/>
      <c r="N785" s="33"/>
      <c r="O785" s="33"/>
      <c r="P785" s="33"/>
      <c r="Q785" s="28"/>
      <c r="R785" s="28"/>
      <c r="S785" s="28"/>
      <c r="T785" s="28"/>
      <c r="U785" s="28"/>
      <c r="V785" s="28"/>
      <c r="W785" s="28"/>
      <c r="X785" s="28"/>
      <c r="Y785" s="28"/>
      <c r="Z785" s="28"/>
      <c r="AA785" s="28"/>
    </row>
    <row r="786" ht="18.75" customHeight="1">
      <c r="A786" s="28"/>
      <c r="B786" s="28"/>
      <c r="C786" s="28"/>
      <c r="D786" s="28"/>
      <c r="E786" s="28"/>
      <c r="F786" s="28"/>
      <c r="G786" s="28"/>
      <c r="H786" s="28"/>
      <c r="I786" s="28"/>
      <c r="J786" s="28"/>
      <c r="K786" s="28"/>
      <c r="L786" s="28"/>
      <c r="M786" s="33"/>
      <c r="N786" s="33"/>
      <c r="O786" s="33"/>
      <c r="P786" s="33"/>
      <c r="Q786" s="28"/>
      <c r="R786" s="28"/>
      <c r="S786" s="28"/>
      <c r="T786" s="28"/>
      <c r="U786" s="28"/>
      <c r="V786" s="28"/>
      <c r="W786" s="28"/>
      <c r="X786" s="28"/>
      <c r="Y786" s="28"/>
      <c r="Z786" s="28"/>
      <c r="AA786" s="28"/>
    </row>
    <row r="787" ht="18.75" customHeight="1">
      <c r="A787" s="28"/>
      <c r="B787" s="28"/>
      <c r="C787" s="28"/>
      <c r="D787" s="28"/>
      <c r="E787" s="28"/>
      <c r="F787" s="28"/>
      <c r="G787" s="28"/>
      <c r="H787" s="28"/>
      <c r="I787" s="28"/>
      <c r="J787" s="28"/>
      <c r="K787" s="28"/>
      <c r="L787" s="28"/>
      <c r="M787" s="33"/>
      <c r="N787" s="33"/>
      <c r="O787" s="33"/>
      <c r="P787" s="33"/>
      <c r="Q787" s="28"/>
      <c r="R787" s="28"/>
      <c r="S787" s="28"/>
      <c r="T787" s="28"/>
      <c r="U787" s="28"/>
      <c r="V787" s="28"/>
      <c r="W787" s="28"/>
      <c r="X787" s="28"/>
      <c r="Y787" s="28"/>
      <c r="Z787" s="28"/>
      <c r="AA787" s="28"/>
    </row>
    <row r="788" ht="18.75" customHeight="1">
      <c r="A788" s="28"/>
      <c r="B788" s="28"/>
      <c r="C788" s="28"/>
      <c r="D788" s="28"/>
      <c r="E788" s="28"/>
      <c r="F788" s="28"/>
      <c r="G788" s="28"/>
      <c r="H788" s="28"/>
      <c r="I788" s="28"/>
      <c r="J788" s="28"/>
      <c r="K788" s="28"/>
      <c r="L788" s="28"/>
      <c r="M788" s="33"/>
      <c r="N788" s="33"/>
      <c r="O788" s="33"/>
      <c r="P788" s="33"/>
      <c r="Q788" s="28"/>
      <c r="R788" s="28"/>
      <c r="S788" s="28"/>
      <c r="T788" s="28"/>
      <c r="U788" s="28"/>
      <c r="V788" s="28"/>
      <c r="W788" s="28"/>
      <c r="X788" s="28"/>
      <c r="Y788" s="28"/>
      <c r="Z788" s="28"/>
      <c r="AA788" s="28"/>
    </row>
    <row r="789" ht="18.75" customHeight="1">
      <c r="A789" s="28"/>
      <c r="B789" s="28"/>
      <c r="C789" s="28"/>
      <c r="D789" s="28"/>
      <c r="E789" s="28"/>
      <c r="F789" s="28"/>
      <c r="G789" s="28"/>
      <c r="H789" s="28"/>
      <c r="I789" s="28"/>
      <c r="J789" s="28"/>
      <c r="K789" s="28"/>
      <c r="L789" s="28"/>
      <c r="M789" s="33"/>
      <c r="N789" s="33"/>
      <c r="O789" s="33"/>
      <c r="P789" s="33"/>
      <c r="Q789" s="28"/>
      <c r="R789" s="28"/>
      <c r="S789" s="28"/>
      <c r="T789" s="28"/>
      <c r="U789" s="28"/>
      <c r="V789" s="28"/>
      <c r="W789" s="28"/>
      <c r="X789" s="28"/>
      <c r="Y789" s="28"/>
      <c r="Z789" s="28"/>
      <c r="AA789" s="28"/>
    </row>
    <row r="790" ht="18.75" customHeight="1">
      <c r="A790" s="28"/>
      <c r="B790" s="28"/>
      <c r="C790" s="28"/>
      <c r="D790" s="28"/>
      <c r="E790" s="28"/>
      <c r="F790" s="28"/>
      <c r="G790" s="28"/>
      <c r="H790" s="28"/>
      <c r="I790" s="28"/>
      <c r="J790" s="28"/>
      <c r="K790" s="28"/>
      <c r="L790" s="28"/>
      <c r="M790" s="33"/>
      <c r="N790" s="33"/>
      <c r="O790" s="33"/>
      <c r="P790" s="33"/>
      <c r="Q790" s="28"/>
      <c r="R790" s="28"/>
      <c r="S790" s="28"/>
      <c r="T790" s="28"/>
      <c r="U790" s="28"/>
      <c r="V790" s="28"/>
      <c r="W790" s="28"/>
      <c r="X790" s="28"/>
      <c r="Y790" s="28"/>
      <c r="Z790" s="28"/>
      <c r="AA790" s="28"/>
    </row>
    <row r="791" ht="18.75" customHeight="1">
      <c r="A791" s="28"/>
      <c r="B791" s="28"/>
      <c r="C791" s="28"/>
      <c r="D791" s="28"/>
      <c r="E791" s="28"/>
      <c r="F791" s="28"/>
      <c r="G791" s="28"/>
      <c r="H791" s="28"/>
      <c r="I791" s="28"/>
      <c r="J791" s="28"/>
      <c r="K791" s="28"/>
      <c r="L791" s="28"/>
      <c r="M791" s="33"/>
      <c r="N791" s="33"/>
      <c r="O791" s="33"/>
      <c r="P791" s="33"/>
      <c r="Q791" s="28"/>
      <c r="R791" s="28"/>
      <c r="S791" s="28"/>
      <c r="T791" s="28"/>
      <c r="U791" s="28"/>
      <c r="V791" s="28"/>
      <c r="W791" s="28"/>
      <c r="X791" s="28"/>
      <c r="Y791" s="28"/>
      <c r="Z791" s="28"/>
      <c r="AA791" s="28"/>
    </row>
    <row r="792" ht="18.75" customHeight="1">
      <c r="A792" s="28"/>
      <c r="B792" s="28"/>
      <c r="C792" s="28"/>
      <c r="D792" s="28"/>
      <c r="E792" s="28"/>
      <c r="F792" s="28"/>
      <c r="G792" s="28"/>
      <c r="H792" s="28"/>
      <c r="I792" s="28"/>
      <c r="J792" s="28"/>
      <c r="K792" s="28"/>
      <c r="L792" s="28"/>
      <c r="M792" s="33"/>
      <c r="N792" s="33"/>
      <c r="O792" s="33"/>
      <c r="P792" s="33"/>
      <c r="Q792" s="28"/>
      <c r="R792" s="28"/>
      <c r="S792" s="28"/>
      <c r="T792" s="28"/>
      <c r="U792" s="28"/>
      <c r="V792" s="28"/>
      <c r="W792" s="28"/>
      <c r="X792" s="28"/>
      <c r="Y792" s="28"/>
      <c r="Z792" s="28"/>
      <c r="AA792" s="28"/>
    </row>
    <row r="793" ht="18.75" customHeight="1">
      <c r="A793" s="28"/>
      <c r="B793" s="28"/>
      <c r="C793" s="28"/>
      <c r="D793" s="28"/>
      <c r="E793" s="28"/>
      <c r="F793" s="28"/>
      <c r="G793" s="28"/>
      <c r="H793" s="28"/>
      <c r="I793" s="28"/>
      <c r="J793" s="28"/>
      <c r="K793" s="28"/>
      <c r="L793" s="28"/>
      <c r="M793" s="33"/>
      <c r="N793" s="33"/>
      <c r="O793" s="33"/>
      <c r="P793" s="33"/>
      <c r="Q793" s="28"/>
      <c r="R793" s="28"/>
      <c r="S793" s="28"/>
      <c r="T793" s="28"/>
      <c r="U793" s="28"/>
      <c r="V793" s="28"/>
      <c r="W793" s="28"/>
      <c r="X793" s="28"/>
      <c r="Y793" s="28"/>
      <c r="Z793" s="28"/>
      <c r="AA793" s="28"/>
    </row>
    <row r="794" ht="18.75" customHeight="1">
      <c r="A794" s="28"/>
      <c r="B794" s="28"/>
      <c r="C794" s="28"/>
      <c r="D794" s="28"/>
      <c r="E794" s="28"/>
      <c r="F794" s="28"/>
      <c r="G794" s="28"/>
      <c r="H794" s="28"/>
      <c r="I794" s="28"/>
      <c r="J794" s="28"/>
      <c r="K794" s="28"/>
      <c r="L794" s="28"/>
      <c r="M794" s="33"/>
      <c r="N794" s="33"/>
      <c r="O794" s="33"/>
      <c r="P794" s="33"/>
      <c r="Q794" s="28"/>
      <c r="R794" s="28"/>
      <c r="S794" s="28"/>
      <c r="T794" s="28"/>
      <c r="U794" s="28"/>
      <c r="V794" s="28"/>
      <c r="W794" s="28"/>
      <c r="X794" s="28"/>
      <c r="Y794" s="28"/>
      <c r="Z794" s="28"/>
      <c r="AA794" s="28"/>
    </row>
    <row r="795" ht="18.75" customHeight="1">
      <c r="A795" s="28"/>
      <c r="B795" s="28"/>
      <c r="C795" s="28"/>
      <c r="D795" s="28"/>
      <c r="E795" s="28"/>
      <c r="F795" s="28"/>
      <c r="G795" s="28"/>
      <c r="H795" s="28"/>
      <c r="I795" s="28"/>
      <c r="J795" s="28"/>
      <c r="K795" s="28"/>
      <c r="L795" s="28"/>
      <c r="M795" s="33"/>
      <c r="N795" s="33"/>
      <c r="O795" s="33"/>
      <c r="P795" s="33"/>
      <c r="Q795" s="28"/>
      <c r="R795" s="28"/>
      <c r="S795" s="28"/>
      <c r="T795" s="28"/>
      <c r="U795" s="28"/>
      <c r="V795" s="28"/>
      <c r="W795" s="28"/>
      <c r="X795" s="28"/>
      <c r="Y795" s="28"/>
      <c r="Z795" s="28"/>
      <c r="AA795" s="28"/>
    </row>
    <row r="796" ht="18.75" customHeight="1">
      <c r="A796" s="28"/>
      <c r="B796" s="28"/>
      <c r="C796" s="28"/>
      <c r="D796" s="28"/>
      <c r="E796" s="28"/>
      <c r="F796" s="28"/>
      <c r="G796" s="28"/>
      <c r="H796" s="28"/>
      <c r="I796" s="28"/>
      <c r="J796" s="28"/>
      <c r="K796" s="28"/>
      <c r="L796" s="28"/>
      <c r="M796" s="33"/>
      <c r="N796" s="33"/>
      <c r="O796" s="33"/>
      <c r="P796" s="33"/>
      <c r="Q796" s="28"/>
      <c r="R796" s="28"/>
      <c r="S796" s="28"/>
      <c r="T796" s="28"/>
      <c r="U796" s="28"/>
      <c r="V796" s="28"/>
      <c r="W796" s="28"/>
      <c r="X796" s="28"/>
      <c r="Y796" s="28"/>
      <c r="Z796" s="28"/>
      <c r="AA796" s="28"/>
    </row>
    <row r="797" ht="18.75" customHeight="1">
      <c r="A797" s="28"/>
      <c r="B797" s="28"/>
      <c r="C797" s="28"/>
      <c r="D797" s="28"/>
      <c r="E797" s="28"/>
      <c r="F797" s="28"/>
      <c r="G797" s="28"/>
      <c r="H797" s="28"/>
      <c r="I797" s="28"/>
      <c r="J797" s="28"/>
      <c r="K797" s="28"/>
      <c r="L797" s="28"/>
      <c r="M797" s="33"/>
      <c r="N797" s="33"/>
      <c r="O797" s="33"/>
      <c r="P797" s="33"/>
      <c r="Q797" s="28"/>
      <c r="R797" s="28"/>
      <c r="S797" s="28"/>
      <c r="T797" s="28"/>
      <c r="U797" s="28"/>
      <c r="V797" s="28"/>
      <c r="W797" s="28"/>
      <c r="X797" s="28"/>
      <c r="Y797" s="28"/>
      <c r="Z797" s="28"/>
      <c r="AA797" s="28"/>
    </row>
    <row r="798" ht="18.75" customHeight="1">
      <c r="A798" s="28"/>
      <c r="B798" s="28"/>
      <c r="C798" s="28"/>
      <c r="D798" s="28"/>
      <c r="E798" s="28"/>
      <c r="F798" s="28"/>
      <c r="G798" s="28"/>
      <c r="H798" s="28"/>
      <c r="I798" s="28"/>
      <c r="J798" s="28"/>
      <c r="K798" s="28"/>
      <c r="L798" s="28"/>
      <c r="M798" s="33"/>
      <c r="N798" s="33"/>
      <c r="O798" s="33"/>
      <c r="P798" s="33"/>
      <c r="Q798" s="28"/>
      <c r="R798" s="28"/>
      <c r="S798" s="28"/>
      <c r="T798" s="28"/>
      <c r="U798" s="28"/>
      <c r="V798" s="28"/>
      <c r="W798" s="28"/>
      <c r="X798" s="28"/>
      <c r="Y798" s="28"/>
      <c r="Z798" s="28"/>
      <c r="AA798" s="28"/>
    </row>
    <row r="799" ht="18.75" customHeight="1">
      <c r="A799" s="28"/>
      <c r="B799" s="28"/>
      <c r="C799" s="28"/>
      <c r="D799" s="28"/>
      <c r="E799" s="28"/>
      <c r="F799" s="28"/>
      <c r="G799" s="28"/>
      <c r="H799" s="28"/>
      <c r="I799" s="28"/>
      <c r="J799" s="28"/>
      <c r="K799" s="28"/>
      <c r="L799" s="28"/>
      <c r="M799" s="33"/>
      <c r="N799" s="33"/>
      <c r="O799" s="33"/>
      <c r="P799" s="33"/>
      <c r="Q799" s="28"/>
      <c r="R799" s="28"/>
      <c r="S799" s="28"/>
      <c r="T799" s="28"/>
      <c r="U799" s="28"/>
      <c r="V799" s="28"/>
      <c r="W799" s="28"/>
      <c r="X799" s="28"/>
      <c r="Y799" s="28"/>
      <c r="Z799" s="28"/>
      <c r="AA799" s="28"/>
    </row>
    <row r="800" ht="18.75" customHeight="1">
      <c r="A800" s="28"/>
      <c r="B800" s="28"/>
      <c r="C800" s="28"/>
      <c r="D800" s="28"/>
      <c r="E800" s="28"/>
      <c r="F800" s="28"/>
      <c r="G800" s="28"/>
      <c r="H800" s="28"/>
      <c r="I800" s="28"/>
      <c r="J800" s="28"/>
      <c r="K800" s="28"/>
      <c r="L800" s="28"/>
      <c r="M800" s="33"/>
      <c r="N800" s="33"/>
      <c r="O800" s="33"/>
      <c r="P800" s="33"/>
      <c r="Q800" s="28"/>
      <c r="R800" s="28"/>
      <c r="S800" s="28"/>
      <c r="T800" s="28"/>
      <c r="U800" s="28"/>
      <c r="V800" s="28"/>
      <c r="W800" s="28"/>
      <c r="X800" s="28"/>
      <c r="Y800" s="28"/>
      <c r="Z800" s="28"/>
      <c r="AA800" s="28"/>
    </row>
    <row r="801" ht="18.75" customHeight="1">
      <c r="A801" s="28"/>
      <c r="B801" s="28"/>
      <c r="C801" s="28"/>
      <c r="D801" s="28"/>
      <c r="E801" s="28"/>
      <c r="F801" s="28"/>
      <c r="G801" s="28"/>
      <c r="H801" s="28"/>
      <c r="I801" s="28"/>
      <c r="J801" s="28"/>
      <c r="K801" s="28"/>
      <c r="L801" s="28"/>
      <c r="M801" s="33"/>
      <c r="N801" s="33"/>
      <c r="O801" s="33"/>
      <c r="P801" s="33"/>
      <c r="Q801" s="28"/>
      <c r="R801" s="28"/>
      <c r="S801" s="28"/>
      <c r="T801" s="28"/>
      <c r="U801" s="28"/>
      <c r="V801" s="28"/>
      <c r="W801" s="28"/>
      <c r="X801" s="28"/>
      <c r="Y801" s="28"/>
      <c r="Z801" s="28"/>
      <c r="AA801" s="28"/>
    </row>
    <row r="802" ht="18.75" customHeight="1">
      <c r="A802" s="28"/>
      <c r="B802" s="28"/>
      <c r="C802" s="28"/>
      <c r="D802" s="28"/>
      <c r="E802" s="28"/>
      <c r="F802" s="28"/>
      <c r="G802" s="28"/>
      <c r="H802" s="28"/>
      <c r="I802" s="28"/>
      <c r="J802" s="28"/>
      <c r="K802" s="28"/>
      <c r="L802" s="28"/>
      <c r="M802" s="33"/>
      <c r="N802" s="33"/>
      <c r="O802" s="33"/>
      <c r="P802" s="33"/>
      <c r="Q802" s="28"/>
      <c r="R802" s="28"/>
      <c r="S802" s="28"/>
      <c r="T802" s="28"/>
      <c r="U802" s="28"/>
      <c r="V802" s="28"/>
      <c r="W802" s="28"/>
      <c r="X802" s="28"/>
      <c r="Y802" s="28"/>
      <c r="Z802" s="28"/>
      <c r="AA802" s="28"/>
    </row>
    <row r="803" ht="18.75" customHeight="1">
      <c r="A803" s="28"/>
      <c r="B803" s="28"/>
      <c r="C803" s="28"/>
      <c r="D803" s="28"/>
      <c r="E803" s="28"/>
      <c r="F803" s="28"/>
      <c r="G803" s="28"/>
      <c r="H803" s="28"/>
      <c r="I803" s="28"/>
      <c r="J803" s="28"/>
      <c r="K803" s="28"/>
      <c r="L803" s="28"/>
      <c r="M803" s="33"/>
      <c r="N803" s="33"/>
      <c r="O803" s="33"/>
      <c r="P803" s="33"/>
      <c r="Q803" s="28"/>
      <c r="R803" s="28"/>
      <c r="S803" s="28"/>
      <c r="T803" s="28"/>
      <c r="U803" s="28"/>
      <c r="V803" s="28"/>
      <c r="W803" s="28"/>
      <c r="X803" s="28"/>
      <c r="Y803" s="28"/>
      <c r="Z803" s="28"/>
      <c r="AA803" s="28"/>
    </row>
    <row r="804" ht="18.75" customHeight="1">
      <c r="A804" s="28"/>
      <c r="B804" s="28"/>
      <c r="C804" s="28"/>
      <c r="D804" s="28"/>
      <c r="E804" s="28"/>
      <c r="F804" s="28"/>
      <c r="G804" s="28"/>
      <c r="H804" s="28"/>
      <c r="I804" s="28"/>
      <c r="J804" s="28"/>
      <c r="K804" s="28"/>
      <c r="L804" s="28"/>
      <c r="M804" s="33"/>
      <c r="N804" s="33"/>
      <c r="O804" s="33"/>
      <c r="P804" s="33"/>
      <c r="Q804" s="28"/>
      <c r="R804" s="28"/>
      <c r="S804" s="28"/>
      <c r="T804" s="28"/>
      <c r="U804" s="28"/>
      <c r="V804" s="28"/>
      <c r="W804" s="28"/>
      <c r="X804" s="28"/>
      <c r="Y804" s="28"/>
      <c r="Z804" s="28"/>
      <c r="AA804" s="28"/>
    </row>
    <row r="805" ht="18.75" customHeight="1">
      <c r="A805" s="28"/>
      <c r="B805" s="28"/>
      <c r="C805" s="28"/>
      <c r="D805" s="28"/>
      <c r="E805" s="28"/>
      <c r="F805" s="28"/>
      <c r="G805" s="28"/>
      <c r="H805" s="28"/>
      <c r="I805" s="28"/>
      <c r="J805" s="28"/>
      <c r="K805" s="28"/>
      <c r="L805" s="28"/>
      <c r="M805" s="33"/>
      <c r="N805" s="33"/>
      <c r="O805" s="33"/>
      <c r="P805" s="33"/>
      <c r="Q805" s="28"/>
      <c r="R805" s="28"/>
      <c r="S805" s="28"/>
      <c r="T805" s="28"/>
      <c r="U805" s="28"/>
      <c r="V805" s="28"/>
      <c r="W805" s="28"/>
      <c r="X805" s="28"/>
      <c r="Y805" s="28"/>
      <c r="Z805" s="28"/>
      <c r="AA805" s="28"/>
    </row>
    <row r="806" ht="18.75" customHeight="1">
      <c r="A806" s="28"/>
      <c r="B806" s="28"/>
      <c r="C806" s="28"/>
      <c r="D806" s="28"/>
      <c r="E806" s="28"/>
      <c r="F806" s="28"/>
      <c r="G806" s="28"/>
      <c r="H806" s="28"/>
      <c r="I806" s="28"/>
      <c r="J806" s="28"/>
      <c r="K806" s="28"/>
      <c r="L806" s="28"/>
      <c r="M806" s="33"/>
      <c r="N806" s="33"/>
      <c r="O806" s="33"/>
      <c r="P806" s="33"/>
      <c r="Q806" s="28"/>
      <c r="R806" s="28"/>
      <c r="S806" s="28"/>
      <c r="T806" s="28"/>
      <c r="U806" s="28"/>
      <c r="V806" s="28"/>
      <c r="W806" s="28"/>
      <c r="X806" s="28"/>
      <c r="Y806" s="28"/>
      <c r="Z806" s="28"/>
      <c r="AA806" s="28"/>
    </row>
    <row r="807" ht="18.75" customHeight="1">
      <c r="A807" s="28"/>
      <c r="B807" s="28"/>
      <c r="C807" s="28"/>
      <c r="D807" s="28"/>
      <c r="E807" s="28"/>
      <c r="F807" s="28"/>
      <c r="G807" s="28"/>
      <c r="H807" s="28"/>
      <c r="I807" s="28"/>
      <c r="J807" s="28"/>
      <c r="K807" s="28"/>
      <c r="L807" s="28"/>
      <c r="M807" s="33"/>
      <c r="N807" s="33"/>
      <c r="O807" s="33"/>
      <c r="P807" s="33"/>
      <c r="Q807" s="28"/>
      <c r="R807" s="28"/>
      <c r="S807" s="28"/>
      <c r="T807" s="28"/>
      <c r="U807" s="28"/>
      <c r="V807" s="28"/>
      <c r="W807" s="28"/>
      <c r="X807" s="28"/>
      <c r="Y807" s="28"/>
      <c r="Z807" s="28"/>
      <c r="AA807" s="28"/>
    </row>
    <row r="808" ht="18.75" customHeight="1">
      <c r="A808" s="28"/>
      <c r="B808" s="28"/>
      <c r="C808" s="28"/>
      <c r="D808" s="28"/>
      <c r="E808" s="28"/>
      <c r="F808" s="28"/>
      <c r="G808" s="28"/>
      <c r="H808" s="28"/>
      <c r="I808" s="28"/>
      <c r="J808" s="28"/>
      <c r="K808" s="28"/>
      <c r="L808" s="28"/>
      <c r="M808" s="33"/>
      <c r="N808" s="33"/>
      <c r="O808" s="33"/>
      <c r="P808" s="33"/>
      <c r="Q808" s="28"/>
      <c r="R808" s="28"/>
      <c r="S808" s="28"/>
      <c r="T808" s="28"/>
      <c r="U808" s="28"/>
      <c r="V808" s="28"/>
      <c r="W808" s="28"/>
      <c r="X808" s="28"/>
      <c r="Y808" s="28"/>
      <c r="Z808" s="28"/>
      <c r="AA808" s="28"/>
    </row>
    <row r="809" ht="18.75" customHeight="1">
      <c r="A809" s="28"/>
      <c r="B809" s="28"/>
      <c r="C809" s="28"/>
      <c r="D809" s="28"/>
      <c r="E809" s="28"/>
      <c r="F809" s="28"/>
      <c r="G809" s="28"/>
      <c r="H809" s="28"/>
      <c r="I809" s="28"/>
      <c r="J809" s="28"/>
      <c r="K809" s="28"/>
      <c r="L809" s="28"/>
      <c r="M809" s="33"/>
      <c r="N809" s="33"/>
      <c r="O809" s="33"/>
      <c r="P809" s="33"/>
      <c r="Q809" s="28"/>
      <c r="R809" s="28"/>
      <c r="S809" s="28"/>
      <c r="T809" s="28"/>
      <c r="U809" s="28"/>
      <c r="V809" s="28"/>
      <c r="W809" s="28"/>
      <c r="X809" s="28"/>
      <c r="Y809" s="28"/>
      <c r="Z809" s="28"/>
      <c r="AA809" s="28"/>
    </row>
    <row r="810" ht="18.75" customHeight="1">
      <c r="A810" s="28"/>
      <c r="B810" s="28"/>
      <c r="C810" s="28"/>
      <c r="D810" s="28"/>
      <c r="E810" s="28"/>
      <c r="F810" s="28"/>
      <c r="G810" s="28"/>
      <c r="H810" s="28"/>
      <c r="I810" s="28"/>
      <c r="J810" s="28"/>
      <c r="K810" s="28"/>
      <c r="L810" s="28"/>
      <c r="M810" s="33"/>
      <c r="N810" s="33"/>
      <c r="O810" s="33"/>
      <c r="P810" s="33"/>
      <c r="Q810" s="28"/>
      <c r="R810" s="28"/>
      <c r="S810" s="28"/>
      <c r="T810" s="28"/>
      <c r="U810" s="28"/>
      <c r="V810" s="28"/>
      <c r="W810" s="28"/>
      <c r="X810" s="28"/>
      <c r="Y810" s="28"/>
      <c r="Z810" s="28"/>
      <c r="AA810" s="28"/>
    </row>
    <row r="811" ht="18.75" customHeight="1">
      <c r="A811" s="28"/>
      <c r="B811" s="28"/>
      <c r="C811" s="28"/>
      <c r="D811" s="28"/>
      <c r="E811" s="28"/>
      <c r="F811" s="28"/>
      <c r="G811" s="28"/>
      <c r="H811" s="28"/>
      <c r="I811" s="28"/>
      <c r="J811" s="28"/>
      <c r="K811" s="28"/>
      <c r="L811" s="28"/>
      <c r="M811" s="33"/>
      <c r="N811" s="33"/>
      <c r="O811" s="33"/>
      <c r="P811" s="33"/>
      <c r="Q811" s="28"/>
      <c r="R811" s="28"/>
      <c r="S811" s="28"/>
      <c r="T811" s="28"/>
      <c r="U811" s="28"/>
      <c r="V811" s="28"/>
      <c r="W811" s="28"/>
      <c r="X811" s="28"/>
      <c r="Y811" s="28"/>
      <c r="Z811" s="28"/>
      <c r="AA811" s="28"/>
    </row>
    <row r="812" ht="18.75" customHeight="1">
      <c r="A812" s="28"/>
      <c r="B812" s="28"/>
      <c r="C812" s="28"/>
      <c r="D812" s="28"/>
      <c r="E812" s="28"/>
      <c r="F812" s="28"/>
      <c r="G812" s="28"/>
      <c r="H812" s="28"/>
      <c r="I812" s="28"/>
      <c r="J812" s="28"/>
      <c r="K812" s="28"/>
      <c r="L812" s="28"/>
      <c r="M812" s="33"/>
      <c r="N812" s="33"/>
      <c r="O812" s="33"/>
      <c r="P812" s="33"/>
      <c r="Q812" s="28"/>
      <c r="R812" s="28"/>
      <c r="S812" s="28"/>
      <c r="T812" s="28"/>
      <c r="U812" s="28"/>
      <c r="V812" s="28"/>
      <c r="W812" s="28"/>
      <c r="X812" s="28"/>
      <c r="Y812" s="28"/>
      <c r="Z812" s="28"/>
      <c r="AA812" s="28"/>
    </row>
    <row r="813" ht="18.75" customHeight="1">
      <c r="A813" s="28"/>
      <c r="B813" s="28"/>
      <c r="C813" s="28"/>
      <c r="D813" s="28"/>
      <c r="E813" s="28"/>
      <c r="F813" s="28"/>
      <c r="G813" s="28"/>
      <c r="H813" s="28"/>
      <c r="I813" s="28"/>
      <c r="J813" s="28"/>
      <c r="K813" s="28"/>
      <c r="L813" s="28"/>
      <c r="M813" s="33"/>
      <c r="N813" s="33"/>
      <c r="O813" s="33"/>
      <c r="P813" s="33"/>
      <c r="Q813" s="28"/>
      <c r="R813" s="28"/>
      <c r="S813" s="28"/>
      <c r="T813" s="28"/>
      <c r="U813" s="28"/>
      <c r="V813" s="28"/>
      <c r="W813" s="28"/>
      <c r="X813" s="28"/>
      <c r="Y813" s="28"/>
      <c r="Z813" s="28"/>
      <c r="AA813" s="28"/>
    </row>
    <row r="814" ht="18.75" customHeight="1">
      <c r="A814" s="28"/>
      <c r="B814" s="28"/>
      <c r="C814" s="28"/>
      <c r="D814" s="28"/>
      <c r="E814" s="28"/>
      <c r="F814" s="28"/>
      <c r="G814" s="28"/>
      <c r="H814" s="28"/>
      <c r="I814" s="28"/>
      <c r="J814" s="28"/>
      <c r="K814" s="28"/>
      <c r="L814" s="28"/>
      <c r="M814" s="33"/>
      <c r="N814" s="33"/>
      <c r="O814" s="33"/>
      <c r="P814" s="33"/>
      <c r="Q814" s="28"/>
      <c r="R814" s="28"/>
      <c r="S814" s="28"/>
      <c r="T814" s="28"/>
      <c r="U814" s="28"/>
      <c r="V814" s="28"/>
      <c r="W814" s="28"/>
      <c r="X814" s="28"/>
      <c r="Y814" s="28"/>
      <c r="Z814" s="28"/>
      <c r="AA814" s="28"/>
    </row>
    <row r="815" ht="18.75" customHeight="1">
      <c r="A815" s="28"/>
      <c r="B815" s="28"/>
      <c r="C815" s="28"/>
      <c r="D815" s="28"/>
      <c r="E815" s="28"/>
      <c r="F815" s="28"/>
      <c r="G815" s="28"/>
      <c r="H815" s="28"/>
      <c r="I815" s="28"/>
      <c r="J815" s="28"/>
      <c r="K815" s="28"/>
      <c r="L815" s="28"/>
      <c r="M815" s="33"/>
      <c r="N815" s="33"/>
      <c r="O815" s="33"/>
      <c r="P815" s="33"/>
      <c r="Q815" s="28"/>
      <c r="R815" s="28"/>
      <c r="S815" s="28"/>
      <c r="T815" s="28"/>
      <c r="U815" s="28"/>
      <c r="V815" s="28"/>
      <c r="W815" s="28"/>
      <c r="X815" s="28"/>
      <c r="Y815" s="28"/>
      <c r="Z815" s="28"/>
      <c r="AA815" s="28"/>
    </row>
    <row r="816" ht="18.75" customHeight="1">
      <c r="A816" s="28"/>
      <c r="B816" s="28"/>
      <c r="C816" s="28"/>
      <c r="D816" s="28"/>
      <c r="E816" s="28"/>
      <c r="F816" s="28"/>
      <c r="G816" s="28"/>
      <c r="H816" s="28"/>
      <c r="I816" s="28"/>
      <c r="J816" s="28"/>
      <c r="K816" s="28"/>
      <c r="L816" s="28"/>
      <c r="M816" s="33"/>
      <c r="N816" s="33"/>
      <c r="O816" s="33"/>
      <c r="P816" s="33"/>
      <c r="Q816" s="28"/>
      <c r="R816" s="28"/>
      <c r="S816" s="28"/>
      <c r="T816" s="28"/>
      <c r="U816" s="28"/>
      <c r="V816" s="28"/>
      <c r="W816" s="28"/>
      <c r="X816" s="28"/>
      <c r="Y816" s="28"/>
      <c r="Z816" s="28"/>
      <c r="AA816" s="28"/>
    </row>
    <row r="817" ht="18.75" customHeight="1">
      <c r="A817" s="28"/>
      <c r="B817" s="28"/>
      <c r="C817" s="28"/>
      <c r="D817" s="28"/>
      <c r="E817" s="28"/>
      <c r="F817" s="28"/>
      <c r="G817" s="28"/>
      <c r="H817" s="28"/>
      <c r="I817" s="28"/>
      <c r="J817" s="28"/>
      <c r="K817" s="28"/>
      <c r="L817" s="28"/>
      <c r="M817" s="33"/>
      <c r="N817" s="33"/>
      <c r="O817" s="33"/>
      <c r="P817" s="33"/>
      <c r="Q817" s="28"/>
      <c r="R817" s="28"/>
      <c r="S817" s="28"/>
      <c r="T817" s="28"/>
      <c r="U817" s="28"/>
      <c r="V817" s="28"/>
      <c r="W817" s="28"/>
      <c r="X817" s="28"/>
      <c r="Y817" s="28"/>
      <c r="Z817" s="28"/>
      <c r="AA817" s="28"/>
    </row>
    <row r="818" ht="18.75" customHeight="1">
      <c r="A818" s="28"/>
      <c r="B818" s="28"/>
      <c r="C818" s="28"/>
      <c r="D818" s="28"/>
      <c r="E818" s="28"/>
      <c r="F818" s="28"/>
      <c r="G818" s="28"/>
      <c r="H818" s="28"/>
      <c r="I818" s="28"/>
      <c r="J818" s="28"/>
      <c r="K818" s="28"/>
      <c r="L818" s="28"/>
      <c r="M818" s="33"/>
      <c r="N818" s="33"/>
      <c r="O818" s="33"/>
      <c r="P818" s="33"/>
      <c r="Q818" s="28"/>
      <c r="R818" s="28"/>
      <c r="S818" s="28"/>
      <c r="T818" s="28"/>
      <c r="U818" s="28"/>
      <c r="V818" s="28"/>
      <c r="W818" s="28"/>
      <c r="X818" s="28"/>
      <c r="Y818" s="28"/>
      <c r="Z818" s="28"/>
      <c r="AA818" s="28"/>
    </row>
    <row r="819" ht="18.75" customHeight="1">
      <c r="A819" s="28"/>
      <c r="B819" s="28"/>
      <c r="C819" s="28"/>
      <c r="D819" s="28"/>
      <c r="E819" s="28"/>
      <c r="F819" s="28"/>
      <c r="G819" s="28"/>
      <c r="H819" s="28"/>
      <c r="I819" s="28"/>
      <c r="J819" s="28"/>
      <c r="K819" s="28"/>
      <c r="L819" s="28"/>
      <c r="M819" s="33"/>
      <c r="N819" s="33"/>
      <c r="O819" s="33"/>
      <c r="P819" s="33"/>
      <c r="Q819" s="28"/>
      <c r="R819" s="28"/>
      <c r="S819" s="28"/>
      <c r="T819" s="28"/>
      <c r="U819" s="28"/>
      <c r="V819" s="28"/>
      <c r="W819" s="28"/>
      <c r="X819" s="28"/>
      <c r="Y819" s="28"/>
      <c r="Z819" s="28"/>
      <c r="AA819" s="28"/>
    </row>
    <row r="820" ht="18.75" customHeight="1">
      <c r="A820" s="28"/>
      <c r="B820" s="28"/>
      <c r="C820" s="28"/>
      <c r="D820" s="28"/>
      <c r="E820" s="28"/>
      <c r="F820" s="28"/>
      <c r="G820" s="28"/>
      <c r="H820" s="28"/>
      <c r="I820" s="28"/>
      <c r="J820" s="28"/>
      <c r="K820" s="28"/>
      <c r="L820" s="28"/>
      <c r="M820" s="33"/>
      <c r="N820" s="33"/>
      <c r="O820" s="33"/>
      <c r="P820" s="33"/>
      <c r="Q820" s="28"/>
      <c r="R820" s="28"/>
      <c r="S820" s="28"/>
      <c r="T820" s="28"/>
      <c r="U820" s="28"/>
      <c r="V820" s="28"/>
      <c r="W820" s="28"/>
      <c r="X820" s="28"/>
      <c r="Y820" s="28"/>
      <c r="Z820" s="28"/>
      <c r="AA820" s="28"/>
    </row>
    <row r="821" ht="18.75" customHeight="1">
      <c r="A821" s="28"/>
      <c r="B821" s="28"/>
      <c r="C821" s="28"/>
      <c r="D821" s="28"/>
      <c r="E821" s="28"/>
      <c r="F821" s="28"/>
      <c r="G821" s="28"/>
      <c r="H821" s="28"/>
      <c r="I821" s="28"/>
      <c r="J821" s="28"/>
      <c r="K821" s="28"/>
      <c r="L821" s="28"/>
      <c r="M821" s="33"/>
      <c r="N821" s="33"/>
      <c r="O821" s="33"/>
      <c r="P821" s="33"/>
      <c r="Q821" s="28"/>
      <c r="R821" s="28"/>
      <c r="S821" s="28"/>
      <c r="T821" s="28"/>
      <c r="U821" s="28"/>
      <c r="V821" s="28"/>
      <c r="W821" s="28"/>
      <c r="X821" s="28"/>
      <c r="Y821" s="28"/>
      <c r="Z821" s="28"/>
      <c r="AA821" s="28"/>
    </row>
    <row r="822" ht="18.75" customHeight="1">
      <c r="A822" s="28"/>
      <c r="B822" s="28"/>
      <c r="C822" s="28"/>
      <c r="D822" s="28"/>
      <c r="E822" s="28"/>
      <c r="F822" s="28"/>
      <c r="G822" s="28"/>
      <c r="H822" s="28"/>
      <c r="I822" s="28"/>
      <c r="J822" s="28"/>
      <c r="K822" s="28"/>
      <c r="L822" s="28"/>
      <c r="M822" s="33"/>
      <c r="N822" s="33"/>
      <c r="O822" s="33"/>
      <c r="P822" s="33"/>
      <c r="Q822" s="28"/>
      <c r="R822" s="28"/>
      <c r="S822" s="28"/>
      <c r="T822" s="28"/>
      <c r="U822" s="28"/>
      <c r="V822" s="28"/>
      <c r="W822" s="28"/>
      <c r="X822" s="28"/>
      <c r="Y822" s="28"/>
      <c r="Z822" s="28"/>
      <c r="AA822" s="28"/>
    </row>
    <row r="823" ht="18.75" customHeight="1">
      <c r="A823" s="28"/>
      <c r="B823" s="28"/>
      <c r="C823" s="28"/>
      <c r="D823" s="28"/>
      <c r="E823" s="28"/>
      <c r="F823" s="28"/>
      <c r="G823" s="28"/>
      <c r="H823" s="28"/>
      <c r="I823" s="28"/>
      <c r="J823" s="28"/>
      <c r="K823" s="28"/>
      <c r="L823" s="28"/>
      <c r="M823" s="33"/>
      <c r="N823" s="33"/>
      <c r="O823" s="33"/>
      <c r="P823" s="33"/>
      <c r="Q823" s="28"/>
      <c r="R823" s="28"/>
      <c r="S823" s="28"/>
      <c r="T823" s="28"/>
      <c r="U823" s="28"/>
      <c r="V823" s="28"/>
      <c r="W823" s="28"/>
      <c r="X823" s="28"/>
      <c r="Y823" s="28"/>
      <c r="Z823" s="28"/>
      <c r="AA823" s="28"/>
    </row>
    <row r="824" ht="18.75" customHeight="1">
      <c r="A824" s="28"/>
      <c r="B824" s="28"/>
      <c r="C824" s="28"/>
      <c r="D824" s="28"/>
      <c r="E824" s="28"/>
      <c r="F824" s="28"/>
      <c r="G824" s="28"/>
      <c r="H824" s="28"/>
      <c r="I824" s="28"/>
      <c r="J824" s="28"/>
      <c r="K824" s="28"/>
      <c r="L824" s="28"/>
      <c r="M824" s="33"/>
      <c r="N824" s="33"/>
      <c r="O824" s="33"/>
      <c r="P824" s="33"/>
      <c r="Q824" s="28"/>
      <c r="R824" s="28"/>
      <c r="S824" s="28"/>
      <c r="T824" s="28"/>
      <c r="U824" s="28"/>
      <c r="V824" s="28"/>
      <c r="W824" s="28"/>
      <c r="X824" s="28"/>
      <c r="Y824" s="28"/>
      <c r="Z824" s="28"/>
      <c r="AA824" s="28"/>
    </row>
    <row r="825" ht="18.75" customHeight="1">
      <c r="A825" s="28"/>
      <c r="B825" s="28"/>
      <c r="C825" s="28"/>
      <c r="D825" s="28"/>
      <c r="E825" s="28"/>
      <c r="F825" s="28"/>
      <c r="G825" s="28"/>
      <c r="H825" s="28"/>
      <c r="I825" s="28"/>
      <c r="J825" s="28"/>
      <c r="K825" s="28"/>
      <c r="L825" s="28"/>
      <c r="M825" s="33"/>
      <c r="N825" s="33"/>
      <c r="O825" s="33"/>
      <c r="P825" s="33"/>
      <c r="Q825" s="28"/>
      <c r="R825" s="28"/>
      <c r="S825" s="28"/>
      <c r="T825" s="28"/>
      <c r="U825" s="28"/>
      <c r="V825" s="28"/>
      <c r="W825" s="28"/>
      <c r="X825" s="28"/>
      <c r="Y825" s="28"/>
      <c r="Z825" s="28"/>
      <c r="AA825" s="28"/>
    </row>
    <row r="826" ht="18.75" customHeight="1">
      <c r="A826" s="28"/>
      <c r="B826" s="28"/>
      <c r="C826" s="28"/>
      <c r="D826" s="28"/>
      <c r="E826" s="28"/>
      <c r="F826" s="28"/>
      <c r="G826" s="28"/>
      <c r="H826" s="28"/>
      <c r="I826" s="28"/>
      <c r="J826" s="28"/>
      <c r="K826" s="28"/>
      <c r="L826" s="28"/>
      <c r="M826" s="33"/>
      <c r="N826" s="33"/>
      <c r="O826" s="33"/>
      <c r="P826" s="33"/>
      <c r="Q826" s="28"/>
      <c r="R826" s="28"/>
      <c r="S826" s="28"/>
      <c r="T826" s="28"/>
      <c r="U826" s="28"/>
      <c r="V826" s="28"/>
      <c r="W826" s="28"/>
      <c r="X826" s="28"/>
      <c r="Y826" s="28"/>
      <c r="Z826" s="28"/>
      <c r="AA826" s="28"/>
    </row>
    <row r="827" ht="18.75" customHeight="1">
      <c r="A827" s="28"/>
      <c r="B827" s="28"/>
      <c r="C827" s="28"/>
      <c r="D827" s="28"/>
      <c r="E827" s="28"/>
      <c r="F827" s="28"/>
      <c r="G827" s="28"/>
      <c r="H827" s="28"/>
      <c r="I827" s="28"/>
      <c r="J827" s="28"/>
      <c r="K827" s="28"/>
      <c r="L827" s="28"/>
      <c r="M827" s="33"/>
      <c r="N827" s="33"/>
      <c r="O827" s="33"/>
      <c r="P827" s="33"/>
      <c r="Q827" s="28"/>
      <c r="R827" s="28"/>
      <c r="S827" s="28"/>
      <c r="T827" s="28"/>
      <c r="U827" s="28"/>
      <c r="V827" s="28"/>
      <c r="W827" s="28"/>
      <c r="X827" s="28"/>
      <c r="Y827" s="28"/>
      <c r="Z827" s="28"/>
      <c r="AA827" s="28"/>
    </row>
    <row r="828" ht="18.75" customHeight="1">
      <c r="A828" s="28"/>
      <c r="B828" s="28"/>
      <c r="C828" s="28"/>
      <c r="D828" s="28"/>
      <c r="E828" s="28"/>
      <c r="F828" s="28"/>
      <c r="G828" s="28"/>
      <c r="H828" s="28"/>
      <c r="I828" s="28"/>
      <c r="J828" s="28"/>
      <c r="K828" s="28"/>
      <c r="L828" s="28"/>
      <c r="M828" s="33"/>
      <c r="N828" s="33"/>
      <c r="O828" s="33"/>
      <c r="P828" s="33"/>
      <c r="Q828" s="28"/>
      <c r="R828" s="28"/>
      <c r="S828" s="28"/>
      <c r="T828" s="28"/>
      <c r="U828" s="28"/>
      <c r="V828" s="28"/>
      <c r="W828" s="28"/>
      <c r="X828" s="28"/>
      <c r="Y828" s="28"/>
      <c r="Z828" s="28"/>
      <c r="AA828" s="28"/>
    </row>
    <row r="829" ht="18.75" customHeight="1">
      <c r="A829" s="28"/>
      <c r="B829" s="28"/>
      <c r="C829" s="28"/>
      <c r="D829" s="28"/>
      <c r="E829" s="28"/>
      <c r="F829" s="28"/>
      <c r="G829" s="28"/>
      <c r="H829" s="28"/>
      <c r="I829" s="28"/>
      <c r="J829" s="28"/>
      <c r="K829" s="28"/>
      <c r="L829" s="28"/>
      <c r="M829" s="33"/>
      <c r="N829" s="33"/>
      <c r="O829" s="33"/>
      <c r="P829" s="33"/>
      <c r="Q829" s="28"/>
      <c r="R829" s="28"/>
      <c r="S829" s="28"/>
      <c r="T829" s="28"/>
      <c r="U829" s="28"/>
      <c r="V829" s="28"/>
      <c r="W829" s="28"/>
      <c r="X829" s="28"/>
      <c r="Y829" s="28"/>
      <c r="Z829" s="28"/>
      <c r="AA829" s="28"/>
    </row>
    <row r="830" ht="18.75" customHeight="1">
      <c r="A830" s="28"/>
      <c r="B830" s="28"/>
      <c r="C830" s="28"/>
      <c r="D830" s="28"/>
      <c r="E830" s="28"/>
      <c r="F830" s="28"/>
      <c r="G830" s="28"/>
      <c r="H830" s="28"/>
      <c r="I830" s="28"/>
      <c r="J830" s="28"/>
      <c r="K830" s="28"/>
      <c r="L830" s="28"/>
      <c r="M830" s="33"/>
      <c r="N830" s="33"/>
      <c r="O830" s="33"/>
      <c r="P830" s="33"/>
      <c r="Q830" s="28"/>
      <c r="R830" s="28"/>
      <c r="S830" s="28"/>
      <c r="T830" s="28"/>
      <c r="U830" s="28"/>
      <c r="V830" s="28"/>
      <c r="W830" s="28"/>
      <c r="X830" s="28"/>
      <c r="Y830" s="28"/>
      <c r="Z830" s="28"/>
      <c r="AA830" s="28"/>
    </row>
    <row r="831" ht="18.75" customHeight="1">
      <c r="A831" s="28"/>
      <c r="B831" s="28"/>
      <c r="C831" s="28"/>
      <c r="D831" s="28"/>
      <c r="E831" s="28"/>
      <c r="F831" s="28"/>
      <c r="G831" s="28"/>
      <c r="H831" s="28"/>
      <c r="I831" s="28"/>
      <c r="J831" s="28"/>
      <c r="K831" s="28"/>
      <c r="L831" s="28"/>
      <c r="M831" s="33"/>
      <c r="N831" s="33"/>
      <c r="O831" s="33"/>
      <c r="P831" s="33"/>
      <c r="Q831" s="28"/>
      <c r="R831" s="28"/>
      <c r="S831" s="28"/>
      <c r="T831" s="28"/>
      <c r="U831" s="28"/>
      <c r="V831" s="28"/>
      <c r="W831" s="28"/>
      <c r="X831" s="28"/>
      <c r="Y831" s="28"/>
      <c r="Z831" s="28"/>
      <c r="AA831" s="28"/>
    </row>
    <row r="832" ht="18.75" customHeight="1">
      <c r="A832" s="28"/>
      <c r="B832" s="28"/>
      <c r="C832" s="28"/>
      <c r="D832" s="28"/>
      <c r="E832" s="28"/>
      <c r="F832" s="28"/>
      <c r="G832" s="28"/>
      <c r="H832" s="28"/>
      <c r="I832" s="28"/>
      <c r="J832" s="28"/>
      <c r="K832" s="28"/>
      <c r="L832" s="28"/>
      <c r="M832" s="33"/>
      <c r="N832" s="33"/>
      <c r="O832" s="33"/>
      <c r="P832" s="33"/>
      <c r="Q832" s="28"/>
      <c r="R832" s="28"/>
      <c r="S832" s="28"/>
      <c r="T832" s="28"/>
      <c r="U832" s="28"/>
      <c r="V832" s="28"/>
      <c r="W832" s="28"/>
      <c r="X832" s="28"/>
      <c r="Y832" s="28"/>
      <c r="Z832" s="28"/>
      <c r="AA832" s="28"/>
    </row>
    <row r="833" ht="18.75" customHeight="1">
      <c r="A833" s="28"/>
      <c r="B833" s="28"/>
      <c r="C833" s="28"/>
      <c r="D833" s="28"/>
      <c r="E833" s="28"/>
      <c r="F833" s="28"/>
      <c r="G833" s="28"/>
      <c r="H833" s="28"/>
      <c r="I833" s="28"/>
      <c r="J833" s="28"/>
      <c r="K833" s="28"/>
      <c r="L833" s="28"/>
      <c r="M833" s="33"/>
      <c r="N833" s="33"/>
      <c r="O833" s="33"/>
      <c r="P833" s="33"/>
      <c r="Q833" s="28"/>
      <c r="R833" s="28"/>
      <c r="S833" s="28"/>
      <c r="T833" s="28"/>
      <c r="U833" s="28"/>
      <c r="V833" s="28"/>
      <c r="W833" s="28"/>
      <c r="X833" s="28"/>
      <c r="Y833" s="28"/>
      <c r="Z833" s="28"/>
      <c r="AA833" s="28"/>
    </row>
    <row r="834" ht="18.75" customHeight="1">
      <c r="A834" s="28"/>
      <c r="B834" s="28"/>
      <c r="C834" s="28"/>
      <c r="D834" s="28"/>
      <c r="E834" s="28"/>
      <c r="F834" s="28"/>
      <c r="G834" s="28"/>
      <c r="H834" s="28"/>
      <c r="I834" s="28"/>
      <c r="J834" s="28"/>
      <c r="K834" s="28"/>
      <c r="L834" s="28"/>
      <c r="M834" s="33"/>
      <c r="N834" s="33"/>
      <c r="O834" s="33"/>
      <c r="P834" s="33"/>
      <c r="Q834" s="28"/>
      <c r="R834" s="28"/>
      <c r="S834" s="28"/>
      <c r="T834" s="28"/>
      <c r="U834" s="28"/>
      <c r="V834" s="28"/>
      <c r="W834" s="28"/>
      <c r="X834" s="28"/>
      <c r="Y834" s="28"/>
      <c r="Z834" s="28"/>
      <c r="AA834" s="28"/>
    </row>
    <row r="835" ht="18.75" customHeight="1">
      <c r="A835" s="28"/>
      <c r="B835" s="28"/>
      <c r="C835" s="28"/>
      <c r="D835" s="28"/>
      <c r="E835" s="28"/>
      <c r="F835" s="28"/>
      <c r="G835" s="28"/>
      <c r="H835" s="28"/>
      <c r="I835" s="28"/>
      <c r="J835" s="28"/>
      <c r="K835" s="28"/>
      <c r="L835" s="28"/>
      <c r="M835" s="33"/>
      <c r="N835" s="33"/>
      <c r="O835" s="33"/>
      <c r="P835" s="33"/>
      <c r="Q835" s="28"/>
      <c r="R835" s="28"/>
      <c r="S835" s="28"/>
      <c r="T835" s="28"/>
      <c r="U835" s="28"/>
      <c r="V835" s="28"/>
      <c r="W835" s="28"/>
      <c r="X835" s="28"/>
      <c r="Y835" s="28"/>
      <c r="Z835" s="28"/>
      <c r="AA835" s="28"/>
    </row>
    <row r="836" ht="18.75" customHeight="1">
      <c r="A836" s="28"/>
      <c r="B836" s="28"/>
      <c r="C836" s="28"/>
      <c r="D836" s="28"/>
      <c r="E836" s="28"/>
      <c r="F836" s="28"/>
      <c r="G836" s="28"/>
      <c r="H836" s="28"/>
      <c r="I836" s="28"/>
      <c r="J836" s="28"/>
      <c r="K836" s="28"/>
      <c r="L836" s="28"/>
      <c r="M836" s="33"/>
      <c r="N836" s="33"/>
      <c r="O836" s="33"/>
      <c r="P836" s="33"/>
      <c r="Q836" s="28"/>
      <c r="R836" s="28"/>
      <c r="S836" s="28"/>
      <c r="T836" s="28"/>
      <c r="U836" s="28"/>
      <c r="V836" s="28"/>
      <c r="W836" s="28"/>
      <c r="X836" s="28"/>
      <c r="Y836" s="28"/>
      <c r="Z836" s="28"/>
      <c r="AA836" s="28"/>
    </row>
    <row r="837" ht="18.75" customHeight="1">
      <c r="A837" s="28"/>
      <c r="B837" s="28"/>
      <c r="C837" s="28"/>
      <c r="D837" s="28"/>
      <c r="E837" s="28"/>
      <c r="F837" s="28"/>
      <c r="G837" s="28"/>
      <c r="H837" s="28"/>
      <c r="I837" s="28"/>
      <c r="J837" s="28"/>
      <c r="K837" s="28"/>
      <c r="L837" s="28"/>
      <c r="M837" s="33"/>
      <c r="N837" s="33"/>
      <c r="O837" s="33"/>
      <c r="P837" s="33"/>
      <c r="Q837" s="28"/>
      <c r="R837" s="28"/>
      <c r="S837" s="28"/>
      <c r="T837" s="28"/>
      <c r="U837" s="28"/>
      <c r="V837" s="28"/>
      <c r="W837" s="28"/>
      <c r="X837" s="28"/>
      <c r="Y837" s="28"/>
      <c r="Z837" s="28"/>
      <c r="AA837" s="28"/>
    </row>
    <row r="838" ht="18.75" customHeight="1">
      <c r="A838" s="28"/>
      <c r="B838" s="28"/>
      <c r="C838" s="28"/>
      <c r="D838" s="28"/>
      <c r="E838" s="28"/>
      <c r="F838" s="28"/>
      <c r="G838" s="28"/>
      <c r="H838" s="28"/>
      <c r="I838" s="28"/>
      <c r="J838" s="28"/>
      <c r="K838" s="28"/>
      <c r="L838" s="28"/>
      <c r="M838" s="33"/>
      <c r="N838" s="33"/>
      <c r="O838" s="33"/>
      <c r="P838" s="33"/>
      <c r="Q838" s="28"/>
      <c r="R838" s="28"/>
      <c r="S838" s="28"/>
      <c r="T838" s="28"/>
      <c r="U838" s="28"/>
      <c r="V838" s="28"/>
      <c r="W838" s="28"/>
      <c r="X838" s="28"/>
      <c r="Y838" s="28"/>
      <c r="Z838" s="28"/>
      <c r="AA838" s="28"/>
    </row>
    <row r="839" ht="18.75" customHeight="1">
      <c r="A839" s="28"/>
      <c r="B839" s="28"/>
      <c r="C839" s="28"/>
      <c r="D839" s="28"/>
      <c r="E839" s="28"/>
      <c r="F839" s="28"/>
      <c r="G839" s="28"/>
      <c r="H839" s="28"/>
      <c r="I839" s="28"/>
      <c r="J839" s="28"/>
      <c r="K839" s="28"/>
      <c r="L839" s="28"/>
      <c r="M839" s="33"/>
      <c r="N839" s="33"/>
      <c r="O839" s="33"/>
      <c r="P839" s="33"/>
      <c r="Q839" s="28"/>
      <c r="R839" s="28"/>
      <c r="S839" s="28"/>
      <c r="T839" s="28"/>
      <c r="U839" s="28"/>
      <c r="V839" s="28"/>
      <c r="W839" s="28"/>
      <c r="X839" s="28"/>
      <c r="Y839" s="28"/>
      <c r="Z839" s="28"/>
      <c r="AA839" s="28"/>
    </row>
    <row r="840" ht="18.75" customHeight="1">
      <c r="A840" s="28"/>
      <c r="B840" s="28"/>
      <c r="C840" s="28"/>
      <c r="D840" s="28"/>
      <c r="E840" s="28"/>
      <c r="F840" s="28"/>
      <c r="G840" s="28"/>
      <c r="H840" s="28"/>
      <c r="I840" s="28"/>
      <c r="J840" s="28"/>
      <c r="K840" s="28"/>
      <c r="L840" s="28"/>
      <c r="M840" s="33"/>
      <c r="N840" s="33"/>
      <c r="O840" s="33"/>
      <c r="P840" s="33"/>
      <c r="Q840" s="28"/>
      <c r="R840" s="28"/>
      <c r="S840" s="28"/>
      <c r="T840" s="28"/>
      <c r="U840" s="28"/>
      <c r="V840" s="28"/>
      <c r="W840" s="28"/>
      <c r="X840" s="28"/>
      <c r="Y840" s="28"/>
      <c r="Z840" s="28"/>
      <c r="AA840" s="28"/>
    </row>
    <row r="841" ht="18.75" customHeight="1">
      <c r="A841" s="28"/>
      <c r="B841" s="28"/>
      <c r="C841" s="28"/>
      <c r="D841" s="28"/>
      <c r="E841" s="28"/>
      <c r="F841" s="28"/>
      <c r="G841" s="28"/>
      <c r="H841" s="28"/>
      <c r="I841" s="28"/>
      <c r="J841" s="28"/>
      <c r="K841" s="28"/>
      <c r="L841" s="28"/>
      <c r="M841" s="33"/>
      <c r="N841" s="33"/>
      <c r="O841" s="33"/>
      <c r="P841" s="33"/>
      <c r="Q841" s="28"/>
      <c r="R841" s="28"/>
      <c r="S841" s="28"/>
      <c r="T841" s="28"/>
      <c r="U841" s="28"/>
      <c r="V841" s="28"/>
      <c r="W841" s="28"/>
      <c r="X841" s="28"/>
      <c r="Y841" s="28"/>
      <c r="Z841" s="28"/>
      <c r="AA841" s="28"/>
    </row>
    <row r="842" ht="18.75" customHeight="1">
      <c r="A842" s="28"/>
      <c r="B842" s="28"/>
      <c r="C842" s="28"/>
      <c r="D842" s="28"/>
      <c r="E842" s="28"/>
      <c r="F842" s="28"/>
      <c r="G842" s="28"/>
      <c r="H842" s="28"/>
      <c r="I842" s="28"/>
      <c r="J842" s="28"/>
      <c r="K842" s="28"/>
      <c r="L842" s="28"/>
      <c r="M842" s="33"/>
      <c r="N842" s="33"/>
      <c r="O842" s="33"/>
      <c r="P842" s="33"/>
      <c r="Q842" s="28"/>
      <c r="R842" s="28"/>
      <c r="S842" s="28"/>
      <c r="T842" s="28"/>
      <c r="U842" s="28"/>
      <c r="V842" s="28"/>
      <c r="W842" s="28"/>
      <c r="X842" s="28"/>
      <c r="Y842" s="28"/>
      <c r="Z842" s="28"/>
      <c r="AA842" s="28"/>
    </row>
    <row r="843" ht="18.75" customHeight="1">
      <c r="A843" s="28"/>
      <c r="B843" s="28"/>
      <c r="C843" s="28"/>
      <c r="D843" s="28"/>
      <c r="E843" s="28"/>
      <c r="F843" s="28"/>
      <c r="G843" s="28"/>
      <c r="H843" s="28"/>
      <c r="I843" s="28"/>
      <c r="J843" s="28"/>
      <c r="K843" s="28"/>
      <c r="L843" s="28"/>
      <c r="M843" s="33"/>
      <c r="N843" s="33"/>
      <c r="O843" s="33"/>
      <c r="P843" s="33"/>
      <c r="Q843" s="28"/>
      <c r="R843" s="28"/>
      <c r="S843" s="28"/>
      <c r="T843" s="28"/>
      <c r="U843" s="28"/>
      <c r="V843" s="28"/>
      <c r="W843" s="28"/>
      <c r="X843" s="28"/>
      <c r="Y843" s="28"/>
      <c r="Z843" s="28"/>
      <c r="AA843" s="28"/>
    </row>
    <row r="844" ht="18.75" customHeight="1">
      <c r="A844" s="28"/>
      <c r="B844" s="28"/>
      <c r="C844" s="28"/>
      <c r="D844" s="28"/>
      <c r="E844" s="28"/>
      <c r="F844" s="28"/>
      <c r="G844" s="28"/>
      <c r="H844" s="28"/>
      <c r="I844" s="28"/>
      <c r="J844" s="28"/>
      <c r="K844" s="28"/>
      <c r="L844" s="28"/>
      <c r="M844" s="33"/>
      <c r="N844" s="33"/>
      <c r="O844" s="33"/>
      <c r="P844" s="33"/>
      <c r="Q844" s="28"/>
      <c r="R844" s="28"/>
      <c r="S844" s="28"/>
      <c r="T844" s="28"/>
      <c r="U844" s="28"/>
      <c r="V844" s="28"/>
      <c r="W844" s="28"/>
      <c r="X844" s="28"/>
      <c r="Y844" s="28"/>
      <c r="Z844" s="28"/>
      <c r="AA844" s="28"/>
    </row>
    <row r="845" ht="18.75" customHeight="1">
      <c r="A845" s="28"/>
      <c r="B845" s="28"/>
      <c r="C845" s="28"/>
      <c r="D845" s="28"/>
      <c r="E845" s="28"/>
      <c r="F845" s="28"/>
      <c r="G845" s="28"/>
      <c r="H845" s="28"/>
      <c r="I845" s="28"/>
      <c r="J845" s="28"/>
      <c r="K845" s="28"/>
      <c r="L845" s="28"/>
      <c r="M845" s="33"/>
      <c r="N845" s="33"/>
      <c r="O845" s="33"/>
      <c r="P845" s="33"/>
      <c r="Q845" s="28"/>
      <c r="R845" s="28"/>
      <c r="S845" s="28"/>
      <c r="T845" s="28"/>
      <c r="U845" s="28"/>
      <c r="V845" s="28"/>
      <c r="W845" s="28"/>
      <c r="X845" s="28"/>
      <c r="Y845" s="28"/>
      <c r="Z845" s="28"/>
      <c r="AA845" s="28"/>
    </row>
    <row r="846" ht="18.75" customHeight="1">
      <c r="A846" s="28"/>
      <c r="B846" s="28"/>
      <c r="C846" s="28"/>
      <c r="D846" s="28"/>
      <c r="E846" s="28"/>
      <c r="F846" s="28"/>
      <c r="G846" s="28"/>
      <c r="H846" s="28"/>
      <c r="I846" s="28"/>
      <c r="J846" s="28"/>
      <c r="K846" s="28"/>
      <c r="L846" s="28"/>
      <c r="M846" s="33"/>
      <c r="N846" s="33"/>
      <c r="O846" s="33"/>
      <c r="P846" s="33"/>
      <c r="Q846" s="28"/>
      <c r="R846" s="28"/>
      <c r="S846" s="28"/>
      <c r="T846" s="28"/>
      <c r="U846" s="28"/>
      <c r="V846" s="28"/>
      <c r="W846" s="28"/>
      <c r="X846" s="28"/>
      <c r="Y846" s="28"/>
      <c r="Z846" s="28"/>
      <c r="AA846" s="28"/>
    </row>
    <row r="847" ht="18.75" customHeight="1">
      <c r="A847" s="28"/>
      <c r="B847" s="28"/>
      <c r="C847" s="28"/>
      <c r="D847" s="28"/>
      <c r="E847" s="28"/>
      <c r="F847" s="28"/>
      <c r="G847" s="28"/>
      <c r="H847" s="28"/>
      <c r="I847" s="28"/>
      <c r="J847" s="28"/>
      <c r="K847" s="28"/>
      <c r="L847" s="28"/>
      <c r="M847" s="33"/>
      <c r="N847" s="33"/>
      <c r="O847" s="33"/>
      <c r="P847" s="33"/>
      <c r="Q847" s="28"/>
      <c r="R847" s="28"/>
      <c r="S847" s="28"/>
      <c r="T847" s="28"/>
      <c r="U847" s="28"/>
      <c r="V847" s="28"/>
      <c r="W847" s="28"/>
      <c r="X847" s="28"/>
      <c r="Y847" s="28"/>
      <c r="Z847" s="28"/>
      <c r="AA847" s="28"/>
    </row>
    <row r="848" ht="18.75" customHeight="1">
      <c r="A848" s="28"/>
      <c r="B848" s="28"/>
      <c r="C848" s="28"/>
      <c r="D848" s="28"/>
      <c r="E848" s="28"/>
      <c r="F848" s="28"/>
      <c r="G848" s="28"/>
      <c r="H848" s="28"/>
      <c r="I848" s="28"/>
      <c r="J848" s="28"/>
      <c r="K848" s="28"/>
      <c r="L848" s="28"/>
      <c r="M848" s="33"/>
      <c r="N848" s="33"/>
      <c r="O848" s="33"/>
      <c r="P848" s="33"/>
      <c r="Q848" s="28"/>
      <c r="R848" s="28"/>
      <c r="S848" s="28"/>
      <c r="T848" s="28"/>
      <c r="U848" s="28"/>
      <c r="V848" s="28"/>
      <c r="W848" s="28"/>
      <c r="X848" s="28"/>
      <c r="Y848" s="28"/>
      <c r="Z848" s="28"/>
      <c r="AA848" s="28"/>
    </row>
    <row r="849" ht="18.75" customHeight="1">
      <c r="A849" s="28"/>
      <c r="B849" s="28"/>
      <c r="C849" s="28"/>
      <c r="D849" s="28"/>
      <c r="E849" s="28"/>
      <c r="F849" s="28"/>
      <c r="G849" s="28"/>
      <c r="H849" s="28"/>
      <c r="I849" s="28"/>
      <c r="J849" s="28"/>
      <c r="K849" s="28"/>
      <c r="L849" s="28"/>
      <c r="M849" s="33"/>
      <c r="N849" s="33"/>
      <c r="O849" s="33"/>
      <c r="P849" s="33"/>
      <c r="Q849" s="28"/>
      <c r="R849" s="28"/>
      <c r="S849" s="28"/>
      <c r="T849" s="28"/>
      <c r="U849" s="28"/>
      <c r="V849" s="28"/>
      <c r="W849" s="28"/>
      <c r="X849" s="28"/>
      <c r="Y849" s="28"/>
      <c r="Z849" s="28"/>
      <c r="AA849" s="28"/>
    </row>
    <row r="850" ht="18.75" customHeight="1">
      <c r="A850" s="28"/>
      <c r="B850" s="28"/>
      <c r="C850" s="28"/>
      <c r="D850" s="28"/>
      <c r="E850" s="28"/>
      <c r="F850" s="28"/>
      <c r="G850" s="28"/>
      <c r="H850" s="28"/>
      <c r="I850" s="28"/>
      <c r="J850" s="28"/>
      <c r="K850" s="28"/>
      <c r="L850" s="28"/>
      <c r="M850" s="33"/>
      <c r="N850" s="33"/>
      <c r="O850" s="33"/>
      <c r="P850" s="33"/>
      <c r="Q850" s="28"/>
      <c r="R850" s="28"/>
      <c r="S850" s="28"/>
      <c r="T850" s="28"/>
      <c r="U850" s="28"/>
      <c r="V850" s="28"/>
      <c r="W850" s="28"/>
      <c r="X850" s="28"/>
      <c r="Y850" s="28"/>
      <c r="Z850" s="28"/>
      <c r="AA850" s="28"/>
    </row>
    <row r="851" ht="18.75" customHeight="1">
      <c r="A851" s="28"/>
      <c r="B851" s="28"/>
      <c r="C851" s="28"/>
      <c r="D851" s="28"/>
      <c r="E851" s="28"/>
      <c r="F851" s="28"/>
      <c r="G851" s="28"/>
      <c r="H851" s="28"/>
      <c r="I851" s="28"/>
      <c r="J851" s="28"/>
      <c r="K851" s="28"/>
      <c r="L851" s="28"/>
      <c r="M851" s="33"/>
      <c r="N851" s="33"/>
      <c r="O851" s="33"/>
      <c r="P851" s="33"/>
      <c r="Q851" s="28"/>
      <c r="R851" s="28"/>
      <c r="S851" s="28"/>
      <c r="T851" s="28"/>
      <c r="U851" s="28"/>
      <c r="V851" s="28"/>
      <c r="W851" s="28"/>
      <c r="X851" s="28"/>
      <c r="Y851" s="28"/>
      <c r="Z851" s="28"/>
      <c r="AA851" s="28"/>
    </row>
    <row r="852" ht="18.75" customHeight="1">
      <c r="A852" s="28"/>
      <c r="B852" s="28"/>
      <c r="C852" s="28"/>
      <c r="D852" s="28"/>
      <c r="E852" s="28"/>
      <c r="F852" s="28"/>
      <c r="G852" s="28"/>
      <c r="H852" s="28"/>
      <c r="I852" s="28"/>
      <c r="J852" s="28"/>
      <c r="K852" s="28"/>
      <c r="L852" s="28"/>
      <c r="M852" s="33"/>
      <c r="N852" s="33"/>
      <c r="O852" s="33"/>
      <c r="P852" s="33"/>
      <c r="Q852" s="28"/>
      <c r="R852" s="28"/>
      <c r="S852" s="28"/>
      <c r="T852" s="28"/>
      <c r="U852" s="28"/>
      <c r="V852" s="28"/>
      <c r="W852" s="28"/>
      <c r="X852" s="28"/>
      <c r="Y852" s="28"/>
      <c r="Z852" s="28"/>
      <c r="AA852" s="28"/>
    </row>
    <row r="853" ht="18.75" customHeight="1">
      <c r="A853" s="28"/>
      <c r="B853" s="28"/>
      <c r="C853" s="28"/>
      <c r="D853" s="28"/>
      <c r="E853" s="28"/>
      <c r="F853" s="28"/>
      <c r="G853" s="28"/>
      <c r="H853" s="28"/>
      <c r="I853" s="28"/>
      <c r="J853" s="28"/>
      <c r="K853" s="28"/>
      <c r="L853" s="28"/>
      <c r="M853" s="33"/>
      <c r="N853" s="33"/>
      <c r="O853" s="33"/>
      <c r="P853" s="33"/>
      <c r="Q853" s="28"/>
      <c r="R853" s="28"/>
      <c r="S853" s="28"/>
      <c r="T853" s="28"/>
      <c r="U853" s="28"/>
      <c r="V853" s="28"/>
      <c r="W853" s="28"/>
      <c r="X853" s="28"/>
      <c r="Y853" s="28"/>
      <c r="Z853" s="28"/>
      <c r="AA853" s="28"/>
    </row>
    <row r="854" ht="18.75" customHeight="1">
      <c r="A854" s="28"/>
      <c r="B854" s="28"/>
      <c r="C854" s="28"/>
      <c r="D854" s="28"/>
      <c r="E854" s="28"/>
      <c r="F854" s="28"/>
      <c r="G854" s="28"/>
      <c r="H854" s="28"/>
      <c r="I854" s="28"/>
      <c r="J854" s="28"/>
      <c r="K854" s="28"/>
      <c r="L854" s="28"/>
      <c r="M854" s="33"/>
      <c r="N854" s="33"/>
      <c r="O854" s="33"/>
      <c r="P854" s="33"/>
      <c r="Q854" s="28"/>
      <c r="R854" s="28"/>
      <c r="S854" s="28"/>
      <c r="T854" s="28"/>
      <c r="U854" s="28"/>
      <c r="V854" s="28"/>
      <c r="W854" s="28"/>
      <c r="X854" s="28"/>
      <c r="Y854" s="28"/>
      <c r="Z854" s="28"/>
      <c r="AA854" s="28"/>
    </row>
    <row r="855" ht="18.75" customHeight="1">
      <c r="A855" s="28"/>
      <c r="B855" s="28"/>
      <c r="C855" s="28"/>
      <c r="D855" s="28"/>
      <c r="E855" s="28"/>
      <c r="F855" s="28"/>
      <c r="G855" s="28"/>
      <c r="H855" s="28"/>
      <c r="I855" s="28"/>
      <c r="J855" s="28"/>
      <c r="K855" s="28"/>
      <c r="L855" s="28"/>
      <c r="M855" s="33"/>
      <c r="N855" s="33"/>
      <c r="O855" s="33"/>
      <c r="P855" s="33"/>
      <c r="Q855" s="28"/>
      <c r="R855" s="28"/>
      <c r="S855" s="28"/>
      <c r="T855" s="28"/>
      <c r="U855" s="28"/>
      <c r="V855" s="28"/>
      <c r="W855" s="28"/>
      <c r="X855" s="28"/>
      <c r="Y855" s="28"/>
      <c r="Z855" s="28"/>
      <c r="AA855" s="28"/>
    </row>
    <row r="856" ht="18.75" customHeight="1">
      <c r="A856" s="28"/>
      <c r="B856" s="28"/>
      <c r="C856" s="28"/>
      <c r="D856" s="28"/>
      <c r="E856" s="28"/>
      <c r="F856" s="28"/>
      <c r="G856" s="28"/>
      <c r="H856" s="28"/>
      <c r="I856" s="28"/>
      <c r="J856" s="28"/>
      <c r="K856" s="28"/>
      <c r="L856" s="28"/>
      <c r="M856" s="33"/>
      <c r="N856" s="33"/>
      <c r="O856" s="33"/>
      <c r="P856" s="33"/>
      <c r="Q856" s="28"/>
      <c r="R856" s="28"/>
      <c r="S856" s="28"/>
      <c r="T856" s="28"/>
      <c r="U856" s="28"/>
      <c r="V856" s="28"/>
      <c r="W856" s="28"/>
      <c r="X856" s="28"/>
      <c r="Y856" s="28"/>
      <c r="Z856" s="28"/>
      <c r="AA856" s="28"/>
    </row>
    <row r="857" ht="18.75" customHeight="1">
      <c r="A857" s="28"/>
      <c r="B857" s="28"/>
      <c r="C857" s="28"/>
      <c r="D857" s="28"/>
      <c r="E857" s="28"/>
      <c r="F857" s="28"/>
      <c r="G857" s="28"/>
      <c r="H857" s="28"/>
      <c r="I857" s="28"/>
      <c r="J857" s="28"/>
      <c r="K857" s="28"/>
      <c r="L857" s="28"/>
      <c r="M857" s="33"/>
      <c r="N857" s="33"/>
      <c r="O857" s="33"/>
      <c r="P857" s="33"/>
      <c r="Q857" s="28"/>
      <c r="R857" s="28"/>
      <c r="S857" s="28"/>
      <c r="T857" s="28"/>
      <c r="U857" s="28"/>
      <c r="V857" s="28"/>
      <c r="W857" s="28"/>
      <c r="X857" s="28"/>
      <c r="Y857" s="28"/>
      <c r="Z857" s="28"/>
      <c r="AA857" s="28"/>
    </row>
    <row r="858" ht="18.75" customHeight="1">
      <c r="A858" s="28"/>
      <c r="B858" s="28"/>
      <c r="C858" s="28"/>
      <c r="D858" s="28"/>
      <c r="E858" s="28"/>
      <c r="F858" s="28"/>
      <c r="G858" s="28"/>
      <c r="H858" s="28"/>
      <c r="I858" s="28"/>
      <c r="J858" s="28"/>
      <c r="K858" s="28"/>
      <c r="L858" s="28"/>
      <c r="M858" s="33"/>
      <c r="N858" s="33"/>
      <c r="O858" s="33"/>
      <c r="P858" s="33"/>
      <c r="Q858" s="28"/>
      <c r="R858" s="28"/>
      <c r="S858" s="28"/>
      <c r="T858" s="28"/>
      <c r="U858" s="28"/>
      <c r="V858" s="28"/>
      <c r="W858" s="28"/>
      <c r="X858" s="28"/>
      <c r="Y858" s="28"/>
      <c r="Z858" s="28"/>
      <c r="AA858" s="28"/>
    </row>
    <row r="859" ht="18.75" customHeight="1">
      <c r="A859" s="28"/>
      <c r="B859" s="28"/>
      <c r="C859" s="28"/>
      <c r="D859" s="28"/>
      <c r="E859" s="28"/>
      <c r="F859" s="28"/>
      <c r="G859" s="28"/>
      <c r="H859" s="28"/>
      <c r="I859" s="28"/>
      <c r="J859" s="28"/>
      <c r="K859" s="28"/>
      <c r="L859" s="28"/>
      <c r="M859" s="33"/>
      <c r="N859" s="33"/>
      <c r="O859" s="33"/>
      <c r="P859" s="33"/>
      <c r="Q859" s="28"/>
      <c r="R859" s="28"/>
      <c r="S859" s="28"/>
      <c r="T859" s="28"/>
      <c r="U859" s="28"/>
      <c r="V859" s="28"/>
      <c r="W859" s="28"/>
      <c r="X859" s="28"/>
      <c r="Y859" s="28"/>
      <c r="Z859" s="28"/>
      <c r="AA859" s="28"/>
    </row>
    <row r="860" ht="18.75" customHeight="1">
      <c r="A860" s="28"/>
      <c r="B860" s="28"/>
      <c r="C860" s="28"/>
      <c r="D860" s="28"/>
      <c r="E860" s="28"/>
      <c r="F860" s="28"/>
      <c r="G860" s="28"/>
      <c r="H860" s="28"/>
      <c r="I860" s="28"/>
      <c r="J860" s="28"/>
      <c r="K860" s="28"/>
      <c r="L860" s="28"/>
      <c r="M860" s="33"/>
      <c r="N860" s="33"/>
      <c r="O860" s="33"/>
      <c r="P860" s="33"/>
      <c r="Q860" s="28"/>
      <c r="R860" s="28"/>
      <c r="S860" s="28"/>
      <c r="T860" s="28"/>
      <c r="U860" s="28"/>
      <c r="V860" s="28"/>
      <c r="W860" s="28"/>
      <c r="X860" s="28"/>
      <c r="Y860" s="28"/>
      <c r="Z860" s="28"/>
      <c r="AA860" s="28"/>
    </row>
    <row r="861" ht="18.75" customHeight="1">
      <c r="A861" s="28"/>
      <c r="B861" s="28"/>
      <c r="C861" s="28"/>
      <c r="D861" s="28"/>
      <c r="E861" s="28"/>
      <c r="F861" s="28"/>
      <c r="G861" s="28"/>
      <c r="H861" s="28"/>
      <c r="I861" s="28"/>
      <c r="J861" s="28"/>
      <c r="K861" s="28"/>
      <c r="L861" s="28"/>
      <c r="M861" s="33"/>
      <c r="N861" s="33"/>
      <c r="O861" s="33"/>
      <c r="P861" s="33"/>
      <c r="Q861" s="28"/>
      <c r="R861" s="28"/>
      <c r="S861" s="28"/>
      <c r="T861" s="28"/>
      <c r="U861" s="28"/>
      <c r="V861" s="28"/>
      <c r="W861" s="28"/>
      <c r="X861" s="28"/>
      <c r="Y861" s="28"/>
      <c r="Z861" s="28"/>
      <c r="AA861" s="28"/>
    </row>
    <row r="862" ht="18.75" customHeight="1">
      <c r="A862" s="28"/>
      <c r="B862" s="28"/>
      <c r="C862" s="28"/>
      <c r="D862" s="28"/>
      <c r="E862" s="28"/>
      <c r="F862" s="28"/>
      <c r="G862" s="28"/>
      <c r="H862" s="28"/>
      <c r="I862" s="28"/>
      <c r="J862" s="28"/>
      <c r="K862" s="28"/>
      <c r="L862" s="28"/>
      <c r="M862" s="33"/>
      <c r="N862" s="33"/>
      <c r="O862" s="33"/>
      <c r="P862" s="33"/>
      <c r="Q862" s="28"/>
      <c r="R862" s="28"/>
      <c r="S862" s="28"/>
      <c r="T862" s="28"/>
      <c r="U862" s="28"/>
      <c r="V862" s="28"/>
      <c r="W862" s="28"/>
      <c r="X862" s="28"/>
      <c r="Y862" s="28"/>
      <c r="Z862" s="28"/>
      <c r="AA862" s="28"/>
    </row>
    <row r="863" ht="18.75" customHeight="1">
      <c r="A863" s="28"/>
      <c r="B863" s="28"/>
      <c r="C863" s="28"/>
      <c r="D863" s="28"/>
      <c r="E863" s="28"/>
      <c r="F863" s="28"/>
      <c r="G863" s="28"/>
      <c r="H863" s="28"/>
      <c r="I863" s="28"/>
      <c r="J863" s="28"/>
      <c r="K863" s="28"/>
      <c r="L863" s="28"/>
      <c r="M863" s="33"/>
      <c r="N863" s="33"/>
      <c r="O863" s="33"/>
      <c r="P863" s="33"/>
      <c r="Q863" s="28"/>
      <c r="R863" s="28"/>
      <c r="S863" s="28"/>
      <c r="T863" s="28"/>
      <c r="U863" s="28"/>
      <c r="V863" s="28"/>
      <c r="W863" s="28"/>
      <c r="X863" s="28"/>
      <c r="Y863" s="28"/>
      <c r="Z863" s="28"/>
      <c r="AA863" s="28"/>
    </row>
    <row r="864" ht="18.75" customHeight="1">
      <c r="A864" s="28"/>
      <c r="B864" s="28"/>
      <c r="C864" s="28"/>
      <c r="D864" s="28"/>
      <c r="E864" s="28"/>
      <c r="F864" s="28"/>
      <c r="G864" s="28"/>
      <c r="H864" s="28"/>
      <c r="I864" s="28"/>
      <c r="J864" s="28"/>
      <c r="K864" s="28"/>
      <c r="L864" s="28"/>
      <c r="M864" s="33"/>
      <c r="N864" s="33"/>
      <c r="O864" s="33"/>
      <c r="P864" s="33"/>
      <c r="Q864" s="28"/>
      <c r="R864" s="28"/>
      <c r="S864" s="28"/>
      <c r="T864" s="28"/>
      <c r="U864" s="28"/>
      <c r="V864" s="28"/>
      <c r="W864" s="28"/>
      <c r="X864" s="28"/>
      <c r="Y864" s="28"/>
      <c r="Z864" s="28"/>
      <c r="AA864" s="28"/>
    </row>
    <row r="865" ht="18.75" customHeight="1">
      <c r="A865" s="28"/>
      <c r="B865" s="28"/>
      <c r="C865" s="28"/>
      <c r="D865" s="28"/>
      <c r="E865" s="28"/>
      <c r="F865" s="28"/>
      <c r="G865" s="28"/>
      <c r="H865" s="28"/>
      <c r="I865" s="28"/>
      <c r="J865" s="28"/>
      <c r="K865" s="28"/>
      <c r="L865" s="28"/>
      <c r="M865" s="33"/>
      <c r="N865" s="33"/>
      <c r="O865" s="33"/>
      <c r="P865" s="33"/>
      <c r="Q865" s="28"/>
      <c r="R865" s="28"/>
      <c r="S865" s="28"/>
      <c r="T865" s="28"/>
      <c r="U865" s="28"/>
      <c r="V865" s="28"/>
      <c r="W865" s="28"/>
      <c r="X865" s="28"/>
      <c r="Y865" s="28"/>
      <c r="Z865" s="28"/>
      <c r="AA865" s="28"/>
    </row>
    <row r="866" ht="18.75" customHeight="1">
      <c r="A866" s="28"/>
      <c r="B866" s="28"/>
      <c r="C866" s="28"/>
      <c r="D866" s="28"/>
      <c r="E866" s="28"/>
      <c r="F866" s="28"/>
      <c r="G866" s="28"/>
      <c r="H866" s="28"/>
      <c r="I866" s="28"/>
      <c r="J866" s="28"/>
      <c r="K866" s="28"/>
      <c r="L866" s="28"/>
      <c r="M866" s="33"/>
      <c r="N866" s="33"/>
      <c r="O866" s="33"/>
      <c r="P866" s="33"/>
      <c r="Q866" s="28"/>
      <c r="R866" s="28"/>
      <c r="S866" s="28"/>
      <c r="T866" s="28"/>
      <c r="U866" s="28"/>
      <c r="V866" s="28"/>
      <c r="W866" s="28"/>
      <c r="X866" s="28"/>
      <c r="Y866" s="28"/>
      <c r="Z866" s="28"/>
      <c r="AA866" s="28"/>
    </row>
    <row r="867" ht="18.75" customHeight="1">
      <c r="A867" s="28"/>
      <c r="B867" s="28"/>
      <c r="C867" s="28"/>
      <c r="D867" s="28"/>
      <c r="E867" s="28"/>
      <c r="F867" s="28"/>
      <c r="G867" s="28"/>
      <c r="H867" s="28"/>
      <c r="I867" s="28"/>
      <c r="J867" s="28"/>
      <c r="K867" s="28"/>
      <c r="L867" s="28"/>
      <c r="M867" s="33"/>
      <c r="N867" s="33"/>
      <c r="O867" s="33"/>
      <c r="P867" s="33"/>
      <c r="Q867" s="28"/>
      <c r="R867" s="28"/>
      <c r="S867" s="28"/>
      <c r="T867" s="28"/>
      <c r="U867" s="28"/>
      <c r="V867" s="28"/>
      <c r="W867" s="28"/>
      <c r="X867" s="28"/>
      <c r="Y867" s="28"/>
      <c r="Z867" s="28"/>
      <c r="AA867" s="28"/>
    </row>
    <row r="868" ht="18.75" customHeight="1">
      <c r="A868" s="28"/>
      <c r="B868" s="28"/>
      <c r="C868" s="28"/>
      <c r="D868" s="28"/>
      <c r="E868" s="28"/>
      <c r="F868" s="28"/>
      <c r="G868" s="28"/>
      <c r="H868" s="28"/>
      <c r="I868" s="28"/>
      <c r="J868" s="28"/>
      <c r="K868" s="28"/>
      <c r="L868" s="28"/>
      <c r="M868" s="33"/>
      <c r="N868" s="33"/>
      <c r="O868" s="33"/>
      <c r="P868" s="33"/>
      <c r="Q868" s="28"/>
      <c r="R868" s="28"/>
      <c r="S868" s="28"/>
      <c r="T868" s="28"/>
      <c r="U868" s="28"/>
      <c r="V868" s="28"/>
      <c r="W868" s="28"/>
      <c r="X868" s="28"/>
      <c r="Y868" s="28"/>
      <c r="Z868" s="28"/>
      <c r="AA868" s="28"/>
    </row>
    <row r="869" ht="18.75" customHeight="1">
      <c r="A869" s="28"/>
      <c r="B869" s="28"/>
      <c r="C869" s="28"/>
      <c r="D869" s="28"/>
      <c r="E869" s="28"/>
      <c r="F869" s="28"/>
      <c r="G869" s="28"/>
      <c r="H869" s="28"/>
      <c r="I869" s="28"/>
      <c r="J869" s="28"/>
      <c r="K869" s="28"/>
      <c r="L869" s="28"/>
      <c r="M869" s="33"/>
      <c r="N869" s="33"/>
      <c r="O869" s="33"/>
      <c r="P869" s="33"/>
      <c r="Q869" s="28"/>
      <c r="R869" s="28"/>
      <c r="S869" s="28"/>
      <c r="T869" s="28"/>
      <c r="U869" s="28"/>
      <c r="V869" s="28"/>
      <c r="W869" s="28"/>
      <c r="X869" s="28"/>
      <c r="Y869" s="28"/>
      <c r="Z869" s="28"/>
      <c r="AA869" s="28"/>
    </row>
    <row r="870" ht="18.75" customHeight="1">
      <c r="A870" s="28"/>
      <c r="B870" s="28"/>
      <c r="C870" s="28"/>
      <c r="D870" s="28"/>
      <c r="E870" s="28"/>
      <c r="F870" s="28"/>
      <c r="G870" s="28"/>
      <c r="H870" s="28"/>
      <c r="I870" s="28"/>
      <c r="J870" s="28"/>
      <c r="K870" s="28"/>
      <c r="L870" s="28"/>
      <c r="M870" s="33"/>
      <c r="N870" s="33"/>
      <c r="O870" s="33"/>
      <c r="P870" s="33"/>
      <c r="Q870" s="28"/>
      <c r="R870" s="28"/>
      <c r="S870" s="28"/>
      <c r="T870" s="28"/>
      <c r="U870" s="28"/>
      <c r="V870" s="28"/>
      <c r="W870" s="28"/>
      <c r="X870" s="28"/>
      <c r="Y870" s="28"/>
      <c r="Z870" s="28"/>
      <c r="AA870" s="28"/>
    </row>
    <row r="871" ht="18.75" customHeight="1">
      <c r="A871" s="28"/>
      <c r="B871" s="28"/>
      <c r="C871" s="28"/>
      <c r="D871" s="28"/>
      <c r="E871" s="28"/>
      <c r="F871" s="28"/>
      <c r="G871" s="28"/>
      <c r="H871" s="28"/>
      <c r="I871" s="28"/>
      <c r="J871" s="28"/>
      <c r="K871" s="28"/>
      <c r="L871" s="28"/>
      <c r="M871" s="33"/>
      <c r="N871" s="33"/>
      <c r="O871" s="33"/>
      <c r="P871" s="33"/>
      <c r="Q871" s="28"/>
      <c r="R871" s="28"/>
      <c r="S871" s="28"/>
      <c r="T871" s="28"/>
      <c r="U871" s="28"/>
      <c r="V871" s="28"/>
      <c r="W871" s="28"/>
      <c r="X871" s="28"/>
      <c r="Y871" s="28"/>
      <c r="Z871" s="28"/>
      <c r="AA871" s="28"/>
    </row>
    <row r="872" ht="18.75" customHeight="1">
      <c r="A872" s="28"/>
      <c r="B872" s="28"/>
      <c r="C872" s="28"/>
      <c r="D872" s="28"/>
      <c r="E872" s="28"/>
      <c r="F872" s="28"/>
      <c r="G872" s="28"/>
      <c r="H872" s="28"/>
      <c r="I872" s="28"/>
      <c r="J872" s="28"/>
      <c r="K872" s="28"/>
      <c r="L872" s="28"/>
      <c r="M872" s="33"/>
      <c r="N872" s="33"/>
      <c r="O872" s="33"/>
      <c r="P872" s="33"/>
      <c r="Q872" s="28"/>
      <c r="R872" s="28"/>
      <c r="S872" s="28"/>
      <c r="T872" s="28"/>
      <c r="U872" s="28"/>
      <c r="V872" s="28"/>
      <c r="W872" s="28"/>
      <c r="X872" s="28"/>
      <c r="Y872" s="28"/>
      <c r="Z872" s="28"/>
      <c r="AA872" s="28"/>
    </row>
    <row r="873" ht="18.75" customHeight="1">
      <c r="A873" s="28"/>
      <c r="B873" s="28"/>
      <c r="C873" s="28"/>
      <c r="D873" s="28"/>
      <c r="E873" s="28"/>
      <c r="F873" s="28"/>
      <c r="G873" s="28"/>
      <c r="H873" s="28"/>
      <c r="I873" s="28"/>
      <c r="J873" s="28"/>
      <c r="K873" s="28"/>
      <c r="L873" s="28"/>
      <c r="M873" s="33"/>
      <c r="N873" s="33"/>
      <c r="O873" s="33"/>
      <c r="P873" s="33"/>
      <c r="Q873" s="28"/>
      <c r="R873" s="28"/>
      <c r="S873" s="28"/>
      <c r="T873" s="28"/>
      <c r="U873" s="28"/>
      <c r="V873" s="28"/>
      <c r="W873" s="28"/>
      <c r="X873" s="28"/>
      <c r="Y873" s="28"/>
      <c r="Z873" s="28"/>
      <c r="AA873" s="28"/>
    </row>
    <row r="874" ht="18.75" customHeight="1">
      <c r="A874" s="28"/>
      <c r="B874" s="28"/>
      <c r="C874" s="28"/>
      <c r="D874" s="28"/>
      <c r="E874" s="28"/>
      <c r="F874" s="28"/>
      <c r="G874" s="28"/>
      <c r="H874" s="28"/>
      <c r="I874" s="28"/>
      <c r="J874" s="28"/>
      <c r="K874" s="28"/>
      <c r="L874" s="28"/>
      <c r="M874" s="33"/>
      <c r="N874" s="33"/>
      <c r="O874" s="33"/>
      <c r="P874" s="33"/>
      <c r="Q874" s="28"/>
      <c r="R874" s="28"/>
      <c r="S874" s="28"/>
      <c r="T874" s="28"/>
      <c r="U874" s="28"/>
      <c r="V874" s="28"/>
      <c r="W874" s="28"/>
      <c r="X874" s="28"/>
      <c r="Y874" s="28"/>
      <c r="Z874" s="28"/>
      <c r="AA874" s="28"/>
    </row>
    <row r="875" ht="18.75" customHeight="1">
      <c r="A875" s="28"/>
      <c r="B875" s="28"/>
      <c r="C875" s="28"/>
      <c r="D875" s="28"/>
      <c r="E875" s="28"/>
      <c r="F875" s="28"/>
      <c r="G875" s="28"/>
      <c r="H875" s="28"/>
      <c r="I875" s="28"/>
      <c r="J875" s="28"/>
      <c r="K875" s="28"/>
      <c r="L875" s="28"/>
      <c r="M875" s="33"/>
      <c r="N875" s="33"/>
      <c r="O875" s="33"/>
      <c r="P875" s="33"/>
      <c r="Q875" s="28"/>
      <c r="R875" s="28"/>
      <c r="S875" s="28"/>
      <c r="T875" s="28"/>
      <c r="U875" s="28"/>
      <c r="V875" s="28"/>
      <c r="W875" s="28"/>
      <c r="X875" s="28"/>
      <c r="Y875" s="28"/>
      <c r="Z875" s="28"/>
      <c r="AA875" s="28"/>
    </row>
    <row r="876" ht="18.75" customHeight="1">
      <c r="A876" s="28"/>
      <c r="B876" s="28"/>
      <c r="C876" s="28"/>
      <c r="D876" s="28"/>
      <c r="E876" s="28"/>
      <c r="F876" s="28"/>
      <c r="G876" s="28"/>
      <c r="H876" s="28"/>
      <c r="I876" s="28"/>
      <c r="J876" s="28"/>
      <c r="K876" s="28"/>
      <c r="L876" s="28"/>
      <c r="M876" s="33"/>
      <c r="N876" s="33"/>
      <c r="O876" s="33"/>
      <c r="P876" s="33"/>
      <c r="Q876" s="28"/>
      <c r="R876" s="28"/>
      <c r="S876" s="28"/>
      <c r="T876" s="28"/>
      <c r="U876" s="28"/>
      <c r="V876" s="28"/>
      <c r="W876" s="28"/>
      <c r="X876" s="28"/>
      <c r="Y876" s="28"/>
      <c r="Z876" s="28"/>
      <c r="AA876" s="28"/>
    </row>
    <row r="877" ht="18.75" customHeight="1">
      <c r="A877" s="28"/>
      <c r="B877" s="28"/>
      <c r="C877" s="28"/>
      <c r="D877" s="28"/>
      <c r="E877" s="28"/>
      <c r="F877" s="28"/>
      <c r="G877" s="28"/>
      <c r="H877" s="28"/>
      <c r="I877" s="28"/>
      <c r="J877" s="28"/>
      <c r="K877" s="28"/>
      <c r="L877" s="28"/>
      <c r="M877" s="33"/>
      <c r="N877" s="33"/>
      <c r="O877" s="33"/>
      <c r="P877" s="33"/>
      <c r="Q877" s="28"/>
      <c r="R877" s="28"/>
      <c r="S877" s="28"/>
      <c r="T877" s="28"/>
      <c r="U877" s="28"/>
      <c r="V877" s="28"/>
      <c r="W877" s="28"/>
      <c r="X877" s="28"/>
      <c r="Y877" s="28"/>
      <c r="Z877" s="28"/>
      <c r="AA877" s="28"/>
    </row>
    <row r="878" ht="18.75" customHeight="1">
      <c r="A878" s="28"/>
      <c r="B878" s="28"/>
      <c r="C878" s="28"/>
      <c r="D878" s="28"/>
      <c r="E878" s="28"/>
      <c r="F878" s="28"/>
      <c r="G878" s="28"/>
      <c r="H878" s="28"/>
      <c r="I878" s="28"/>
      <c r="J878" s="28"/>
      <c r="K878" s="28"/>
      <c r="L878" s="28"/>
      <c r="M878" s="33"/>
      <c r="N878" s="33"/>
      <c r="O878" s="33"/>
      <c r="P878" s="33"/>
      <c r="Q878" s="28"/>
      <c r="R878" s="28"/>
      <c r="S878" s="28"/>
      <c r="T878" s="28"/>
      <c r="U878" s="28"/>
      <c r="V878" s="28"/>
      <c r="W878" s="28"/>
      <c r="X878" s="28"/>
      <c r="Y878" s="28"/>
      <c r="Z878" s="28"/>
      <c r="AA878" s="28"/>
    </row>
    <row r="879" ht="18.75" customHeight="1">
      <c r="A879" s="28"/>
      <c r="B879" s="28"/>
      <c r="C879" s="28"/>
      <c r="D879" s="28"/>
      <c r="E879" s="28"/>
      <c r="F879" s="28"/>
      <c r="G879" s="28"/>
      <c r="H879" s="28"/>
      <c r="I879" s="28"/>
      <c r="J879" s="28"/>
      <c r="K879" s="28"/>
      <c r="L879" s="28"/>
      <c r="M879" s="33"/>
      <c r="N879" s="33"/>
      <c r="O879" s="33"/>
      <c r="P879" s="33"/>
      <c r="Q879" s="28"/>
      <c r="R879" s="28"/>
      <c r="S879" s="28"/>
      <c r="T879" s="28"/>
      <c r="U879" s="28"/>
      <c r="V879" s="28"/>
      <c r="W879" s="28"/>
      <c r="X879" s="28"/>
      <c r="Y879" s="28"/>
      <c r="Z879" s="28"/>
      <c r="AA879" s="28"/>
    </row>
    <row r="880" ht="18.75" customHeight="1">
      <c r="A880" s="28"/>
      <c r="B880" s="28"/>
      <c r="C880" s="28"/>
      <c r="D880" s="28"/>
      <c r="E880" s="28"/>
      <c r="F880" s="28"/>
      <c r="G880" s="28"/>
      <c r="H880" s="28"/>
      <c r="I880" s="28"/>
      <c r="J880" s="28"/>
      <c r="K880" s="28"/>
      <c r="L880" s="28"/>
      <c r="M880" s="33"/>
      <c r="N880" s="33"/>
      <c r="O880" s="33"/>
      <c r="P880" s="33"/>
      <c r="Q880" s="28"/>
      <c r="R880" s="28"/>
      <c r="S880" s="28"/>
      <c r="T880" s="28"/>
      <c r="U880" s="28"/>
      <c r="V880" s="28"/>
      <c r="W880" s="28"/>
      <c r="X880" s="28"/>
      <c r="Y880" s="28"/>
      <c r="Z880" s="28"/>
      <c r="AA880" s="28"/>
    </row>
    <row r="881" ht="18.75" customHeight="1">
      <c r="A881" s="28"/>
      <c r="B881" s="28"/>
      <c r="C881" s="28"/>
      <c r="D881" s="28"/>
      <c r="E881" s="28"/>
      <c r="F881" s="28"/>
      <c r="G881" s="28"/>
      <c r="H881" s="28"/>
      <c r="I881" s="28"/>
      <c r="J881" s="28"/>
      <c r="K881" s="28"/>
      <c r="L881" s="28"/>
      <c r="M881" s="33"/>
      <c r="N881" s="33"/>
      <c r="O881" s="33"/>
      <c r="P881" s="33"/>
      <c r="Q881" s="28"/>
      <c r="R881" s="28"/>
      <c r="S881" s="28"/>
      <c r="T881" s="28"/>
      <c r="U881" s="28"/>
      <c r="V881" s="28"/>
      <c r="W881" s="28"/>
      <c r="X881" s="28"/>
      <c r="Y881" s="28"/>
      <c r="Z881" s="28"/>
      <c r="AA881" s="28"/>
    </row>
    <row r="882" ht="18.75" customHeight="1">
      <c r="A882" s="28"/>
      <c r="B882" s="28"/>
      <c r="C882" s="28"/>
      <c r="D882" s="28"/>
      <c r="E882" s="28"/>
      <c r="F882" s="28"/>
      <c r="G882" s="28"/>
      <c r="H882" s="28"/>
      <c r="I882" s="28"/>
      <c r="J882" s="28"/>
      <c r="K882" s="28"/>
      <c r="L882" s="28"/>
      <c r="M882" s="33"/>
      <c r="N882" s="33"/>
      <c r="O882" s="33"/>
      <c r="P882" s="33"/>
      <c r="Q882" s="28"/>
      <c r="R882" s="28"/>
      <c r="S882" s="28"/>
      <c r="T882" s="28"/>
      <c r="U882" s="28"/>
      <c r="V882" s="28"/>
      <c r="W882" s="28"/>
      <c r="X882" s="28"/>
      <c r="Y882" s="28"/>
      <c r="Z882" s="28"/>
      <c r="AA882" s="28"/>
    </row>
    <row r="883" ht="18.75" customHeight="1">
      <c r="A883" s="28"/>
      <c r="B883" s="28"/>
      <c r="C883" s="28"/>
      <c r="D883" s="28"/>
      <c r="E883" s="28"/>
      <c r="F883" s="28"/>
      <c r="G883" s="28"/>
      <c r="H883" s="28"/>
      <c r="I883" s="28"/>
      <c r="J883" s="28"/>
      <c r="K883" s="28"/>
      <c r="L883" s="28"/>
      <c r="M883" s="33"/>
      <c r="N883" s="33"/>
      <c r="O883" s="33"/>
      <c r="P883" s="33"/>
      <c r="Q883" s="28"/>
      <c r="R883" s="28"/>
      <c r="S883" s="28"/>
      <c r="T883" s="28"/>
      <c r="U883" s="28"/>
      <c r="V883" s="28"/>
      <c r="W883" s="28"/>
      <c r="X883" s="28"/>
      <c r="Y883" s="28"/>
      <c r="Z883" s="28"/>
      <c r="AA883" s="28"/>
    </row>
    <row r="884" ht="18.75" customHeight="1">
      <c r="A884" s="28"/>
      <c r="B884" s="28"/>
      <c r="C884" s="28"/>
      <c r="D884" s="28"/>
      <c r="E884" s="28"/>
      <c r="F884" s="28"/>
      <c r="G884" s="28"/>
      <c r="H884" s="28"/>
      <c r="I884" s="28"/>
      <c r="J884" s="28"/>
      <c r="K884" s="28"/>
      <c r="L884" s="28"/>
      <c r="M884" s="33"/>
      <c r="N884" s="33"/>
      <c r="O884" s="33"/>
      <c r="P884" s="33"/>
      <c r="Q884" s="28"/>
      <c r="R884" s="28"/>
      <c r="S884" s="28"/>
      <c r="T884" s="28"/>
      <c r="U884" s="28"/>
      <c r="V884" s="28"/>
      <c r="W884" s="28"/>
      <c r="X884" s="28"/>
      <c r="Y884" s="28"/>
      <c r="Z884" s="28"/>
      <c r="AA884" s="28"/>
    </row>
    <row r="885" ht="18.75" customHeight="1">
      <c r="A885" s="28"/>
      <c r="B885" s="28"/>
      <c r="C885" s="28"/>
      <c r="D885" s="28"/>
      <c r="E885" s="28"/>
      <c r="F885" s="28"/>
      <c r="G885" s="28"/>
      <c r="H885" s="28"/>
      <c r="I885" s="28"/>
      <c r="J885" s="28"/>
      <c r="K885" s="28"/>
      <c r="L885" s="28"/>
      <c r="M885" s="33"/>
      <c r="N885" s="33"/>
      <c r="O885" s="33"/>
      <c r="P885" s="33"/>
      <c r="Q885" s="28"/>
      <c r="R885" s="28"/>
      <c r="S885" s="28"/>
      <c r="T885" s="28"/>
      <c r="U885" s="28"/>
      <c r="V885" s="28"/>
      <c r="W885" s="28"/>
      <c r="X885" s="28"/>
      <c r="Y885" s="28"/>
      <c r="Z885" s="28"/>
      <c r="AA885" s="28"/>
    </row>
    <row r="886" ht="18.75" customHeight="1">
      <c r="A886" s="28"/>
      <c r="B886" s="28"/>
      <c r="C886" s="28"/>
      <c r="D886" s="28"/>
      <c r="E886" s="28"/>
      <c r="F886" s="28"/>
      <c r="G886" s="28"/>
      <c r="H886" s="28"/>
      <c r="I886" s="28"/>
      <c r="J886" s="28"/>
      <c r="K886" s="28"/>
      <c r="L886" s="28"/>
      <c r="M886" s="33"/>
      <c r="N886" s="33"/>
      <c r="O886" s="33"/>
      <c r="P886" s="33"/>
      <c r="Q886" s="28"/>
      <c r="R886" s="28"/>
      <c r="S886" s="28"/>
      <c r="T886" s="28"/>
      <c r="U886" s="28"/>
      <c r="V886" s="28"/>
      <c r="W886" s="28"/>
      <c r="X886" s="28"/>
      <c r="Y886" s="28"/>
      <c r="Z886" s="28"/>
      <c r="AA886" s="28"/>
    </row>
    <row r="887" ht="18.75" customHeight="1">
      <c r="A887" s="28"/>
      <c r="B887" s="28"/>
      <c r="C887" s="28"/>
      <c r="D887" s="28"/>
      <c r="E887" s="28"/>
      <c r="F887" s="28"/>
      <c r="G887" s="28"/>
      <c r="H887" s="28"/>
      <c r="I887" s="28"/>
      <c r="J887" s="28"/>
      <c r="K887" s="28"/>
      <c r="L887" s="28"/>
      <c r="M887" s="33"/>
      <c r="N887" s="33"/>
      <c r="O887" s="33"/>
      <c r="P887" s="33"/>
      <c r="Q887" s="28"/>
      <c r="R887" s="28"/>
      <c r="S887" s="28"/>
      <c r="T887" s="28"/>
      <c r="U887" s="28"/>
      <c r="V887" s="28"/>
      <c r="W887" s="28"/>
      <c r="X887" s="28"/>
      <c r="Y887" s="28"/>
      <c r="Z887" s="28"/>
      <c r="AA887" s="28"/>
    </row>
    <row r="888" ht="18.75" customHeight="1">
      <c r="A888" s="28"/>
      <c r="B888" s="28"/>
      <c r="C888" s="28"/>
      <c r="D888" s="28"/>
      <c r="E888" s="28"/>
      <c r="F888" s="28"/>
      <c r="G888" s="28"/>
      <c r="H888" s="28"/>
      <c r="I888" s="28"/>
      <c r="J888" s="28"/>
      <c r="K888" s="28"/>
      <c r="L888" s="28"/>
      <c r="M888" s="33"/>
      <c r="N888" s="33"/>
      <c r="O888" s="33"/>
      <c r="P888" s="33"/>
      <c r="Q888" s="28"/>
      <c r="R888" s="28"/>
      <c r="S888" s="28"/>
      <c r="T888" s="28"/>
      <c r="U888" s="28"/>
      <c r="V888" s="28"/>
      <c r="W888" s="28"/>
      <c r="X888" s="28"/>
      <c r="Y888" s="28"/>
      <c r="Z888" s="28"/>
      <c r="AA888" s="28"/>
    </row>
    <row r="889" ht="18.75" customHeight="1">
      <c r="A889" s="28"/>
      <c r="B889" s="28"/>
      <c r="C889" s="28"/>
      <c r="D889" s="28"/>
      <c r="E889" s="28"/>
      <c r="F889" s="28"/>
      <c r="G889" s="28"/>
      <c r="H889" s="28"/>
      <c r="I889" s="28"/>
      <c r="J889" s="28"/>
      <c r="K889" s="28"/>
      <c r="L889" s="28"/>
      <c r="M889" s="33"/>
      <c r="N889" s="33"/>
      <c r="O889" s="33"/>
      <c r="P889" s="33"/>
      <c r="Q889" s="28"/>
      <c r="R889" s="28"/>
      <c r="S889" s="28"/>
      <c r="T889" s="28"/>
      <c r="U889" s="28"/>
      <c r="V889" s="28"/>
      <c r="W889" s="28"/>
      <c r="X889" s="28"/>
      <c r="Y889" s="28"/>
      <c r="Z889" s="28"/>
      <c r="AA889" s="28"/>
    </row>
    <row r="890" ht="18.75" customHeight="1">
      <c r="A890" s="28"/>
      <c r="B890" s="28"/>
      <c r="C890" s="28"/>
      <c r="D890" s="28"/>
      <c r="E890" s="28"/>
      <c r="F890" s="28"/>
      <c r="G890" s="28"/>
      <c r="H890" s="28"/>
      <c r="I890" s="28"/>
      <c r="J890" s="28"/>
      <c r="K890" s="28"/>
      <c r="L890" s="28"/>
      <c r="M890" s="33"/>
      <c r="N890" s="33"/>
      <c r="O890" s="33"/>
      <c r="P890" s="33"/>
      <c r="Q890" s="28"/>
      <c r="R890" s="28"/>
      <c r="S890" s="28"/>
      <c r="T890" s="28"/>
      <c r="U890" s="28"/>
      <c r="V890" s="28"/>
      <c r="W890" s="28"/>
      <c r="X890" s="28"/>
      <c r="Y890" s="28"/>
      <c r="Z890" s="28"/>
      <c r="AA890" s="28"/>
    </row>
    <row r="891" ht="18.75" customHeight="1">
      <c r="A891" s="28"/>
      <c r="B891" s="28"/>
      <c r="C891" s="28"/>
      <c r="D891" s="28"/>
      <c r="E891" s="28"/>
      <c r="F891" s="28"/>
      <c r="G891" s="28"/>
      <c r="H891" s="28"/>
      <c r="I891" s="28"/>
      <c r="J891" s="28"/>
      <c r="K891" s="28"/>
      <c r="L891" s="28"/>
      <c r="M891" s="33"/>
      <c r="N891" s="33"/>
      <c r="O891" s="33"/>
      <c r="P891" s="33"/>
      <c r="Q891" s="28"/>
      <c r="R891" s="28"/>
      <c r="S891" s="28"/>
      <c r="T891" s="28"/>
      <c r="U891" s="28"/>
      <c r="V891" s="28"/>
      <c r="W891" s="28"/>
      <c r="X891" s="28"/>
      <c r="Y891" s="28"/>
      <c r="Z891" s="28"/>
      <c r="AA891" s="28"/>
    </row>
    <row r="892" ht="18.75" customHeight="1">
      <c r="A892" s="28"/>
      <c r="B892" s="28"/>
      <c r="C892" s="28"/>
      <c r="D892" s="28"/>
      <c r="E892" s="28"/>
      <c r="F892" s="28"/>
      <c r="G892" s="28"/>
      <c r="H892" s="28"/>
      <c r="I892" s="28"/>
      <c r="J892" s="28"/>
      <c r="K892" s="28"/>
      <c r="L892" s="28"/>
      <c r="M892" s="33"/>
      <c r="N892" s="33"/>
      <c r="O892" s="33"/>
      <c r="P892" s="33"/>
      <c r="Q892" s="28"/>
      <c r="R892" s="28"/>
      <c r="S892" s="28"/>
      <c r="T892" s="28"/>
      <c r="U892" s="28"/>
      <c r="V892" s="28"/>
      <c r="W892" s="28"/>
      <c r="X892" s="28"/>
      <c r="Y892" s="28"/>
      <c r="Z892" s="28"/>
      <c r="AA892" s="28"/>
    </row>
    <row r="893" ht="18.75" customHeight="1">
      <c r="A893" s="28"/>
      <c r="B893" s="28"/>
      <c r="C893" s="28"/>
      <c r="D893" s="28"/>
      <c r="E893" s="28"/>
      <c r="F893" s="28"/>
      <c r="G893" s="28"/>
      <c r="H893" s="28"/>
      <c r="I893" s="28"/>
      <c r="J893" s="28"/>
      <c r="K893" s="28"/>
      <c r="L893" s="28"/>
      <c r="M893" s="33"/>
      <c r="N893" s="33"/>
      <c r="O893" s="33"/>
      <c r="P893" s="33"/>
      <c r="Q893" s="28"/>
      <c r="R893" s="28"/>
      <c r="S893" s="28"/>
      <c r="T893" s="28"/>
      <c r="U893" s="28"/>
      <c r="V893" s="28"/>
      <c r="W893" s="28"/>
      <c r="X893" s="28"/>
      <c r="Y893" s="28"/>
      <c r="Z893" s="28"/>
      <c r="AA893" s="28"/>
    </row>
    <row r="894" ht="18.75" customHeight="1">
      <c r="A894" s="28"/>
      <c r="B894" s="28"/>
      <c r="C894" s="28"/>
      <c r="D894" s="28"/>
      <c r="E894" s="28"/>
      <c r="F894" s="28"/>
      <c r="G894" s="28"/>
      <c r="H894" s="28"/>
      <c r="I894" s="28"/>
      <c r="J894" s="28"/>
      <c r="K894" s="28"/>
      <c r="L894" s="28"/>
      <c r="M894" s="33"/>
      <c r="N894" s="33"/>
      <c r="O894" s="33"/>
      <c r="P894" s="33"/>
      <c r="Q894" s="28"/>
      <c r="R894" s="28"/>
      <c r="S894" s="28"/>
      <c r="T894" s="28"/>
      <c r="U894" s="28"/>
      <c r="V894" s="28"/>
      <c r="W894" s="28"/>
      <c r="X894" s="28"/>
      <c r="Y894" s="28"/>
      <c r="Z894" s="28"/>
      <c r="AA894" s="28"/>
    </row>
    <row r="895" ht="18.75" customHeight="1">
      <c r="A895" s="28"/>
      <c r="B895" s="28"/>
      <c r="C895" s="28"/>
      <c r="D895" s="28"/>
      <c r="E895" s="28"/>
      <c r="F895" s="28"/>
      <c r="G895" s="28"/>
      <c r="H895" s="28"/>
      <c r="I895" s="28"/>
      <c r="J895" s="28"/>
      <c r="K895" s="28"/>
      <c r="L895" s="28"/>
      <c r="M895" s="33"/>
      <c r="N895" s="33"/>
      <c r="O895" s="33"/>
      <c r="P895" s="33"/>
      <c r="Q895" s="28"/>
      <c r="R895" s="28"/>
      <c r="S895" s="28"/>
      <c r="T895" s="28"/>
      <c r="U895" s="28"/>
      <c r="V895" s="28"/>
      <c r="W895" s="28"/>
      <c r="X895" s="28"/>
      <c r="Y895" s="28"/>
      <c r="Z895" s="28"/>
      <c r="AA895" s="28"/>
    </row>
    <row r="896" ht="18.75" customHeight="1">
      <c r="A896" s="28"/>
      <c r="B896" s="28"/>
      <c r="C896" s="28"/>
      <c r="D896" s="28"/>
      <c r="E896" s="28"/>
      <c r="F896" s="28"/>
      <c r="G896" s="28"/>
      <c r="H896" s="28"/>
      <c r="I896" s="28"/>
      <c r="J896" s="28"/>
      <c r="K896" s="28"/>
      <c r="L896" s="28"/>
      <c r="M896" s="33"/>
      <c r="N896" s="33"/>
      <c r="O896" s="33"/>
      <c r="P896" s="33"/>
      <c r="Q896" s="28"/>
      <c r="R896" s="28"/>
      <c r="S896" s="28"/>
      <c r="T896" s="28"/>
      <c r="U896" s="28"/>
      <c r="V896" s="28"/>
      <c r="W896" s="28"/>
      <c r="X896" s="28"/>
      <c r="Y896" s="28"/>
      <c r="Z896" s="28"/>
      <c r="AA896" s="28"/>
    </row>
    <row r="897" ht="18.75" customHeight="1">
      <c r="A897" s="28"/>
      <c r="B897" s="28"/>
      <c r="C897" s="28"/>
      <c r="D897" s="28"/>
      <c r="E897" s="28"/>
      <c r="F897" s="28"/>
      <c r="G897" s="28"/>
      <c r="H897" s="28"/>
      <c r="I897" s="28"/>
      <c r="J897" s="28"/>
      <c r="K897" s="28"/>
      <c r="L897" s="28"/>
      <c r="M897" s="33"/>
      <c r="N897" s="33"/>
      <c r="O897" s="33"/>
      <c r="P897" s="33"/>
      <c r="Q897" s="28"/>
      <c r="R897" s="28"/>
      <c r="S897" s="28"/>
      <c r="T897" s="28"/>
      <c r="U897" s="28"/>
      <c r="V897" s="28"/>
      <c r="W897" s="28"/>
      <c r="X897" s="28"/>
      <c r="Y897" s="28"/>
      <c r="Z897" s="28"/>
      <c r="AA897" s="28"/>
    </row>
    <row r="898" ht="18.75" customHeight="1">
      <c r="A898" s="28"/>
      <c r="B898" s="28"/>
      <c r="C898" s="28"/>
      <c r="D898" s="28"/>
      <c r="E898" s="28"/>
      <c r="F898" s="28"/>
      <c r="G898" s="28"/>
      <c r="H898" s="28"/>
      <c r="I898" s="28"/>
      <c r="J898" s="28"/>
      <c r="K898" s="28"/>
      <c r="L898" s="28"/>
      <c r="M898" s="33"/>
      <c r="N898" s="33"/>
      <c r="O898" s="33"/>
      <c r="P898" s="33"/>
      <c r="Q898" s="28"/>
      <c r="R898" s="28"/>
      <c r="S898" s="28"/>
      <c r="T898" s="28"/>
      <c r="U898" s="28"/>
      <c r="V898" s="28"/>
      <c r="W898" s="28"/>
      <c r="X898" s="28"/>
      <c r="Y898" s="28"/>
      <c r="Z898" s="28"/>
      <c r="AA898" s="28"/>
    </row>
    <row r="899" ht="18.75" customHeight="1">
      <c r="A899" s="28"/>
      <c r="B899" s="28"/>
      <c r="C899" s="28"/>
      <c r="D899" s="28"/>
      <c r="E899" s="28"/>
      <c r="F899" s="28"/>
      <c r="G899" s="28"/>
      <c r="H899" s="28"/>
      <c r="I899" s="28"/>
      <c r="J899" s="28"/>
      <c r="K899" s="28"/>
      <c r="L899" s="28"/>
      <c r="M899" s="33"/>
      <c r="N899" s="33"/>
      <c r="O899" s="33"/>
      <c r="P899" s="33"/>
      <c r="Q899" s="28"/>
      <c r="R899" s="28"/>
      <c r="S899" s="28"/>
      <c r="T899" s="28"/>
      <c r="U899" s="28"/>
      <c r="V899" s="28"/>
      <c r="W899" s="28"/>
      <c r="X899" s="28"/>
      <c r="Y899" s="28"/>
      <c r="Z899" s="28"/>
      <c r="AA899" s="28"/>
    </row>
    <row r="900" ht="18.75" customHeight="1">
      <c r="A900" s="28"/>
      <c r="B900" s="28"/>
      <c r="C900" s="28"/>
      <c r="D900" s="28"/>
      <c r="E900" s="28"/>
      <c r="F900" s="28"/>
      <c r="G900" s="28"/>
      <c r="H900" s="28"/>
      <c r="I900" s="28"/>
      <c r="J900" s="28"/>
      <c r="K900" s="28"/>
      <c r="L900" s="28"/>
      <c r="M900" s="33"/>
      <c r="N900" s="33"/>
      <c r="O900" s="33"/>
      <c r="P900" s="33"/>
      <c r="Q900" s="28"/>
      <c r="R900" s="28"/>
      <c r="S900" s="28"/>
      <c r="T900" s="28"/>
      <c r="U900" s="28"/>
      <c r="V900" s="28"/>
      <c r="W900" s="28"/>
      <c r="X900" s="28"/>
      <c r="Y900" s="28"/>
      <c r="Z900" s="28"/>
      <c r="AA900" s="28"/>
    </row>
    <row r="901" ht="18.75" customHeight="1">
      <c r="A901" s="28"/>
      <c r="B901" s="28"/>
      <c r="C901" s="28"/>
      <c r="D901" s="28"/>
      <c r="E901" s="28"/>
      <c r="F901" s="28"/>
      <c r="G901" s="28"/>
      <c r="H901" s="28"/>
      <c r="I901" s="28"/>
      <c r="J901" s="28"/>
      <c r="K901" s="28"/>
      <c r="L901" s="28"/>
      <c r="M901" s="33"/>
      <c r="N901" s="33"/>
      <c r="O901" s="33"/>
      <c r="P901" s="33"/>
      <c r="Q901" s="28"/>
      <c r="R901" s="28"/>
      <c r="S901" s="28"/>
      <c r="T901" s="28"/>
      <c r="U901" s="28"/>
      <c r="V901" s="28"/>
      <c r="W901" s="28"/>
      <c r="X901" s="28"/>
      <c r="Y901" s="28"/>
      <c r="Z901" s="28"/>
      <c r="AA901" s="28"/>
    </row>
    <row r="902" ht="18.75" customHeight="1">
      <c r="A902" s="28"/>
      <c r="B902" s="28"/>
      <c r="C902" s="28"/>
      <c r="D902" s="28"/>
      <c r="E902" s="28"/>
      <c r="F902" s="28"/>
      <c r="G902" s="28"/>
      <c r="H902" s="28"/>
      <c r="I902" s="28"/>
      <c r="J902" s="28"/>
      <c r="K902" s="28"/>
      <c r="L902" s="28"/>
      <c r="M902" s="33"/>
      <c r="N902" s="33"/>
      <c r="O902" s="33"/>
      <c r="P902" s="33"/>
      <c r="Q902" s="28"/>
      <c r="R902" s="28"/>
      <c r="S902" s="28"/>
      <c r="T902" s="28"/>
      <c r="U902" s="28"/>
      <c r="V902" s="28"/>
      <c r="W902" s="28"/>
      <c r="X902" s="28"/>
      <c r="Y902" s="28"/>
      <c r="Z902" s="28"/>
      <c r="AA902" s="28"/>
    </row>
    <row r="903" ht="18.75" customHeight="1">
      <c r="A903" s="28"/>
      <c r="B903" s="28"/>
      <c r="C903" s="28"/>
      <c r="D903" s="28"/>
      <c r="E903" s="28"/>
      <c r="F903" s="28"/>
      <c r="G903" s="28"/>
      <c r="H903" s="28"/>
      <c r="I903" s="28"/>
      <c r="J903" s="28"/>
      <c r="K903" s="28"/>
      <c r="L903" s="28"/>
      <c r="M903" s="33"/>
      <c r="N903" s="33"/>
      <c r="O903" s="33"/>
      <c r="P903" s="33"/>
      <c r="Q903" s="28"/>
      <c r="R903" s="28"/>
      <c r="S903" s="28"/>
      <c r="T903" s="28"/>
      <c r="U903" s="28"/>
      <c r="V903" s="28"/>
      <c r="W903" s="28"/>
      <c r="X903" s="28"/>
      <c r="Y903" s="28"/>
      <c r="Z903" s="28"/>
      <c r="AA903" s="28"/>
    </row>
    <row r="904" ht="18.75" customHeight="1">
      <c r="A904" s="28"/>
      <c r="B904" s="28"/>
      <c r="C904" s="28"/>
      <c r="D904" s="28"/>
      <c r="E904" s="28"/>
      <c r="F904" s="28"/>
      <c r="G904" s="28"/>
      <c r="H904" s="28"/>
      <c r="I904" s="28"/>
      <c r="J904" s="28"/>
      <c r="K904" s="28"/>
      <c r="L904" s="28"/>
      <c r="M904" s="33"/>
      <c r="N904" s="33"/>
      <c r="O904" s="33"/>
      <c r="P904" s="33"/>
      <c r="Q904" s="28"/>
      <c r="R904" s="28"/>
      <c r="S904" s="28"/>
      <c r="T904" s="28"/>
      <c r="U904" s="28"/>
      <c r="V904" s="28"/>
      <c r="W904" s="28"/>
      <c r="X904" s="28"/>
      <c r="Y904" s="28"/>
      <c r="Z904" s="28"/>
      <c r="AA904" s="28"/>
    </row>
    <row r="905" ht="18.75" customHeight="1">
      <c r="A905" s="28"/>
      <c r="B905" s="28"/>
      <c r="C905" s="28"/>
      <c r="D905" s="28"/>
      <c r="E905" s="28"/>
      <c r="F905" s="28"/>
      <c r="G905" s="28"/>
      <c r="H905" s="28"/>
      <c r="I905" s="28"/>
      <c r="J905" s="28"/>
      <c r="K905" s="28"/>
      <c r="L905" s="28"/>
      <c r="M905" s="33"/>
      <c r="N905" s="33"/>
      <c r="O905" s="33"/>
      <c r="P905" s="33"/>
      <c r="Q905" s="28"/>
      <c r="R905" s="28"/>
      <c r="S905" s="28"/>
      <c r="T905" s="28"/>
      <c r="U905" s="28"/>
      <c r="V905" s="28"/>
      <c r="W905" s="28"/>
      <c r="X905" s="28"/>
      <c r="Y905" s="28"/>
      <c r="Z905" s="28"/>
      <c r="AA905" s="28"/>
    </row>
    <row r="906" ht="18.75" customHeight="1">
      <c r="A906" s="28"/>
      <c r="B906" s="28"/>
      <c r="C906" s="28"/>
      <c r="D906" s="28"/>
      <c r="E906" s="28"/>
      <c r="F906" s="28"/>
      <c r="G906" s="28"/>
      <c r="H906" s="28"/>
      <c r="I906" s="28"/>
      <c r="J906" s="28"/>
      <c r="K906" s="28"/>
      <c r="L906" s="28"/>
      <c r="M906" s="33"/>
      <c r="N906" s="33"/>
      <c r="O906" s="33"/>
      <c r="P906" s="33"/>
      <c r="Q906" s="28"/>
      <c r="R906" s="28"/>
      <c r="S906" s="28"/>
      <c r="T906" s="28"/>
      <c r="U906" s="28"/>
      <c r="V906" s="28"/>
      <c r="W906" s="28"/>
      <c r="X906" s="28"/>
      <c r="Y906" s="28"/>
      <c r="Z906" s="28"/>
      <c r="AA906" s="28"/>
    </row>
    <row r="907" ht="18.75" customHeight="1">
      <c r="A907" s="28"/>
      <c r="B907" s="28"/>
      <c r="C907" s="28"/>
      <c r="D907" s="28"/>
      <c r="E907" s="28"/>
      <c r="F907" s="28"/>
      <c r="G907" s="28"/>
      <c r="H907" s="28"/>
      <c r="I907" s="28"/>
      <c r="J907" s="28"/>
      <c r="K907" s="28"/>
      <c r="L907" s="28"/>
      <c r="M907" s="33"/>
      <c r="N907" s="33"/>
      <c r="O907" s="33"/>
      <c r="P907" s="33"/>
      <c r="Q907" s="28"/>
      <c r="R907" s="28"/>
      <c r="S907" s="28"/>
      <c r="T907" s="28"/>
      <c r="U907" s="28"/>
      <c r="V907" s="28"/>
      <c r="W907" s="28"/>
      <c r="X907" s="28"/>
      <c r="Y907" s="28"/>
      <c r="Z907" s="28"/>
      <c r="AA907" s="28"/>
    </row>
    <row r="908" ht="18.75" customHeight="1">
      <c r="A908" s="28"/>
      <c r="B908" s="28"/>
      <c r="C908" s="28"/>
      <c r="D908" s="28"/>
      <c r="E908" s="28"/>
      <c r="F908" s="28"/>
      <c r="G908" s="28"/>
      <c r="H908" s="28"/>
      <c r="I908" s="28"/>
      <c r="J908" s="28"/>
      <c r="K908" s="28"/>
      <c r="L908" s="28"/>
      <c r="M908" s="33"/>
      <c r="N908" s="33"/>
      <c r="O908" s="33"/>
      <c r="P908" s="33"/>
      <c r="Q908" s="28"/>
      <c r="R908" s="28"/>
      <c r="S908" s="28"/>
      <c r="T908" s="28"/>
      <c r="U908" s="28"/>
      <c r="V908" s="28"/>
      <c r="W908" s="28"/>
      <c r="X908" s="28"/>
      <c r="Y908" s="28"/>
      <c r="Z908" s="28"/>
      <c r="AA908" s="28"/>
    </row>
    <row r="909" ht="18.75" customHeight="1">
      <c r="A909" s="28"/>
      <c r="B909" s="28"/>
      <c r="C909" s="28"/>
      <c r="D909" s="28"/>
      <c r="E909" s="28"/>
      <c r="F909" s="28"/>
      <c r="G909" s="28"/>
      <c r="H909" s="28"/>
      <c r="I909" s="28"/>
      <c r="J909" s="28"/>
      <c r="K909" s="28"/>
      <c r="L909" s="28"/>
      <c r="M909" s="33"/>
      <c r="N909" s="33"/>
      <c r="O909" s="33"/>
      <c r="P909" s="33"/>
      <c r="Q909" s="28"/>
      <c r="R909" s="28"/>
      <c r="S909" s="28"/>
      <c r="T909" s="28"/>
      <c r="U909" s="28"/>
      <c r="V909" s="28"/>
      <c r="W909" s="28"/>
      <c r="X909" s="28"/>
      <c r="Y909" s="28"/>
      <c r="Z909" s="28"/>
      <c r="AA909" s="28"/>
    </row>
    <row r="910" ht="18.75" customHeight="1">
      <c r="A910" s="28"/>
      <c r="B910" s="28"/>
      <c r="C910" s="28"/>
      <c r="D910" s="28"/>
      <c r="E910" s="28"/>
      <c r="F910" s="28"/>
      <c r="G910" s="28"/>
      <c r="H910" s="28"/>
      <c r="I910" s="28"/>
      <c r="J910" s="28"/>
      <c r="K910" s="28"/>
      <c r="L910" s="28"/>
      <c r="M910" s="33"/>
      <c r="N910" s="33"/>
      <c r="O910" s="33"/>
      <c r="P910" s="33"/>
      <c r="Q910" s="28"/>
      <c r="R910" s="28"/>
      <c r="S910" s="28"/>
      <c r="T910" s="28"/>
      <c r="U910" s="28"/>
      <c r="V910" s="28"/>
      <c r="W910" s="28"/>
      <c r="X910" s="28"/>
      <c r="Y910" s="28"/>
      <c r="Z910" s="28"/>
      <c r="AA910" s="28"/>
    </row>
    <row r="911" ht="18.75" customHeight="1">
      <c r="A911" s="28"/>
      <c r="B911" s="28"/>
      <c r="C911" s="28"/>
      <c r="D911" s="28"/>
      <c r="E911" s="28"/>
      <c r="F911" s="28"/>
      <c r="G911" s="28"/>
      <c r="H911" s="28"/>
      <c r="I911" s="28"/>
      <c r="J911" s="28"/>
      <c r="K911" s="28"/>
      <c r="L911" s="28"/>
      <c r="M911" s="33"/>
      <c r="N911" s="33"/>
      <c r="O911" s="33"/>
      <c r="P911" s="33"/>
      <c r="Q911" s="28"/>
      <c r="R911" s="28"/>
      <c r="S911" s="28"/>
      <c r="T911" s="28"/>
      <c r="U911" s="28"/>
      <c r="V911" s="28"/>
      <c r="W911" s="28"/>
      <c r="X911" s="28"/>
      <c r="Y911" s="28"/>
      <c r="Z911" s="28"/>
      <c r="AA911" s="28"/>
    </row>
    <row r="912" ht="18.75" customHeight="1">
      <c r="A912" s="28"/>
      <c r="B912" s="28"/>
      <c r="C912" s="28"/>
      <c r="D912" s="28"/>
      <c r="E912" s="28"/>
      <c r="F912" s="28"/>
      <c r="G912" s="28"/>
      <c r="H912" s="28"/>
      <c r="I912" s="28"/>
      <c r="J912" s="28"/>
      <c r="K912" s="28"/>
      <c r="L912" s="28"/>
      <c r="M912" s="33"/>
      <c r="N912" s="33"/>
      <c r="O912" s="33"/>
      <c r="P912" s="33"/>
      <c r="Q912" s="28"/>
      <c r="R912" s="28"/>
      <c r="S912" s="28"/>
      <c r="T912" s="28"/>
      <c r="U912" s="28"/>
      <c r="V912" s="28"/>
      <c r="W912" s="28"/>
      <c r="X912" s="28"/>
      <c r="Y912" s="28"/>
      <c r="Z912" s="28"/>
      <c r="AA912" s="28"/>
    </row>
    <row r="913" ht="18.75" customHeight="1">
      <c r="A913" s="28"/>
      <c r="B913" s="28"/>
      <c r="C913" s="28"/>
      <c r="D913" s="28"/>
      <c r="E913" s="28"/>
      <c r="F913" s="28"/>
      <c r="G913" s="28"/>
      <c r="H913" s="28"/>
      <c r="I913" s="28"/>
      <c r="J913" s="28"/>
      <c r="K913" s="28"/>
      <c r="L913" s="28"/>
      <c r="M913" s="33"/>
      <c r="N913" s="33"/>
      <c r="O913" s="33"/>
      <c r="P913" s="33"/>
      <c r="Q913" s="28"/>
      <c r="R913" s="28"/>
      <c r="S913" s="28"/>
      <c r="T913" s="28"/>
      <c r="U913" s="28"/>
      <c r="V913" s="28"/>
      <c r="W913" s="28"/>
      <c r="X913" s="28"/>
      <c r="Y913" s="28"/>
      <c r="Z913" s="28"/>
      <c r="AA913" s="28"/>
    </row>
    <row r="914" ht="18.75" customHeight="1">
      <c r="A914" s="28"/>
      <c r="B914" s="28"/>
      <c r="C914" s="28"/>
      <c r="D914" s="28"/>
      <c r="E914" s="28"/>
      <c r="F914" s="28"/>
      <c r="G914" s="28"/>
      <c r="H914" s="28"/>
      <c r="I914" s="28"/>
      <c r="J914" s="28"/>
      <c r="K914" s="28"/>
      <c r="L914" s="28"/>
      <c r="M914" s="33"/>
      <c r="N914" s="33"/>
      <c r="O914" s="33"/>
      <c r="P914" s="33"/>
      <c r="Q914" s="28"/>
      <c r="R914" s="28"/>
      <c r="S914" s="28"/>
      <c r="T914" s="28"/>
      <c r="U914" s="28"/>
      <c r="V914" s="28"/>
      <c r="W914" s="28"/>
      <c r="X914" s="28"/>
      <c r="Y914" s="28"/>
      <c r="Z914" s="28"/>
      <c r="AA914" s="28"/>
    </row>
    <row r="915" ht="18.75" customHeight="1">
      <c r="A915" s="28"/>
      <c r="B915" s="28"/>
      <c r="C915" s="28"/>
      <c r="D915" s="28"/>
      <c r="E915" s="28"/>
      <c r="F915" s="28"/>
      <c r="G915" s="28"/>
      <c r="H915" s="28"/>
      <c r="I915" s="28"/>
      <c r="J915" s="28"/>
      <c r="K915" s="28"/>
      <c r="L915" s="28"/>
      <c r="M915" s="33"/>
      <c r="N915" s="33"/>
      <c r="O915" s="33"/>
      <c r="P915" s="33"/>
      <c r="Q915" s="28"/>
      <c r="R915" s="28"/>
      <c r="S915" s="28"/>
      <c r="T915" s="28"/>
      <c r="U915" s="28"/>
      <c r="V915" s="28"/>
      <c r="W915" s="28"/>
      <c r="X915" s="28"/>
      <c r="Y915" s="28"/>
      <c r="Z915" s="28"/>
      <c r="AA915" s="28"/>
    </row>
    <row r="916" ht="18.75" customHeight="1">
      <c r="A916" s="28"/>
      <c r="B916" s="28"/>
      <c r="C916" s="28"/>
      <c r="D916" s="28"/>
      <c r="E916" s="28"/>
      <c r="F916" s="28"/>
      <c r="G916" s="28"/>
      <c r="H916" s="28"/>
      <c r="I916" s="28"/>
      <c r="J916" s="28"/>
      <c r="K916" s="28"/>
      <c r="L916" s="28"/>
      <c r="M916" s="33"/>
      <c r="N916" s="33"/>
      <c r="O916" s="33"/>
      <c r="P916" s="33"/>
      <c r="Q916" s="28"/>
      <c r="R916" s="28"/>
      <c r="S916" s="28"/>
      <c r="T916" s="28"/>
      <c r="U916" s="28"/>
      <c r="V916" s="28"/>
      <c r="W916" s="28"/>
      <c r="X916" s="28"/>
      <c r="Y916" s="28"/>
      <c r="Z916" s="28"/>
      <c r="AA916" s="28"/>
    </row>
    <row r="917" ht="18.75" customHeight="1">
      <c r="A917" s="28"/>
      <c r="B917" s="28"/>
      <c r="C917" s="28"/>
      <c r="D917" s="28"/>
      <c r="E917" s="28"/>
      <c r="F917" s="28"/>
      <c r="G917" s="28"/>
      <c r="H917" s="28"/>
      <c r="I917" s="28"/>
      <c r="J917" s="28"/>
      <c r="K917" s="28"/>
      <c r="L917" s="28"/>
      <c r="M917" s="33"/>
      <c r="N917" s="33"/>
      <c r="O917" s="33"/>
      <c r="P917" s="33"/>
      <c r="Q917" s="28"/>
      <c r="R917" s="28"/>
      <c r="S917" s="28"/>
      <c r="T917" s="28"/>
      <c r="U917" s="28"/>
      <c r="V917" s="28"/>
      <c r="W917" s="28"/>
      <c r="X917" s="28"/>
      <c r="Y917" s="28"/>
      <c r="Z917" s="28"/>
      <c r="AA917" s="28"/>
    </row>
    <row r="918" ht="18.75" customHeight="1">
      <c r="A918" s="28"/>
      <c r="B918" s="28"/>
      <c r="C918" s="28"/>
      <c r="D918" s="28"/>
      <c r="E918" s="28"/>
      <c r="F918" s="28"/>
      <c r="G918" s="28"/>
      <c r="H918" s="28"/>
      <c r="I918" s="28"/>
      <c r="J918" s="28"/>
      <c r="K918" s="28"/>
      <c r="L918" s="28"/>
      <c r="M918" s="33"/>
      <c r="N918" s="33"/>
      <c r="O918" s="33"/>
      <c r="P918" s="33"/>
      <c r="Q918" s="28"/>
      <c r="R918" s="28"/>
      <c r="S918" s="28"/>
      <c r="T918" s="28"/>
      <c r="U918" s="28"/>
      <c r="V918" s="28"/>
      <c r="W918" s="28"/>
      <c r="X918" s="28"/>
      <c r="Y918" s="28"/>
      <c r="Z918" s="28"/>
      <c r="AA918" s="28"/>
    </row>
    <row r="919" ht="18.75" customHeight="1">
      <c r="A919" s="28"/>
      <c r="B919" s="28"/>
      <c r="C919" s="28"/>
      <c r="D919" s="28"/>
      <c r="E919" s="28"/>
      <c r="F919" s="28"/>
      <c r="G919" s="28"/>
      <c r="H919" s="28"/>
      <c r="I919" s="28"/>
      <c r="J919" s="28"/>
      <c r="K919" s="28"/>
      <c r="L919" s="28"/>
      <c r="M919" s="33"/>
      <c r="N919" s="33"/>
      <c r="O919" s="33"/>
      <c r="P919" s="33"/>
      <c r="Q919" s="28"/>
      <c r="R919" s="28"/>
      <c r="S919" s="28"/>
      <c r="T919" s="28"/>
      <c r="U919" s="28"/>
      <c r="V919" s="28"/>
      <c r="W919" s="28"/>
      <c r="X919" s="28"/>
      <c r="Y919" s="28"/>
      <c r="Z919" s="28"/>
      <c r="AA919" s="28"/>
    </row>
    <row r="920" ht="18.75" customHeight="1">
      <c r="A920" s="28"/>
      <c r="B920" s="28"/>
      <c r="C920" s="28"/>
      <c r="D920" s="28"/>
      <c r="E920" s="28"/>
      <c r="F920" s="28"/>
      <c r="G920" s="28"/>
      <c r="H920" s="28"/>
      <c r="I920" s="28"/>
      <c r="J920" s="28"/>
      <c r="K920" s="28"/>
      <c r="L920" s="28"/>
      <c r="M920" s="33"/>
      <c r="N920" s="33"/>
      <c r="O920" s="33"/>
      <c r="P920" s="33"/>
      <c r="Q920" s="28"/>
      <c r="R920" s="28"/>
      <c r="S920" s="28"/>
      <c r="T920" s="28"/>
      <c r="U920" s="28"/>
      <c r="V920" s="28"/>
      <c r="W920" s="28"/>
      <c r="X920" s="28"/>
      <c r="Y920" s="28"/>
      <c r="Z920" s="28"/>
      <c r="AA920" s="28"/>
    </row>
    <row r="921" ht="18.75" customHeight="1">
      <c r="A921" s="28"/>
      <c r="B921" s="28"/>
      <c r="C921" s="28"/>
      <c r="D921" s="28"/>
      <c r="E921" s="28"/>
      <c r="F921" s="28"/>
      <c r="G921" s="28"/>
      <c r="H921" s="28"/>
      <c r="I921" s="28"/>
      <c r="J921" s="28"/>
      <c r="K921" s="28"/>
      <c r="L921" s="28"/>
      <c r="M921" s="33"/>
      <c r="N921" s="33"/>
      <c r="O921" s="33"/>
      <c r="P921" s="33"/>
      <c r="Q921" s="28"/>
      <c r="R921" s="28"/>
      <c r="S921" s="28"/>
      <c r="T921" s="28"/>
      <c r="U921" s="28"/>
      <c r="V921" s="28"/>
      <c r="W921" s="28"/>
      <c r="X921" s="28"/>
      <c r="Y921" s="28"/>
      <c r="Z921" s="28"/>
      <c r="AA921" s="28"/>
    </row>
    <row r="922" ht="18.75" customHeight="1">
      <c r="A922" s="28"/>
      <c r="B922" s="28"/>
      <c r="C922" s="28"/>
      <c r="D922" s="28"/>
      <c r="E922" s="28"/>
      <c r="F922" s="28"/>
      <c r="G922" s="28"/>
      <c r="H922" s="28"/>
      <c r="I922" s="28"/>
      <c r="J922" s="28"/>
      <c r="K922" s="28"/>
      <c r="L922" s="28"/>
      <c r="M922" s="33"/>
      <c r="N922" s="33"/>
      <c r="O922" s="33"/>
      <c r="P922" s="33"/>
      <c r="Q922" s="28"/>
      <c r="R922" s="28"/>
      <c r="S922" s="28"/>
      <c r="T922" s="28"/>
      <c r="U922" s="28"/>
      <c r="V922" s="28"/>
      <c r="W922" s="28"/>
      <c r="X922" s="28"/>
      <c r="Y922" s="28"/>
      <c r="Z922" s="28"/>
      <c r="AA922" s="28"/>
    </row>
    <row r="923" ht="18.75" customHeight="1">
      <c r="A923" s="28"/>
      <c r="B923" s="28"/>
      <c r="C923" s="28"/>
      <c r="D923" s="28"/>
      <c r="E923" s="28"/>
      <c r="F923" s="28"/>
      <c r="G923" s="28"/>
      <c r="H923" s="28"/>
      <c r="I923" s="28"/>
      <c r="J923" s="28"/>
      <c r="K923" s="28"/>
      <c r="L923" s="28"/>
      <c r="M923" s="33"/>
      <c r="N923" s="33"/>
      <c r="O923" s="33"/>
      <c r="P923" s="33"/>
      <c r="Q923" s="28"/>
      <c r="R923" s="28"/>
      <c r="S923" s="28"/>
      <c r="T923" s="28"/>
      <c r="U923" s="28"/>
      <c r="V923" s="28"/>
      <c r="W923" s="28"/>
      <c r="X923" s="28"/>
      <c r="Y923" s="28"/>
      <c r="Z923" s="28"/>
      <c r="AA923" s="28"/>
    </row>
    <row r="924" ht="18.75" customHeight="1">
      <c r="A924" s="28"/>
      <c r="B924" s="28"/>
      <c r="C924" s="28"/>
      <c r="D924" s="28"/>
      <c r="E924" s="28"/>
      <c r="F924" s="28"/>
      <c r="G924" s="28"/>
      <c r="H924" s="28"/>
      <c r="I924" s="28"/>
      <c r="J924" s="28"/>
      <c r="K924" s="28"/>
      <c r="L924" s="28"/>
      <c r="M924" s="33"/>
      <c r="N924" s="33"/>
      <c r="O924" s="33"/>
      <c r="P924" s="33"/>
      <c r="Q924" s="28"/>
      <c r="R924" s="28"/>
      <c r="S924" s="28"/>
      <c r="T924" s="28"/>
      <c r="U924" s="28"/>
      <c r="V924" s="28"/>
      <c r="W924" s="28"/>
      <c r="X924" s="28"/>
      <c r="Y924" s="28"/>
      <c r="Z924" s="28"/>
      <c r="AA924" s="28"/>
    </row>
    <row r="925" ht="18.75" customHeight="1">
      <c r="A925" s="28"/>
      <c r="B925" s="28"/>
      <c r="C925" s="28"/>
      <c r="D925" s="28"/>
      <c r="E925" s="28"/>
      <c r="F925" s="28"/>
      <c r="G925" s="28"/>
      <c r="H925" s="28"/>
      <c r="I925" s="28"/>
      <c r="J925" s="28"/>
      <c r="K925" s="28"/>
      <c r="L925" s="28"/>
      <c r="M925" s="33"/>
      <c r="N925" s="33"/>
      <c r="O925" s="33"/>
      <c r="P925" s="33"/>
      <c r="Q925" s="28"/>
      <c r="R925" s="28"/>
      <c r="S925" s="28"/>
      <c r="T925" s="28"/>
      <c r="U925" s="28"/>
      <c r="V925" s="28"/>
      <c r="W925" s="28"/>
      <c r="X925" s="28"/>
      <c r="Y925" s="28"/>
      <c r="Z925" s="28"/>
      <c r="AA925" s="28"/>
    </row>
    <row r="926" ht="18.75" customHeight="1">
      <c r="A926" s="28"/>
      <c r="B926" s="28"/>
      <c r="C926" s="28"/>
      <c r="D926" s="28"/>
      <c r="E926" s="28"/>
      <c r="F926" s="28"/>
      <c r="G926" s="28"/>
      <c r="H926" s="28"/>
      <c r="I926" s="28"/>
      <c r="J926" s="28"/>
      <c r="K926" s="28"/>
      <c r="L926" s="28"/>
      <c r="M926" s="33"/>
      <c r="N926" s="33"/>
      <c r="O926" s="33"/>
      <c r="P926" s="33"/>
      <c r="Q926" s="28"/>
      <c r="R926" s="28"/>
      <c r="S926" s="28"/>
      <c r="T926" s="28"/>
      <c r="U926" s="28"/>
      <c r="V926" s="28"/>
      <c r="W926" s="28"/>
      <c r="X926" s="28"/>
      <c r="Y926" s="28"/>
      <c r="Z926" s="28"/>
      <c r="AA926" s="28"/>
    </row>
    <row r="927" ht="18.75" customHeight="1">
      <c r="A927" s="28"/>
      <c r="B927" s="28"/>
      <c r="C927" s="28"/>
      <c r="D927" s="28"/>
      <c r="E927" s="28"/>
      <c r="F927" s="28"/>
      <c r="G927" s="28"/>
      <c r="H927" s="28"/>
      <c r="I927" s="28"/>
      <c r="J927" s="28"/>
      <c r="K927" s="28"/>
      <c r="L927" s="28"/>
      <c r="M927" s="33"/>
      <c r="N927" s="33"/>
      <c r="O927" s="33"/>
      <c r="P927" s="33"/>
      <c r="Q927" s="28"/>
      <c r="R927" s="28"/>
      <c r="S927" s="28"/>
      <c r="T927" s="28"/>
      <c r="U927" s="28"/>
      <c r="V927" s="28"/>
      <c r="W927" s="28"/>
      <c r="X927" s="28"/>
      <c r="Y927" s="28"/>
      <c r="Z927" s="28"/>
      <c r="AA927" s="28"/>
    </row>
    <row r="928" ht="18.75" customHeight="1">
      <c r="A928" s="28"/>
      <c r="B928" s="28"/>
      <c r="C928" s="28"/>
      <c r="D928" s="28"/>
      <c r="E928" s="28"/>
      <c r="F928" s="28"/>
      <c r="G928" s="28"/>
      <c r="H928" s="28"/>
      <c r="I928" s="28"/>
      <c r="J928" s="28"/>
      <c r="K928" s="28"/>
      <c r="L928" s="28"/>
      <c r="M928" s="33"/>
      <c r="N928" s="33"/>
      <c r="O928" s="33"/>
      <c r="P928" s="33"/>
      <c r="Q928" s="28"/>
      <c r="R928" s="28"/>
      <c r="S928" s="28"/>
      <c r="T928" s="28"/>
      <c r="U928" s="28"/>
      <c r="V928" s="28"/>
      <c r="W928" s="28"/>
      <c r="X928" s="28"/>
      <c r="Y928" s="28"/>
      <c r="Z928" s="28"/>
      <c r="AA928" s="28"/>
    </row>
    <row r="929" ht="18.75" customHeight="1">
      <c r="A929" s="28"/>
      <c r="B929" s="28"/>
      <c r="C929" s="28"/>
      <c r="D929" s="28"/>
      <c r="E929" s="28"/>
      <c r="F929" s="28"/>
      <c r="G929" s="28"/>
      <c r="H929" s="28"/>
      <c r="I929" s="28"/>
      <c r="J929" s="28"/>
      <c r="K929" s="28"/>
      <c r="L929" s="28"/>
      <c r="M929" s="33"/>
      <c r="N929" s="33"/>
      <c r="O929" s="33"/>
      <c r="P929" s="33"/>
      <c r="Q929" s="28"/>
      <c r="R929" s="28"/>
      <c r="S929" s="28"/>
      <c r="T929" s="28"/>
      <c r="U929" s="28"/>
      <c r="V929" s="28"/>
      <c r="W929" s="28"/>
      <c r="X929" s="28"/>
      <c r="Y929" s="28"/>
      <c r="Z929" s="28"/>
      <c r="AA929" s="28"/>
    </row>
    <row r="930" ht="18.75" customHeight="1">
      <c r="A930" s="28"/>
      <c r="B930" s="28"/>
      <c r="C930" s="28"/>
      <c r="D930" s="28"/>
      <c r="E930" s="28"/>
      <c r="F930" s="28"/>
      <c r="G930" s="28"/>
      <c r="H930" s="28"/>
      <c r="I930" s="28"/>
      <c r="J930" s="28"/>
      <c r="K930" s="28"/>
      <c r="L930" s="28"/>
      <c r="M930" s="33"/>
      <c r="N930" s="33"/>
      <c r="O930" s="33"/>
      <c r="P930" s="33"/>
      <c r="Q930" s="28"/>
      <c r="R930" s="28"/>
      <c r="S930" s="28"/>
      <c r="T930" s="28"/>
      <c r="U930" s="28"/>
      <c r="V930" s="28"/>
      <c r="W930" s="28"/>
      <c r="X930" s="28"/>
      <c r="Y930" s="28"/>
      <c r="Z930" s="28"/>
      <c r="AA930" s="28"/>
    </row>
    <row r="931" ht="18.75" customHeight="1">
      <c r="A931" s="28"/>
      <c r="B931" s="28"/>
      <c r="C931" s="28"/>
      <c r="D931" s="28"/>
      <c r="E931" s="28"/>
      <c r="F931" s="28"/>
      <c r="G931" s="28"/>
      <c r="H931" s="28"/>
      <c r="I931" s="28"/>
      <c r="J931" s="28"/>
      <c r="K931" s="28"/>
      <c r="L931" s="28"/>
      <c r="M931" s="33"/>
      <c r="N931" s="33"/>
      <c r="O931" s="33"/>
      <c r="P931" s="33"/>
      <c r="Q931" s="28"/>
      <c r="R931" s="28"/>
      <c r="S931" s="28"/>
      <c r="T931" s="28"/>
      <c r="U931" s="28"/>
      <c r="V931" s="28"/>
      <c r="W931" s="28"/>
      <c r="X931" s="28"/>
      <c r="Y931" s="28"/>
      <c r="Z931" s="28"/>
      <c r="AA931" s="28"/>
    </row>
    <row r="932" ht="18.75" customHeight="1">
      <c r="A932" s="28"/>
      <c r="B932" s="28"/>
      <c r="C932" s="28"/>
      <c r="D932" s="28"/>
      <c r="E932" s="28"/>
      <c r="F932" s="28"/>
      <c r="G932" s="28"/>
      <c r="H932" s="28"/>
      <c r="I932" s="28"/>
      <c r="J932" s="28"/>
      <c r="K932" s="28"/>
      <c r="L932" s="28"/>
      <c r="M932" s="33"/>
      <c r="N932" s="33"/>
      <c r="O932" s="33"/>
      <c r="P932" s="33"/>
      <c r="Q932" s="28"/>
      <c r="R932" s="28"/>
      <c r="S932" s="28"/>
      <c r="T932" s="28"/>
      <c r="U932" s="28"/>
      <c r="V932" s="28"/>
      <c r="W932" s="28"/>
      <c r="X932" s="28"/>
      <c r="Y932" s="28"/>
      <c r="Z932" s="28"/>
      <c r="AA932" s="28"/>
    </row>
    <row r="933" ht="18.75" customHeight="1">
      <c r="A933" s="28"/>
      <c r="B933" s="28"/>
      <c r="C933" s="28"/>
      <c r="D933" s="28"/>
      <c r="E933" s="28"/>
      <c r="F933" s="28"/>
      <c r="G933" s="28"/>
      <c r="H933" s="28"/>
      <c r="I933" s="28"/>
      <c r="J933" s="28"/>
      <c r="K933" s="28"/>
      <c r="L933" s="28"/>
      <c r="M933" s="33"/>
      <c r="N933" s="33"/>
      <c r="O933" s="33"/>
      <c r="P933" s="33"/>
      <c r="Q933" s="28"/>
      <c r="R933" s="28"/>
      <c r="S933" s="28"/>
      <c r="T933" s="28"/>
      <c r="U933" s="28"/>
      <c r="V933" s="28"/>
      <c r="W933" s="28"/>
      <c r="X933" s="28"/>
      <c r="Y933" s="28"/>
      <c r="Z933" s="28"/>
      <c r="AA933" s="28"/>
    </row>
    <row r="934" ht="18.75" customHeight="1">
      <c r="A934" s="28"/>
      <c r="B934" s="28"/>
      <c r="C934" s="28"/>
      <c r="D934" s="28"/>
      <c r="E934" s="28"/>
      <c r="F934" s="28"/>
      <c r="G934" s="28"/>
      <c r="H934" s="28"/>
      <c r="I934" s="28"/>
      <c r="J934" s="28"/>
      <c r="K934" s="28"/>
      <c r="L934" s="28"/>
      <c r="M934" s="33"/>
      <c r="N934" s="33"/>
      <c r="O934" s="33"/>
      <c r="P934" s="33"/>
      <c r="Q934" s="28"/>
      <c r="R934" s="28"/>
      <c r="S934" s="28"/>
      <c r="T934" s="28"/>
      <c r="U934" s="28"/>
      <c r="V934" s="28"/>
      <c r="W934" s="28"/>
      <c r="X934" s="28"/>
      <c r="Y934" s="28"/>
      <c r="Z934" s="28"/>
      <c r="AA934" s="28"/>
    </row>
    <row r="935" ht="18.75" customHeight="1">
      <c r="A935" s="28"/>
      <c r="B935" s="28"/>
      <c r="C935" s="28"/>
      <c r="D935" s="28"/>
      <c r="E935" s="28"/>
      <c r="F935" s="28"/>
      <c r="G935" s="28"/>
      <c r="H935" s="28"/>
      <c r="I935" s="28"/>
      <c r="J935" s="28"/>
      <c r="K935" s="28"/>
      <c r="L935" s="28"/>
      <c r="M935" s="33"/>
      <c r="N935" s="33"/>
      <c r="O935" s="33"/>
      <c r="P935" s="33"/>
      <c r="Q935" s="28"/>
      <c r="R935" s="28"/>
      <c r="S935" s="28"/>
      <c r="T935" s="28"/>
      <c r="U935" s="28"/>
      <c r="V935" s="28"/>
      <c r="W935" s="28"/>
      <c r="X935" s="28"/>
      <c r="Y935" s="28"/>
      <c r="Z935" s="28"/>
      <c r="AA935" s="28"/>
    </row>
    <row r="936" ht="18.75" customHeight="1">
      <c r="A936" s="28"/>
      <c r="B936" s="28"/>
      <c r="C936" s="28"/>
      <c r="D936" s="28"/>
      <c r="E936" s="28"/>
      <c r="F936" s="28"/>
      <c r="G936" s="28"/>
      <c r="H936" s="28"/>
      <c r="I936" s="28"/>
      <c r="J936" s="28"/>
      <c r="K936" s="28"/>
      <c r="L936" s="28"/>
      <c r="M936" s="33"/>
      <c r="N936" s="33"/>
      <c r="O936" s="33"/>
      <c r="P936" s="33"/>
      <c r="Q936" s="28"/>
      <c r="R936" s="28"/>
      <c r="S936" s="28"/>
      <c r="T936" s="28"/>
      <c r="U936" s="28"/>
      <c r="V936" s="28"/>
      <c r="W936" s="28"/>
      <c r="X936" s="28"/>
      <c r="Y936" s="28"/>
      <c r="Z936" s="28"/>
      <c r="AA936" s="28"/>
    </row>
    <row r="937" ht="18.75" customHeight="1">
      <c r="A937" s="28"/>
      <c r="B937" s="28"/>
      <c r="C937" s="28"/>
      <c r="D937" s="28"/>
      <c r="E937" s="28"/>
      <c r="F937" s="28"/>
      <c r="G937" s="28"/>
      <c r="H937" s="28"/>
      <c r="I937" s="28"/>
      <c r="J937" s="28"/>
      <c r="K937" s="28"/>
      <c r="L937" s="28"/>
      <c r="M937" s="33"/>
      <c r="N937" s="33"/>
      <c r="O937" s="33"/>
      <c r="P937" s="33"/>
      <c r="Q937" s="28"/>
      <c r="R937" s="28"/>
      <c r="S937" s="28"/>
      <c r="T937" s="28"/>
      <c r="U937" s="28"/>
      <c r="V937" s="28"/>
      <c r="W937" s="28"/>
      <c r="X937" s="28"/>
      <c r="Y937" s="28"/>
      <c r="Z937" s="28"/>
      <c r="AA937" s="28"/>
    </row>
    <row r="938" ht="18.75" customHeight="1">
      <c r="A938" s="28"/>
      <c r="B938" s="28"/>
      <c r="C938" s="28"/>
      <c r="D938" s="28"/>
      <c r="E938" s="28"/>
      <c r="F938" s="28"/>
      <c r="G938" s="28"/>
      <c r="H938" s="28"/>
      <c r="I938" s="28"/>
      <c r="J938" s="28"/>
      <c r="K938" s="28"/>
      <c r="L938" s="28"/>
      <c r="M938" s="33"/>
      <c r="N938" s="33"/>
      <c r="O938" s="33"/>
      <c r="P938" s="33"/>
      <c r="Q938" s="28"/>
      <c r="R938" s="28"/>
      <c r="S938" s="28"/>
      <c r="T938" s="28"/>
      <c r="U938" s="28"/>
      <c r="V938" s="28"/>
      <c r="W938" s="28"/>
      <c r="X938" s="28"/>
      <c r="Y938" s="28"/>
      <c r="Z938" s="28"/>
      <c r="AA938" s="28"/>
    </row>
    <row r="939" ht="18.75" customHeight="1">
      <c r="A939" s="28"/>
      <c r="B939" s="28"/>
      <c r="C939" s="28"/>
      <c r="D939" s="28"/>
      <c r="E939" s="28"/>
      <c r="F939" s="28"/>
      <c r="G939" s="28"/>
      <c r="H939" s="28"/>
      <c r="I939" s="28"/>
      <c r="J939" s="28"/>
      <c r="K939" s="28"/>
      <c r="L939" s="28"/>
      <c r="M939" s="33"/>
      <c r="N939" s="33"/>
      <c r="O939" s="33"/>
      <c r="P939" s="33"/>
      <c r="Q939" s="28"/>
      <c r="R939" s="28"/>
      <c r="S939" s="28"/>
      <c r="T939" s="28"/>
      <c r="U939" s="28"/>
      <c r="V939" s="28"/>
      <c r="W939" s="28"/>
      <c r="X939" s="28"/>
      <c r="Y939" s="28"/>
      <c r="Z939" s="28"/>
      <c r="AA939" s="28"/>
    </row>
    <row r="940" ht="18.75" customHeight="1">
      <c r="A940" s="28"/>
      <c r="B940" s="28"/>
      <c r="C940" s="28"/>
      <c r="D940" s="28"/>
      <c r="E940" s="28"/>
      <c r="F940" s="28"/>
      <c r="G940" s="28"/>
      <c r="H940" s="28"/>
      <c r="I940" s="28"/>
      <c r="J940" s="28"/>
      <c r="K940" s="28"/>
      <c r="L940" s="28"/>
      <c r="M940" s="33"/>
      <c r="N940" s="33"/>
      <c r="O940" s="33"/>
      <c r="P940" s="33"/>
      <c r="Q940" s="28"/>
      <c r="R940" s="28"/>
      <c r="S940" s="28"/>
      <c r="T940" s="28"/>
      <c r="U940" s="28"/>
      <c r="V940" s="28"/>
      <c r="W940" s="28"/>
      <c r="X940" s="28"/>
      <c r="Y940" s="28"/>
      <c r="Z940" s="28"/>
      <c r="AA940" s="28"/>
    </row>
    <row r="941" ht="18.75" customHeight="1">
      <c r="A941" s="28"/>
      <c r="B941" s="28"/>
      <c r="C941" s="28"/>
      <c r="D941" s="28"/>
      <c r="E941" s="28"/>
      <c r="F941" s="28"/>
      <c r="G941" s="28"/>
      <c r="H941" s="28"/>
      <c r="I941" s="28"/>
      <c r="J941" s="28"/>
      <c r="K941" s="28"/>
      <c r="L941" s="28"/>
      <c r="M941" s="33"/>
      <c r="N941" s="33"/>
      <c r="O941" s="33"/>
      <c r="P941" s="33"/>
      <c r="Q941" s="28"/>
      <c r="R941" s="28"/>
      <c r="S941" s="28"/>
      <c r="T941" s="28"/>
      <c r="U941" s="28"/>
      <c r="V941" s="28"/>
      <c r="W941" s="28"/>
      <c r="X941" s="28"/>
      <c r="Y941" s="28"/>
      <c r="Z941" s="28"/>
      <c r="AA941" s="28"/>
    </row>
    <row r="942" ht="18.75" customHeight="1">
      <c r="A942" s="28"/>
      <c r="B942" s="28"/>
      <c r="C942" s="28"/>
      <c r="D942" s="28"/>
      <c r="E942" s="28"/>
      <c r="F942" s="28"/>
      <c r="G942" s="28"/>
      <c r="H942" s="28"/>
      <c r="I942" s="28"/>
      <c r="J942" s="28"/>
      <c r="K942" s="28"/>
      <c r="L942" s="28"/>
      <c r="M942" s="33"/>
      <c r="N942" s="33"/>
      <c r="O942" s="33"/>
      <c r="P942" s="33"/>
      <c r="Q942" s="28"/>
      <c r="R942" s="28"/>
      <c r="S942" s="28"/>
      <c r="T942" s="28"/>
      <c r="U942" s="28"/>
      <c r="V942" s="28"/>
      <c r="W942" s="28"/>
      <c r="X942" s="28"/>
      <c r="Y942" s="28"/>
      <c r="Z942" s="28"/>
      <c r="AA942" s="28"/>
    </row>
    <row r="943" ht="18.75" customHeight="1">
      <c r="A943" s="28"/>
      <c r="B943" s="28"/>
      <c r="C943" s="28"/>
      <c r="D943" s="28"/>
      <c r="E943" s="28"/>
      <c r="F943" s="28"/>
      <c r="G943" s="28"/>
      <c r="H943" s="28"/>
      <c r="I943" s="28"/>
      <c r="J943" s="28"/>
      <c r="K943" s="28"/>
      <c r="L943" s="28"/>
      <c r="M943" s="33"/>
      <c r="N943" s="33"/>
      <c r="O943" s="33"/>
      <c r="P943" s="33"/>
      <c r="Q943" s="28"/>
      <c r="R943" s="28"/>
      <c r="S943" s="28"/>
      <c r="T943" s="28"/>
      <c r="U943" s="28"/>
      <c r="V943" s="28"/>
      <c r="W943" s="28"/>
      <c r="X943" s="28"/>
      <c r="Y943" s="28"/>
      <c r="Z943" s="28"/>
      <c r="AA943" s="28"/>
    </row>
    <row r="944" ht="18.75" customHeight="1">
      <c r="A944" s="28"/>
      <c r="B944" s="28"/>
      <c r="C944" s="28"/>
      <c r="D944" s="28"/>
      <c r="E944" s="28"/>
      <c r="F944" s="28"/>
      <c r="G944" s="28"/>
      <c r="H944" s="28"/>
      <c r="I944" s="28"/>
      <c r="J944" s="28"/>
      <c r="K944" s="28"/>
      <c r="L944" s="28"/>
      <c r="M944" s="33"/>
      <c r="N944" s="33"/>
      <c r="O944" s="33"/>
      <c r="P944" s="33"/>
      <c r="Q944" s="28"/>
      <c r="R944" s="28"/>
      <c r="S944" s="28"/>
      <c r="T944" s="28"/>
      <c r="U944" s="28"/>
      <c r="V944" s="28"/>
      <c r="W944" s="28"/>
      <c r="X944" s="28"/>
      <c r="Y944" s="28"/>
      <c r="Z944" s="28"/>
      <c r="AA944" s="28"/>
    </row>
    <row r="945" ht="18.75" customHeight="1">
      <c r="A945" s="28"/>
      <c r="B945" s="28"/>
      <c r="C945" s="28"/>
      <c r="D945" s="28"/>
      <c r="E945" s="28"/>
      <c r="F945" s="28"/>
      <c r="G945" s="28"/>
      <c r="H945" s="28"/>
      <c r="I945" s="28"/>
      <c r="J945" s="28"/>
      <c r="K945" s="28"/>
      <c r="L945" s="28"/>
      <c r="M945" s="33"/>
      <c r="N945" s="33"/>
      <c r="O945" s="33"/>
      <c r="P945" s="33"/>
      <c r="Q945" s="28"/>
      <c r="R945" s="28"/>
      <c r="S945" s="28"/>
      <c r="T945" s="28"/>
      <c r="U945" s="28"/>
      <c r="V945" s="28"/>
      <c r="W945" s="28"/>
      <c r="X945" s="28"/>
      <c r="Y945" s="28"/>
      <c r="Z945" s="28"/>
      <c r="AA945" s="28"/>
    </row>
    <row r="946" ht="18.75" customHeight="1">
      <c r="A946" s="28"/>
      <c r="B946" s="28"/>
      <c r="C946" s="28"/>
      <c r="D946" s="28"/>
      <c r="E946" s="28"/>
      <c r="F946" s="28"/>
      <c r="G946" s="28"/>
      <c r="H946" s="28"/>
      <c r="I946" s="28"/>
      <c r="J946" s="28"/>
      <c r="K946" s="28"/>
      <c r="L946" s="28"/>
      <c r="M946" s="33"/>
      <c r="N946" s="33"/>
      <c r="O946" s="33"/>
      <c r="P946" s="33"/>
      <c r="Q946" s="28"/>
      <c r="R946" s="28"/>
      <c r="S946" s="28"/>
      <c r="T946" s="28"/>
      <c r="U946" s="28"/>
      <c r="V946" s="28"/>
      <c r="W946" s="28"/>
      <c r="X946" s="28"/>
      <c r="Y946" s="28"/>
      <c r="Z946" s="28"/>
      <c r="AA946" s="28"/>
    </row>
    <row r="947" ht="18.75" customHeight="1">
      <c r="A947" s="28"/>
      <c r="B947" s="28"/>
      <c r="C947" s="28"/>
      <c r="D947" s="28"/>
      <c r="E947" s="28"/>
      <c r="F947" s="28"/>
      <c r="G947" s="28"/>
      <c r="H947" s="28"/>
      <c r="I947" s="28"/>
      <c r="J947" s="28"/>
      <c r="K947" s="28"/>
      <c r="L947" s="28"/>
      <c r="M947" s="33"/>
      <c r="N947" s="33"/>
      <c r="O947" s="33"/>
      <c r="P947" s="33"/>
      <c r="Q947" s="28"/>
      <c r="R947" s="28"/>
      <c r="S947" s="28"/>
      <c r="T947" s="28"/>
      <c r="U947" s="28"/>
      <c r="V947" s="28"/>
      <c r="W947" s="28"/>
      <c r="X947" s="28"/>
      <c r="Y947" s="28"/>
      <c r="Z947" s="28"/>
      <c r="AA947" s="28"/>
    </row>
    <row r="948" ht="18.75" customHeight="1">
      <c r="A948" s="28"/>
      <c r="B948" s="28"/>
      <c r="C948" s="28"/>
      <c r="D948" s="28"/>
      <c r="E948" s="28"/>
      <c r="F948" s="28"/>
      <c r="G948" s="28"/>
      <c r="H948" s="28"/>
      <c r="I948" s="28"/>
      <c r="J948" s="28"/>
      <c r="K948" s="28"/>
      <c r="L948" s="28"/>
      <c r="M948" s="33"/>
      <c r="N948" s="33"/>
      <c r="O948" s="33"/>
      <c r="P948" s="33"/>
      <c r="Q948" s="28"/>
      <c r="R948" s="28"/>
      <c r="S948" s="28"/>
      <c r="T948" s="28"/>
      <c r="U948" s="28"/>
      <c r="V948" s="28"/>
      <c r="W948" s="28"/>
      <c r="X948" s="28"/>
      <c r="Y948" s="28"/>
      <c r="Z948" s="28"/>
      <c r="AA948" s="28"/>
    </row>
    <row r="949" ht="18.75" customHeight="1">
      <c r="A949" s="28"/>
      <c r="B949" s="28"/>
      <c r="C949" s="28"/>
      <c r="D949" s="28"/>
      <c r="E949" s="28"/>
      <c r="F949" s="28"/>
      <c r="G949" s="28"/>
      <c r="H949" s="28"/>
      <c r="I949" s="28"/>
      <c r="J949" s="28"/>
      <c r="K949" s="28"/>
      <c r="L949" s="28"/>
      <c r="M949" s="33"/>
      <c r="N949" s="33"/>
      <c r="O949" s="33"/>
      <c r="P949" s="33"/>
      <c r="Q949" s="28"/>
      <c r="R949" s="28"/>
      <c r="S949" s="28"/>
      <c r="T949" s="28"/>
      <c r="U949" s="28"/>
      <c r="V949" s="28"/>
      <c r="W949" s="28"/>
      <c r="X949" s="28"/>
      <c r="Y949" s="28"/>
      <c r="Z949" s="28"/>
      <c r="AA949" s="28"/>
    </row>
    <row r="950" ht="18.75" customHeight="1">
      <c r="A950" s="28"/>
      <c r="B950" s="28"/>
      <c r="C950" s="28"/>
      <c r="D950" s="28"/>
      <c r="E950" s="28"/>
      <c r="F950" s="28"/>
      <c r="G950" s="28"/>
      <c r="H950" s="28"/>
      <c r="I950" s="28"/>
      <c r="J950" s="28"/>
      <c r="K950" s="28"/>
      <c r="L950" s="28"/>
      <c r="M950" s="33"/>
      <c r="N950" s="33"/>
      <c r="O950" s="33"/>
      <c r="P950" s="33"/>
      <c r="Q950" s="28"/>
      <c r="R950" s="28"/>
      <c r="S950" s="28"/>
      <c r="T950" s="28"/>
      <c r="U950" s="28"/>
      <c r="V950" s="28"/>
      <c r="W950" s="28"/>
      <c r="X950" s="28"/>
      <c r="Y950" s="28"/>
      <c r="Z950" s="28"/>
      <c r="AA950" s="28"/>
    </row>
    <row r="951" ht="18.75" customHeight="1">
      <c r="A951" s="28"/>
      <c r="B951" s="28"/>
      <c r="C951" s="28"/>
      <c r="D951" s="28"/>
      <c r="E951" s="28"/>
      <c r="F951" s="28"/>
      <c r="G951" s="28"/>
      <c r="H951" s="28"/>
      <c r="I951" s="28"/>
      <c r="J951" s="28"/>
      <c r="K951" s="28"/>
      <c r="L951" s="28"/>
      <c r="M951" s="33"/>
      <c r="N951" s="33"/>
      <c r="O951" s="33"/>
      <c r="P951" s="33"/>
      <c r="Q951" s="28"/>
      <c r="R951" s="28"/>
      <c r="S951" s="28"/>
      <c r="T951" s="28"/>
      <c r="U951" s="28"/>
      <c r="V951" s="28"/>
      <c r="W951" s="28"/>
      <c r="X951" s="28"/>
      <c r="Y951" s="28"/>
      <c r="Z951" s="28"/>
      <c r="AA951" s="28"/>
    </row>
    <row r="952" ht="18.75" customHeight="1">
      <c r="A952" s="28"/>
      <c r="B952" s="28"/>
      <c r="C952" s="28"/>
      <c r="D952" s="28"/>
      <c r="E952" s="28"/>
      <c r="F952" s="28"/>
      <c r="G952" s="28"/>
      <c r="H952" s="28"/>
      <c r="I952" s="28"/>
      <c r="J952" s="28"/>
      <c r="K952" s="28"/>
      <c r="L952" s="28"/>
      <c r="M952" s="33"/>
      <c r="N952" s="33"/>
      <c r="O952" s="33"/>
      <c r="P952" s="33"/>
      <c r="Q952" s="28"/>
      <c r="R952" s="28"/>
      <c r="S952" s="28"/>
      <c r="T952" s="28"/>
      <c r="U952" s="28"/>
      <c r="V952" s="28"/>
      <c r="W952" s="28"/>
      <c r="X952" s="28"/>
      <c r="Y952" s="28"/>
      <c r="Z952" s="28"/>
      <c r="AA952" s="28"/>
    </row>
    <row r="953" ht="18.75" customHeight="1">
      <c r="A953" s="28"/>
      <c r="B953" s="28"/>
      <c r="C953" s="28"/>
      <c r="D953" s="28"/>
      <c r="E953" s="28"/>
      <c r="F953" s="28"/>
      <c r="G953" s="28"/>
      <c r="H953" s="28"/>
      <c r="I953" s="28"/>
      <c r="J953" s="28"/>
      <c r="K953" s="28"/>
      <c r="L953" s="28"/>
      <c r="M953" s="33"/>
      <c r="N953" s="33"/>
      <c r="O953" s="33"/>
      <c r="P953" s="33"/>
      <c r="Q953" s="28"/>
      <c r="R953" s="28"/>
      <c r="S953" s="28"/>
      <c r="T953" s="28"/>
      <c r="U953" s="28"/>
      <c r="V953" s="28"/>
      <c r="W953" s="28"/>
      <c r="X953" s="28"/>
      <c r="Y953" s="28"/>
      <c r="Z953" s="28"/>
      <c r="AA953" s="28"/>
    </row>
    <row r="954" ht="18.75" customHeight="1">
      <c r="A954" s="28"/>
      <c r="B954" s="28"/>
      <c r="C954" s="28"/>
      <c r="D954" s="28"/>
      <c r="E954" s="28"/>
      <c r="F954" s="28"/>
      <c r="G954" s="28"/>
      <c r="H954" s="28"/>
      <c r="I954" s="28"/>
      <c r="J954" s="28"/>
      <c r="K954" s="28"/>
      <c r="L954" s="28"/>
      <c r="M954" s="33"/>
      <c r="N954" s="33"/>
      <c r="O954" s="33"/>
      <c r="P954" s="33"/>
      <c r="Q954" s="28"/>
      <c r="R954" s="28"/>
      <c r="S954" s="28"/>
      <c r="T954" s="28"/>
      <c r="U954" s="28"/>
      <c r="V954" s="28"/>
      <c r="W954" s="28"/>
      <c r="X954" s="28"/>
      <c r="Y954" s="28"/>
      <c r="Z954" s="28"/>
      <c r="AA954" s="28"/>
    </row>
    <row r="955" ht="18.75" customHeight="1">
      <c r="A955" s="28"/>
      <c r="B955" s="28"/>
      <c r="C955" s="28"/>
      <c r="D955" s="28"/>
      <c r="E955" s="28"/>
      <c r="F955" s="28"/>
      <c r="G955" s="28"/>
      <c r="H955" s="28"/>
      <c r="I955" s="28"/>
      <c r="J955" s="28"/>
      <c r="K955" s="28"/>
      <c r="L955" s="28"/>
      <c r="M955" s="33"/>
      <c r="N955" s="33"/>
      <c r="O955" s="33"/>
      <c r="P955" s="33"/>
      <c r="Q955" s="28"/>
      <c r="R955" s="28"/>
      <c r="S955" s="28"/>
      <c r="T955" s="28"/>
      <c r="U955" s="28"/>
      <c r="V955" s="28"/>
      <c r="W955" s="28"/>
      <c r="X955" s="28"/>
      <c r="Y955" s="28"/>
      <c r="Z955" s="28"/>
      <c r="AA955" s="28"/>
    </row>
    <row r="956" ht="18.75" customHeight="1">
      <c r="A956" s="28"/>
      <c r="B956" s="28"/>
      <c r="C956" s="28"/>
      <c r="D956" s="28"/>
      <c r="E956" s="28"/>
      <c r="F956" s="28"/>
      <c r="G956" s="28"/>
      <c r="H956" s="28"/>
      <c r="I956" s="28"/>
      <c r="J956" s="28"/>
      <c r="K956" s="28"/>
      <c r="L956" s="28"/>
      <c r="M956" s="33"/>
      <c r="N956" s="33"/>
      <c r="O956" s="33"/>
      <c r="P956" s="33"/>
      <c r="Q956" s="28"/>
      <c r="R956" s="28"/>
      <c r="S956" s="28"/>
      <c r="T956" s="28"/>
      <c r="U956" s="28"/>
      <c r="V956" s="28"/>
      <c r="W956" s="28"/>
      <c r="X956" s="28"/>
      <c r="Y956" s="28"/>
      <c r="Z956" s="28"/>
      <c r="AA956" s="28"/>
    </row>
    <row r="957" ht="18.75" customHeight="1">
      <c r="A957" s="28"/>
      <c r="B957" s="28"/>
      <c r="C957" s="28"/>
      <c r="D957" s="28"/>
      <c r="E957" s="28"/>
      <c r="F957" s="28"/>
      <c r="G957" s="28"/>
      <c r="H957" s="28"/>
      <c r="I957" s="28"/>
      <c r="J957" s="28"/>
      <c r="K957" s="28"/>
      <c r="L957" s="28"/>
      <c r="M957" s="33"/>
      <c r="N957" s="33"/>
      <c r="O957" s="33"/>
      <c r="P957" s="33"/>
      <c r="Q957" s="28"/>
      <c r="R957" s="28"/>
      <c r="S957" s="28"/>
      <c r="T957" s="28"/>
      <c r="U957" s="28"/>
      <c r="V957" s="28"/>
      <c r="W957" s="28"/>
      <c r="X957" s="28"/>
      <c r="Y957" s="28"/>
      <c r="Z957" s="28"/>
      <c r="AA957" s="28"/>
    </row>
    <row r="958" ht="18.75" customHeight="1">
      <c r="A958" s="28"/>
      <c r="B958" s="28"/>
      <c r="C958" s="28"/>
      <c r="D958" s="28"/>
      <c r="E958" s="28"/>
      <c r="F958" s="28"/>
      <c r="G958" s="28"/>
      <c r="H958" s="28"/>
      <c r="I958" s="28"/>
      <c r="J958" s="28"/>
      <c r="K958" s="28"/>
      <c r="L958" s="28"/>
      <c r="M958" s="33"/>
      <c r="N958" s="33"/>
      <c r="O958" s="33"/>
      <c r="P958" s="33"/>
      <c r="Q958" s="28"/>
      <c r="R958" s="28"/>
      <c r="S958" s="28"/>
      <c r="T958" s="28"/>
      <c r="U958" s="28"/>
      <c r="V958" s="28"/>
      <c r="W958" s="28"/>
      <c r="X958" s="28"/>
      <c r="Y958" s="28"/>
      <c r="Z958" s="28"/>
      <c r="AA958" s="28"/>
    </row>
    <row r="959" ht="18.75" customHeight="1">
      <c r="A959" s="28"/>
      <c r="B959" s="28"/>
      <c r="C959" s="28"/>
      <c r="D959" s="28"/>
      <c r="E959" s="28"/>
      <c r="F959" s="28"/>
      <c r="G959" s="28"/>
      <c r="H959" s="28"/>
      <c r="I959" s="28"/>
      <c r="J959" s="28"/>
      <c r="K959" s="28"/>
      <c r="L959" s="28"/>
      <c r="M959" s="33"/>
      <c r="N959" s="33"/>
      <c r="O959" s="33"/>
      <c r="P959" s="33"/>
      <c r="Q959" s="28"/>
      <c r="R959" s="28"/>
      <c r="S959" s="28"/>
      <c r="T959" s="28"/>
      <c r="U959" s="28"/>
      <c r="V959" s="28"/>
      <c r="W959" s="28"/>
      <c r="X959" s="28"/>
      <c r="Y959" s="28"/>
      <c r="Z959" s="28"/>
      <c r="AA959" s="28"/>
    </row>
    <row r="960" ht="18.75" customHeight="1">
      <c r="A960" s="28"/>
      <c r="B960" s="28"/>
      <c r="C960" s="28"/>
      <c r="D960" s="28"/>
      <c r="E960" s="28"/>
      <c r="F960" s="28"/>
      <c r="G960" s="28"/>
      <c r="H960" s="28"/>
      <c r="I960" s="28"/>
      <c r="J960" s="28"/>
      <c r="K960" s="28"/>
      <c r="L960" s="28"/>
      <c r="M960" s="33"/>
      <c r="N960" s="33"/>
      <c r="O960" s="33"/>
      <c r="P960" s="33"/>
      <c r="Q960" s="28"/>
      <c r="R960" s="28"/>
      <c r="S960" s="28"/>
      <c r="T960" s="28"/>
      <c r="U960" s="28"/>
      <c r="V960" s="28"/>
      <c r="W960" s="28"/>
      <c r="X960" s="28"/>
      <c r="Y960" s="28"/>
      <c r="Z960" s="28"/>
      <c r="AA960" s="28"/>
    </row>
    <row r="961" ht="18.75" customHeight="1">
      <c r="A961" s="28"/>
      <c r="B961" s="28"/>
      <c r="C961" s="28"/>
      <c r="D961" s="28"/>
      <c r="E961" s="28"/>
      <c r="F961" s="28"/>
      <c r="G961" s="28"/>
      <c r="H961" s="28"/>
      <c r="I961" s="28"/>
      <c r="J961" s="28"/>
      <c r="K961" s="28"/>
      <c r="L961" s="28"/>
      <c r="M961" s="33"/>
      <c r="N961" s="33"/>
      <c r="O961" s="33"/>
      <c r="P961" s="33"/>
      <c r="Q961" s="28"/>
      <c r="R961" s="28"/>
      <c r="S961" s="28"/>
      <c r="T961" s="28"/>
      <c r="U961" s="28"/>
      <c r="V961" s="28"/>
      <c r="W961" s="28"/>
      <c r="X961" s="28"/>
      <c r="Y961" s="28"/>
      <c r="Z961" s="28"/>
      <c r="AA961" s="28"/>
    </row>
    <row r="962" ht="18.75" customHeight="1">
      <c r="A962" s="28"/>
      <c r="B962" s="28"/>
      <c r="C962" s="28"/>
      <c r="D962" s="28"/>
      <c r="E962" s="28"/>
      <c r="F962" s="28"/>
      <c r="G962" s="28"/>
      <c r="H962" s="28"/>
      <c r="I962" s="28"/>
      <c r="J962" s="28"/>
      <c r="K962" s="28"/>
      <c r="L962" s="28"/>
      <c r="M962" s="33"/>
      <c r="N962" s="33"/>
      <c r="O962" s="33"/>
      <c r="P962" s="33"/>
      <c r="Q962" s="28"/>
      <c r="R962" s="28"/>
      <c r="S962" s="28"/>
      <c r="T962" s="28"/>
      <c r="U962" s="28"/>
      <c r="V962" s="28"/>
      <c r="W962" s="28"/>
      <c r="X962" s="28"/>
      <c r="Y962" s="28"/>
      <c r="Z962" s="28"/>
      <c r="AA962" s="28"/>
    </row>
    <row r="963" ht="18.75" customHeight="1">
      <c r="A963" s="28"/>
      <c r="B963" s="28"/>
      <c r="C963" s="28"/>
      <c r="D963" s="28"/>
      <c r="E963" s="28"/>
      <c r="F963" s="28"/>
      <c r="G963" s="28"/>
      <c r="H963" s="28"/>
      <c r="I963" s="28"/>
      <c r="J963" s="28"/>
      <c r="K963" s="28"/>
      <c r="L963" s="28"/>
      <c r="M963" s="33"/>
      <c r="N963" s="33"/>
      <c r="O963" s="33"/>
      <c r="P963" s="33"/>
      <c r="Q963" s="28"/>
      <c r="R963" s="28"/>
      <c r="S963" s="28"/>
      <c r="T963" s="28"/>
      <c r="U963" s="28"/>
      <c r="V963" s="28"/>
      <c r="W963" s="28"/>
      <c r="X963" s="28"/>
      <c r="Y963" s="28"/>
      <c r="Z963" s="28"/>
      <c r="AA963" s="28"/>
    </row>
    <row r="964" ht="18.75" customHeight="1">
      <c r="A964" s="28"/>
      <c r="B964" s="28"/>
      <c r="C964" s="28"/>
      <c r="D964" s="28"/>
      <c r="E964" s="28"/>
      <c r="F964" s="28"/>
      <c r="G964" s="28"/>
      <c r="H964" s="28"/>
      <c r="I964" s="28"/>
      <c r="J964" s="28"/>
      <c r="K964" s="28"/>
      <c r="L964" s="28"/>
      <c r="M964" s="33"/>
      <c r="N964" s="33"/>
      <c r="O964" s="33"/>
      <c r="P964" s="33"/>
      <c r="Q964" s="28"/>
      <c r="R964" s="28"/>
      <c r="S964" s="28"/>
      <c r="T964" s="28"/>
      <c r="U964" s="28"/>
      <c r="V964" s="28"/>
      <c r="W964" s="28"/>
      <c r="X964" s="28"/>
      <c r="Y964" s="28"/>
      <c r="Z964" s="28"/>
      <c r="AA964" s="28"/>
    </row>
    <row r="965" ht="18.75" customHeight="1">
      <c r="A965" s="28"/>
      <c r="B965" s="28"/>
      <c r="C965" s="28"/>
      <c r="D965" s="28"/>
      <c r="E965" s="28"/>
      <c r="F965" s="28"/>
      <c r="G965" s="28"/>
      <c r="H965" s="28"/>
      <c r="I965" s="28"/>
      <c r="J965" s="28"/>
      <c r="K965" s="28"/>
      <c r="L965" s="28"/>
      <c r="M965" s="33"/>
      <c r="N965" s="33"/>
      <c r="O965" s="33"/>
      <c r="P965" s="33"/>
      <c r="Q965" s="28"/>
      <c r="R965" s="28"/>
      <c r="S965" s="28"/>
      <c r="T965" s="28"/>
      <c r="U965" s="28"/>
      <c r="V965" s="28"/>
      <c r="W965" s="28"/>
      <c r="X965" s="28"/>
      <c r="Y965" s="28"/>
      <c r="Z965" s="28"/>
      <c r="AA965" s="28"/>
    </row>
    <row r="966" ht="18.75" customHeight="1">
      <c r="A966" s="28"/>
      <c r="B966" s="28"/>
      <c r="C966" s="28"/>
      <c r="D966" s="28"/>
      <c r="E966" s="28"/>
      <c r="F966" s="28"/>
      <c r="G966" s="28"/>
      <c r="H966" s="28"/>
      <c r="I966" s="28"/>
      <c r="J966" s="28"/>
      <c r="K966" s="28"/>
      <c r="L966" s="28"/>
      <c r="M966" s="33"/>
      <c r="N966" s="33"/>
      <c r="O966" s="33"/>
      <c r="P966" s="33"/>
      <c r="Q966" s="28"/>
      <c r="R966" s="28"/>
      <c r="S966" s="28"/>
      <c r="T966" s="28"/>
      <c r="U966" s="28"/>
      <c r="V966" s="28"/>
      <c r="W966" s="28"/>
      <c r="X966" s="28"/>
      <c r="Y966" s="28"/>
      <c r="Z966" s="28"/>
      <c r="AA966" s="28"/>
    </row>
    <row r="967" ht="18.75" customHeight="1">
      <c r="A967" s="28"/>
      <c r="B967" s="28"/>
      <c r="C967" s="28"/>
      <c r="D967" s="28"/>
      <c r="E967" s="28"/>
      <c r="F967" s="28"/>
      <c r="G967" s="28"/>
      <c r="H967" s="28"/>
      <c r="I967" s="28"/>
      <c r="J967" s="28"/>
      <c r="K967" s="28"/>
      <c r="L967" s="28"/>
      <c r="M967" s="33"/>
      <c r="N967" s="33"/>
      <c r="O967" s="33"/>
      <c r="P967" s="33"/>
      <c r="Q967" s="28"/>
      <c r="R967" s="28"/>
      <c r="S967" s="28"/>
      <c r="T967" s="28"/>
      <c r="U967" s="28"/>
      <c r="V967" s="28"/>
      <c r="W967" s="28"/>
      <c r="X967" s="28"/>
      <c r="Y967" s="28"/>
      <c r="Z967" s="28"/>
      <c r="AA967" s="28"/>
    </row>
    <row r="968" ht="18.75" customHeight="1">
      <c r="A968" s="28"/>
      <c r="B968" s="28"/>
      <c r="C968" s="28"/>
      <c r="D968" s="28"/>
      <c r="E968" s="28"/>
      <c r="F968" s="28"/>
      <c r="G968" s="28"/>
      <c r="H968" s="28"/>
      <c r="I968" s="28"/>
      <c r="J968" s="28"/>
      <c r="K968" s="28"/>
      <c r="L968" s="28"/>
      <c r="M968" s="33"/>
      <c r="N968" s="33"/>
      <c r="O968" s="33"/>
      <c r="P968" s="33"/>
      <c r="Q968" s="28"/>
      <c r="R968" s="28"/>
      <c r="S968" s="28"/>
      <c r="T968" s="28"/>
      <c r="U968" s="28"/>
      <c r="V968" s="28"/>
      <c r="W968" s="28"/>
      <c r="X968" s="28"/>
      <c r="Y968" s="28"/>
      <c r="Z968" s="28"/>
      <c r="AA968" s="28"/>
    </row>
    <row r="969" ht="18.75" customHeight="1">
      <c r="A969" s="28"/>
      <c r="B969" s="28"/>
      <c r="C969" s="28"/>
      <c r="D969" s="28"/>
      <c r="E969" s="28"/>
      <c r="F969" s="28"/>
      <c r="G969" s="28"/>
      <c r="H969" s="28"/>
      <c r="I969" s="28"/>
      <c r="J969" s="28"/>
      <c r="K969" s="28"/>
      <c r="L969" s="28"/>
      <c r="M969" s="33"/>
      <c r="N969" s="33"/>
      <c r="O969" s="33"/>
      <c r="P969" s="33"/>
      <c r="Q969" s="28"/>
      <c r="R969" s="28"/>
      <c r="S969" s="28"/>
      <c r="T969" s="28"/>
      <c r="U969" s="28"/>
      <c r="V969" s="28"/>
      <c r="W969" s="28"/>
      <c r="X969" s="28"/>
      <c r="Y969" s="28"/>
      <c r="Z969" s="28"/>
      <c r="AA969" s="28"/>
    </row>
    <row r="970" ht="18.75" customHeight="1">
      <c r="A970" s="28"/>
      <c r="B970" s="28"/>
      <c r="C970" s="28"/>
      <c r="D970" s="28"/>
      <c r="E970" s="28"/>
      <c r="F970" s="28"/>
      <c r="G970" s="28"/>
      <c r="H970" s="28"/>
      <c r="I970" s="28"/>
      <c r="J970" s="28"/>
      <c r="K970" s="28"/>
      <c r="L970" s="28"/>
      <c r="M970" s="33"/>
      <c r="N970" s="33"/>
      <c r="O970" s="33"/>
      <c r="P970" s="33"/>
      <c r="Q970" s="28"/>
      <c r="R970" s="28"/>
      <c r="S970" s="28"/>
      <c r="T970" s="28"/>
      <c r="U970" s="28"/>
      <c r="V970" s="28"/>
      <c r="W970" s="28"/>
      <c r="X970" s="28"/>
      <c r="Y970" s="28"/>
      <c r="Z970" s="28"/>
      <c r="AA970" s="28"/>
    </row>
    <row r="971" ht="18.75" customHeight="1">
      <c r="A971" s="28"/>
      <c r="B971" s="28"/>
      <c r="C971" s="28"/>
      <c r="D971" s="28"/>
      <c r="E971" s="28"/>
      <c r="F971" s="28"/>
      <c r="G971" s="28"/>
      <c r="H971" s="28"/>
      <c r="I971" s="28"/>
      <c r="J971" s="28"/>
      <c r="K971" s="28"/>
      <c r="L971" s="28"/>
      <c r="M971" s="33"/>
      <c r="N971" s="33"/>
      <c r="O971" s="33"/>
      <c r="P971" s="33"/>
      <c r="Q971" s="28"/>
      <c r="R971" s="28"/>
      <c r="S971" s="28"/>
      <c r="T971" s="28"/>
      <c r="U971" s="28"/>
      <c r="V971" s="28"/>
      <c r="W971" s="28"/>
      <c r="X971" s="28"/>
      <c r="Y971" s="28"/>
      <c r="Z971" s="28"/>
      <c r="AA971" s="28"/>
    </row>
    <row r="972" ht="18.75" customHeight="1">
      <c r="A972" s="28"/>
      <c r="B972" s="28"/>
      <c r="C972" s="28"/>
      <c r="D972" s="28"/>
      <c r="E972" s="28"/>
      <c r="F972" s="28"/>
      <c r="G972" s="28"/>
      <c r="H972" s="28"/>
      <c r="I972" s="28"/>
      <c r="J972" s="28"/>
      <c r="K972" s="28"/>
      <c r="L972" s="28"/>
      <c r="M972" s="33"/>
      <c r="N972" s="33"/>
      <c r="O972" s="33"/>
      <c r="P972" s="33"/>
      <c r="Q972" s="28"/>
      <c r="R972" s="28"/>
      <c r="S972" s="28"/>
      <c r="T972" s="28"/>
      <c r="U972" s="28"/>
      <c r="V972" s="28"/>
      <c r="W972" s="28"/>
      <c r="X972" s="28"/>
      <c r="Y972" s="28"/>
      <c r="Z972" s="28"/>
      <c r="AA972" s="28"/>
    </row>
    <row r="973" ht="18.75" customHeight="1">
      <c r="A973" s="28"/>
      <c r="B973" s="28"/>
      <c r="C973" s="28"/>
      <c r="D973" s="28"/>
      <c r="E973" s="28"/>
      <c r="F973" s="28"/>
      <c r="G973" s="28"/>
      <c r="H973" s="28"/>
      <c r="I973" s="28"/>
      <c r="J973" s="28"/>
      <c r="K973" s="28"/>
      <c r="L973" s="28"/>
      <c r="M973" s="33"/>
      <c r="N973" s="33"/>
      <c r="O973" s="33"/>
      <c r="P973" s="33"/>
      <c r="Q973" s="28"/>
      <c r="R973" s="28"/>
      <c r="S973" s="28"/>
      <c r="T973" s="28"/>
      <c r="U973" s="28"/>
      <c r="V973" s="28"/>
      <c r="W973" s="28"/>
      <c r="X973" s="28"/>
      <c r="Y973" s="28"/>
      <c r="Z973" s="28"/>
      <c r="AA973" s="28"/>
    </row>
    <row r="974" ht="18.75" customHeight="1">
      <c r="A974" s="28"/>
      <c r="B974" s="28"/>
      <c r="C974" s="28"/>
      <c r="D974" s="28"/>
      <c r="E974" s="28"/>
      <c r="F974" s="28"/>
      <c r="G974" s="28"/>
      <c r="H974" s="28"/>
      <c r="I974" s="28"/>
      <c r="J974" s="28"/>
      <c r="K974" s="28"/>
      <c r="L974" s="28"/>
      <c r="M974" s="33"/>
      <c r="N974" s="33"/>
      <c r="O974" s="33"/>
      <c r="P974" s="33"/>
      <c r="Q974" s="28"/>
      <c r="R974" s="28"/>
      <c r="S974" s="28"/>
      <c r="T974" s="28"/>
      <c r="U974" s="28"/>
      <c r="V974" s="28"/>
      <c r="W974" s="28"/>
      <c r="X974" s="28"/>
      <c r="Y974" s="28"/>
      <c r="Z974" s="28"/>
      <c r="AA974" s="28"/>
    </row>
    <row r="975" ht="18.75" customHeight="1">
      <c r="A975" s="28"/>
      <c r="B975" s="28"/>
      <c r="C975" s="28"/>
      <c r="D975" s="28"/>
      <c r="E975" s="28"/>
      <c r="F975" s="28"/>
      <c r="G975" s="28"/>
      <c r="H975" s="28"/>
      <c r="I975" s="28"/>
      <c r="J975" s="28"/>
      <c r="K975" s="28"/>
      <c r="L975" s="28"/>
      <c r="M975" s="33"/>
      <c r="N975" s="33"/>
      <c r="O975" s="33"/>
      <c r="P975" s="33"/>
      <c r="Q975" s="28"/>
      <c r="R975" s="28"/>
      <c r="S975" s="28"/>
      <c r="T975" s="28"/>
      <c r="U975" s="28"/>
      <c r="V975" s="28"/>
      <c r="W975" s="28"/>
      <c r="X975" s="28"/>
      <c r="Y975" s="28"/>
      <c r="Z975" s="28"/>
      <c r="AA975" s="28"/>
    </row>
    <row r="976" ht="18.75" customHeight="1">
      <c r="A976" s="28"/>
      <c r="B976" s="28"/>
      <c r="C976" s="28"/>
      <c r="D976" s="28"/>
      <c r="E976" s="28"/>
      <c r="F976" s="28"/>
      <c r="G976" s="28"/>
      <c r="H976" s="28"/>
      <c r="I976" s="28"/>
      <c r="J976" s="28"/>
      <c r="K976" s="28"/>
      <c r="L976" s="28"/>
      <c r="M976" s="33"/>
      <c r="N976" s="33"/>
      <c r="O976" s="33"/>
      <c r="P976" s="33"/>
      <c r="Q976" s="28"/>
      <c r="R976" s="28"/>
      <c r="S976" s="28"/>
      <c r="T976" s="28"/>
      <c r="U976" s="28"/>
      <c r="V976" s="28"/>
      <c r="W976" s="28"/>
      <c r="X976" s="28"/>
      <c r="Y976" s="28"/>
      <c r="Z976" s="28"/>
      <c r="AA976" s="28"/>
    </row>
    <row r="977" ht="18.75" customHeight="1">
      <c r="A977" s="28"/>
      <c r="B977" s="28"/>
      <c r="C977" s="28"/>
      <c r="D977" s="28"/>
      <c r="E977" s="28"/>
      <c r="F977" s="28"/>
      <c r="G977" s="28"/>
      <c r="H977" s="28"/>
      <c r="I977" s="28"/>
      <c r="J977" s="28"/>
      <c r="K977" s="28"/>
      <c r="L977" s="28"/>
      <c r="M977" s="33"/>
      <c r="N977" s="33"/>
      <c r="O977" s="33"/>
      <c r="P977" s="33"/>
      <c r="Q977" s="28"/>
      <c r="R977" s="28"/>
      <c r="S977" s="28"/>
      <c r="T977" s="28"/>
      <c r="U977" s="28"/>
      <c r="V977" s="28"/>
      <c r="W977" s="28"/>
      <c r="X977" s="28"/>
      <c r="Y977" s="28"/>
      <c r="Z977" s="28"/>
      <c r="AA977" s="28"/>
    </row>
    <row r="978" ht="18.75" customHeight="1">
      <c r="A978" s="28"/>
      <c r="B978" s="28"/>
      <c r="C978" s="28"/>
      <c r="D978" s="28"/>
      <c r="E978" s="28"/>
      <c r="F978" s="28"/>
      <c r="G978" s="28"/>
      <c r="H978" s="28"/>
      <c r="I978" s="28"/>
      <c r="J978" s="28"/>
      <c r="K978" s="28"/>
      <c r="L978" s="28"/>
      <c r="M978" s="33"/>
      <c r="N978" s="33"/>
      <c r="O978" s="33"/>
      <c r="P978" s="33"/>
      <c r="Q978" s="28"/>
      <c r="R978" s="28"/>
      <c r="S978" s="28"/>
      <c r="T978" s="28"/>
      <c r="U978" s="28"/>
      <c r="V978" s="28"/>
      <c r="W978" s="28"/>
      <c r="X978" s="28"/>
      <c r="Y978" s="28"/>
      <c r="Z978" s="28"/>
      <c r="AA978" s="28"/>
    </row>
    <row r="979" ht="18.75" customHeight="1">
      <c r="A979" s="28"/>
      <c r="B979" s="28"/>
      <c r="C979" s="28"/>
      <c r="D979" s="28"/>
      <c r="E979" s="28"/>
      <c r="F979" s="28"/>
      <c r="G979" s="28"/>
      <c r="H979" s="28"/>
      <c r="I979" s="28"/>
      <c r="J979" s="28"/>
      <c r="K979" s="28"/>
      <c r="L979" s="28"/>
      <c r="M979" s="33"/>
      <c r="N979" s="33"/>
      <c r="O979" s="33"/>
      <c r="P979" s="33"/>
      <c r="Q979" s="28"/>
      <c r="R979" s="28"/>
      <c r="S979" s="28"/>
      <c r="T979" s="28"/>
      <c r="U979" s="28"/>
      <c r="V979" s="28"/>
      <c r="W979" s="28"/>
      <c r="X979" s="28"/>
      <c r="Y979" s="28"/>
      <c r="Z979" s="28"/>
      <c r="AA979" s="28"/>
    </row>
    <row r="980" ht="18.75" customHeight="1">
      <c r="A980" s="28"/>
      <c r="B980" s="28"/>
      <c r="C980" s="28"/>
      <c r="D980" s="28"/>
      <c r="E980" s="28"/>
      <c r="F980" s="28"/>
      <c r="G980" s="28"/>
      <c r="H980" s="28"/>
      <c r="I980" s="28"/>
      <c r="J980" s="28"/>
      <c r="K980" s="28"/>
      <c r="L980" s="28"/>
      <c r="M980" s="33"/>
      <c r="N980" s="33"/>
      <c r="O980" s="33"/>
      <c r="P980" s="33"/>
      <c r="Q980" s="28"/>
      <c r="R980" s="28"/>
      <c r="S980" s="28"/>
      <c r="T980" s="28"/>
      <c r="U980" s="28"/>
      <c r="V980" s="28"/>
      <c r="W980" s="28"/>
      <c r="X980" s="28"/>
      <c r="Y980" s="28"/>
      <c r="Z980" s="28"/>
      <c r="AA980" s="28"/>
    </row>
    <row r="981" ht="18.75" customHeight="1">
      <c r="A981" s="28"/>
      <c r="B981" s="28"/>
      <c r="C981" s="28"/>
      <c r="D981" s="28"/>
      <c r="E981" s="28"/>
      <c r="F981" s="28"/>
      <c r="G981" s="28"/>
      <c r="H981" s="28"/>
      <c r="I981" s="28"/>
      <c r="J981" s="28"/>
      <c r="K981" s="28"/>
      <c r="L981" s="28"/>
      <c r="M981" s="33"/>
      <c r="N981" s="33"/>
      <c r="O981" s="33"/>
      <c r="P981" s="33"/>
      <c r="Q981" s="28"/>
      <c r="R981" s="28"/>
      <c r="S981" s="28"/>
      <c r="T981" s="28"/>
      <c r="U981" s="28"/>
      <c r="V981" s="28"/>
      <c r="W981" s="28"/>
      <c r="X981" s="28"/>
      <c r="Y981" s="28"/>
      <c r="Z981" s="28"/>
      <c r="AA981" s="28"/>
    </row>
    <row r="982" ht="18.75" customHeight="1">
      <c r="A982" s="28"/>
      <c r="B982" s="28"/>
      <c r="C982" s="28"/>
      <c r="D982" s="28"/>
      <c r="E982" s="28"/>
      <c r="F982" s="28"/>
      <c r="G982" s="28"/>
      <c r="H982" s="28"/>
      <c r="I982" s="28"/>
      <c r="J982" s="28"/>
      <c r="K982" s="28"/>
      <c r="L982" s="28"/>
      <c r="M982" s="33"/>
      <c r="N982" s="33"/>
      <c r="O982" s="33"/>
      <c r="P982" s="33"/>
      <c r="Q982" s="28"/>
      <c r="R982" s="28"/>
      <c r="S982" s="28"/>
      <c r="T982" s="28"/>
      <c r="U982" s="28"/>
      <c r="V982" s="28"/>
      <c r="W982" s="28"/>
      <c r="X982" s="28"/>
      <c r="Y982" s="28"/>
      <c r="Z982" s="28"/>
      <c r="AA982" s="28"/>
    </row>
    <row r="983" ht="18.75" customHeight="1">
      <c r="A983" s="28"/>
      <c r="B983" s="28"/>
      <c r="C983" s="28"/>
      <c r="D983" s="28"/>
      <c r="E983" s="28"/>
      <c r="F983" s="28"/>
      <c r="G983" s="28"/>
      <c r="H983" s="28"/>
      <c r="I983" s="28"/>
      <c r="J983" s="28"/>
      <c r="K983" s="28"/>
      <c r="L983" s="28"/>
      <c r="M983" s="33"/>
      <c r="N983" s="33"/>
      <c r="O983" s="33"/>
      <c r="P983" s="33"/>
      <c r="Q983" s="28"/>
      <c r="R983" s="28"/>
      <c r="S983" s="28"/>
      <c r="T983" s="28"/>
      <c r="U983" s="28"/>
      <c r="V983" s="28"/>
      <c r="W983" s="28"/>
      <c r="X983" s="28"/>
      <c r="Y983" s="28"/>
      <c r="Z983" s="28"/>
      <c r="AA983" s="28"/>
    </row>
    <row r="984" ht="18.75" customHeight="1">
      <c r="A984" s="28"/>
      <c r="B984" s="28"/>
      <c r="C984" s="28"/>
      <c r="D984" s="28"/>
      <c r="E984" s="28"/>
      <c r="F984" s="28"/>
      <c r="G984" s="28"/>
      <c r="H984" s="28"/>
      <c r="I984" s="28"/>
      <c r="J984" s="28"/>
      <c r="K984" s="28"/>
      <c r="L984" s="28"/>
      <c r="M984" s="33"/>
      <c r="N984" s="33"/>
      <c r="O984" s="33"/>
      <c r="P984" s="33"/>
      <c r="Q984" s="28"/>
      <c r="R984" s="28"/>
      <c r="S984" s="28"/>
      <c r="T984" s="28"/>
      <c r="U984" s="28"/>
      <c r="V984" s="28"/>
      <c r="W984" s="28"/>
      <c r="X984" s="28"/>
      <c r="Y984" s="28"/>
      <c r="Z984" s="28"/>
      <c r="AA984" s="28"/>
    </row>
    <row r="985" ht="18.75" customHeight="1">
      <c r="A985" s="28"/>
      <c r="B985" s="28"/>
      <c r="C985" s="28"/>
      <c r="D985" s="28"/>
      <c r="E985" s="28"/>
      <c r="F985" s="28"/>
      <c r="G985" s="28"/>
      <c r="H985" s="28"/>
      <c r="I985" s="28"/>
      <c r="J985" s="28"/>
      <c r="K985" s="28"/>
      <c r="L985" s="28"/>
      <c r="M985" s="33"/>
      <c r="N985" s="33"/>
      <c r="O985" s="33"/>
      <c r="P985" s="33"/>
      <c r="Q985" s="28"/>
      <c r="R985" s="28"/>
      <c r="S985" s="28"/>
      <c r="T985" s="28"/>
      <c r="U985" s="28"/>
      <c r="V985" s="28"/>
      <c r="W985" s="28"/>
      <c r="X985" s="28"/>
      <c r="Y985" s="28"/>
      <c r="Z985" s="28"/>
      <c r="AA985" s="28"/>
    </row>
    <row r="986" ht="18.75" customHeight="1">
      <c r="A986" s="28"/>
      <c r="B986" s="28"/>
      <c r="C986" s="28"/>
      <c r="D986" s="28"/>
      <c r="E986" s="28"/>
      <c r="F986" s="28"/>
      <c r="G986" s="28"/>
      <c r="H986" s="28"/>
      <c r="I986" s="28"/>
      <c r="J986" s="28"/>
      <c r="K986" s="28"/>
      <c r="L986" s="28"/>
      <c r="M986" s="33"/>
      <c r="N986" s="33"/>
      <c r="O986" s="33"/>
      <c r="P986" s="33"/>
      <c r="Q986" s="28"/>
      <c r="R986" s="28"/>
      <c r="S986" s="28"/>
      <c r="T986" s="28"/>
      <c r="U986" s="28"/>
      <c r="V986" s="28"/>
      <c r="W986" s="28"/>
      <c r="X986" s="28"/>
      <c r="Y986" s="28"/>
      <c r="Z986" s="28"/>
      <c r="AA986" s="28"/>
    </row>
    <row r="987" ht="18.75" customHeight="1">
      <c r="A987" s="28"/>
      <c r="B987" s="28"/>
      <c r="C987" s="28"/>
      <c r="D987" s="28"/>
      <c r="E987" s="28"/>
      <c r="F987" s="28"/>
      <c r="G987" s="28"/>
      <c r="H987" s="28"/>
      <c r="I987" s="28"/>
      <c r="J987" s="28"/>
      <c r="K987" s="28"/>
      <c r="L987" s="28"/>
      <c r="M987" s="33"/>
      <c r="N987" s="33"/>
      <c r="O987" s="33"/>
      <c r="P987" s="33"/>
      <c r="Q987" s="28"/>
      <c r="R987" s="28"/>
      <c r="S987" s="28"/>
      <c r="T987" s="28"/>
      <c r="U987" s="28"/>
      <c r="V987" s="28"/>
      <c r="W987" s="28"/>
      <c r="X987" s="28"/>
      <c r="Y987" s="28"/>
      <c r="Z987" s="28"/>
      <c r="AA987" s="28"/>
    </row>
    <row r="988" ht="18.75" customHeight="1">
      <c r="A988" s="28"/>
      <c r="B988" s="28"/>
      <c r="C988" s="28"/>
      <c r="D988" s="28"/>
      <c r="E988" s="28"/>
      <c r="F988" s="28"/>
      <c r="G988" s="28"/>
      <c r="H988" s="28"/>
      <c r="I988" s="28"/>
      <c r="J988" s="28"/>
      <c r="K988" s="28"/>
      <c r="L988" s="28"/>
      <c r="M988" s="33"/>
      <c r="N988" s="33"/>
      <c r="O988" s="33"/>
      <c r="P988" s="33"/>
      <c r="Q988" s="28"/>
      <c r="R988" s="28"/>
      <c r="S988" s="28"/>
      <c r="T988" s="28"/>
      <c r="U988" s="28"/>
      <c r="V988" s="28"/>
      <c r="W988" s="28"/>
      <c r="X988" s="28"/>
      <c r="Y988" s="28"/>
      <c r="Z988" s="28"/>
      <c r="AA988" s="28"/>
    </row>
    <row r="989" ht="18.75" customHeight="1">
      <c r="A989" s="28"/>
      <c r="B989" s="28"/>
      <c r="C989" s="28"/>
      <c r="D989" s="28"/>
      <c r="E989" s="28"/>
      <c r="F989" s="28"/>
      <c r="G989" s="28"/>
      <c r="H989" s="28"/>
      <c r="I989" s="28"/>
      <c r="J989" s="28"/>
      <c r="K989" s="28"/>
      <c r="L989" s="28"/>
      <c r="M989" s="33"/>
      <c r="N989" s="33"/>
      <c r="O989" s="33"/>
      <c r="P989" s="33"/>
      <c r="Q989" s="28"/>
      <c r="R989" s="28"/>
      <c r="S989" s="28"/>
      <c r="T989" s="28"/>
      <c r="U989" s="28"/>
      <c r="V989" s="28"/>
      <c r="W989" s="28"/>
      <c r="X989" s="28"/>
      <c r="Y989" s="28"/>
      <c r="Z989" s="28"/>
      <c r="AA989" s="28"/>
    </row>
    <row r="990" ht="18.75" customHeight="1">
      <c r="A990" s="28"/>
      <c r="B990" s="28"/>
      <c r="C990" s="28"/>
      <c r="D990" s="28"/>
      <c r="E990" s="28"/>
      <c r="F990" s="28"/>
      <c r="G990" s="28"/>
      <c r="H990" s="28"/>
      <c r="I990" s="28"/>
      <c r="J990" s="28"/>
      <c r="K990" s="28"/>
      <c r="L990" s="28"/>
      <c r="M990" s="33"/>
      <c r="N990" s="33"/>
      <c r="O990" s="33"/>
      <c r="P990" s="33"/>
      <c r="Q990" s="28"/>
      <c r="R990" s="28"/>
      <c r="S990" s="28"/>
      <c r="T990" s="28"/>
      <c r="U990" s="28"/>
      <c r="V990" s="28"/>
      <c r="W990" s="28"/>
      <c r="X990" s="28"/>
      <c r="Y990" s="28"/>
      <c r="Z990" s="28"/>
      <c r="AA990" s="28"/>
    </row>
    <row r="991" ht="18.75" customHeight="1">
      <c r="A991" s="28"/>
      <c r="B991" s="28"/>
      <c r="C991" s="28"/>
      <c r="D991" s="28"/>
      <c r="E991" s="28"/>
      <c r="F991" s="28"/>
      <c r="G991" s="28"/>
      <c r="H991" s="28"/>
      <c r="I991" s="28"/>
      <c r="J991" s="28"/>
      <c r="K991" s="28"/>
      <c r="L991" s="28"/>
      <c r="M991" s="33"/>
      <c r="N991" s="33"/>
      <c r="O991" s="33"/>
      <c r="P991" s="33"/>
      <c r="Q991" s="28"/>
      <c r="R991" s="28"/>
      <c r="S991" s="28"/>
      <c r="T991" s="28"/>
      <c r="U991" s="28"/>
      <c r="V991" s="28"/>
      <c r="W991" s="28"/>
      <c r="X991" s="28"/>
      <c r="Y991" s="28"/>
      <c r="Z991" s="28"/>
      <c r="AA991" s="28"/>
    </row>
    <row r="992" ht="18.75" customHeight="1">
      <c r="A992" s="28"/>
      <c r="B992" s="28"/>
      <c r="C992" s="28"/>
      <c r="D992" s="28"/>
      <c r="E992" s="28"/>
      <c r="F992" s="28"/>
      <c r="G992" s="28"/>
      <c r="H992" s="28"/>
      <c r="I992" s="28"/>
      <c r="J992" s="28"/>
      <c r="K992" s="28"/>
      <c r="L992" s="28"/>
      <c r="M992" s="33"/>
      <c r="N992" s="33"/>
      <c r="O992" s="33"/>
      <c r="P992" s="33"/>
      <c r="Q992" s="28"/>
      <c r="R992" s="28"/>
      <c r="S992" s="28"/>
      <c r="T992" s="28"/>
      <c r="U992" s="28"/>
      <c r="V992" s="28"/>
      <c r="W992" s="28"/>
      <c r="X992" s="28"/>
      <c r="Y992" s="28"/>
      <c r="Z992" s="28"/>
      <c r="AA992" s="28"/>
    </row>
    <row r="993" ht="18.75" customHeight="1">
      <c r="A993" s="28"/>
      <c r="B993" s="28"/>
      <c r="C993" s="28"/>
      <c r="D993" s="28"/>
      <c r="E993" s="28"/>
      <c r="F993" s="28"/>
      <c r="G993" s="28"/>
      <c r="H993" s="28"/>
      <c r="I993" s="28"/>
      <c r="J993" s="28"/>
      <c r="K993" s="28"/>
      <c r="L993" s="28"/>
      <c r="M993" s="33"/>
      <c r="N993" s="33"/>
      <c r="O993" s="33"/>
      <c r="P993" s="33"/>
      <c r="Q993" s="28"/>
      <c r="R993" s="28"/>
      <c r="S993" s="28"/>
      <c r="T993" s="28"/>
      <c r="U993" s="28"/>
      <c r="V993" s="28"/>
      <c r="W993" s="28"/>
      <c r="X993" s="28"/>
      <c r="Y993" s="28"/>
      <c r="Z993" s="28"/>
      <c r="AA993" s="28"/>
    </row>
    <row r="994" ht="18.75" customHeight="1">
      <c r="A994" s="28"/>
      <c r="B994" s="28"/>
      <c r="C994" s="28"/>
      <c r="D994" s="28"/>
      <c r="E994" s="28"/>
      <c r="F994" s="28"/>
      <c r="G994" s="28"/>
      <c r="H994" s="28"/>
      <c r="I994" s="28"/>
      <c r="J994" s="28"/>
      <c r="K994" s="28"/>
      <c r="L994" s="28"/>
      <c r="M994" s="33"/>
      <c r="N994" s="33"/>
      <c r="O994" s="33"/>
      <c r="P994" s="33"/>
      <c r="Q994" s="28"/>
      <c r="R994" s="28"/>
      <c r="S994" s="28"/>
      <c r="T994" s="28"/>
      <c r="U994" s="28"/>
      <c r="V994" s="28"/>
      <c r="W994" s="28"/>
      <c r="X994" s="28"/>
      <c r="Y994" s="28"/>
      <c r="Z994" s="28"/>
      <c r="AA994" s="28"/>
    </row>
    <row r="995" ht="18.75" customHeight="1">
      <c r="A995" s="28"/>
      <c r="B995" s="28"/>
      <c r="C995" s="28"/>
      <c r="D995" s="28"/>
      <c r="E995" s="28"/>
      <c r="F995" s="28"/>
      <c r="G995" s="28"/>
      <c r="H995" s="28"/>
      <c r="I995" s="28"/>
      <c r="J995" s="28"/>
      <c r="K995" s="28"/>
      <c r="L995" s="28"/>
      <c r="M995" s="33"/>
      <c r="N995" s="33"/>
      <c r="O995" s="33"/>
      <c r="P995" s="33"/>
      <c r="Q995" s="28"/>
      <c r="R995" s="28"/>
      <c r="S995" s="28"/>
      <c r="T995" s="28"/>
      <c r="U995" s="28"/>
      <c r="V995" s="28"/>
      <c r="W995" s="28"/>
      <c r="X995" s="28"/>
      <c r="Y995" s="28"/>
      <c r="Z995" s="28"/>
      <c r="AA995" s="28"/>
    </row>
    <row r="996" ht="18.75" customHeight="1">
      <c r="A996" s="28"/>
      <c r="B996" s="28"/>
      <c r="C996" s="28"/>
      <c r="D996" s="28"/>
      <c r="E996" s="28"/>
      <c r="F996" s="28"/>
      <c r="G996" s="28"/>
      <c r="H996" s="28"/>
      <c r="I996" s="28"/>
      <c r="J996" s="28"/>
      <c r="K996" s="28"/>
      <c r="L996" s="28"/>
      <c r="M996" s="33"/>
      <c r="N996" s="33"/>
      <c r="O996" s="33"/>
      <c r="P996" s="33"/>
      <c r="Q996" s="28"/>
      <c r="R996" s="28"/>
      <c r="S996" s="28"/>
      <c r="T996" s="28"/>
      <c r="U996" s="28"/>
      <c r="V996" s="28"/>
      <c r="W996" s="28"/>
      <c r="X996" s="28"/>
      <c r="Y996" s="28"/>
      <c r="Z996" s="28"/>
      <c r="AA996" s="28"/>
    </row>
    <row r="997" ht="18.75" customHeight="1">
      <c r="A997" s="28"/>
      <c r="B997" s="28"/>
      <c r="C997" s="28"/>
      <c r="D997" s="28"/>
      <c r="E997" s="28"/>
      <c r="F997" s="28"/>
      <c r="G997" s="28"/>
      <c r="H997" s="28"/>
      <c r="I997" s="28"/>
      <c r="J997" s="28"/>
      <c r="K997" s="28"/>
      <c r="L997" s="28"/>
      <c r="M997" s="33"/>
      <c r="N997" s="33"/>
      <c r="O997" s="33"/>
      <c r="P997" s="33"/>
      <c r="Q997" s="28"/>
      <c r="R997" s="28"/>
      <c r="S997" s="28"/>
      <c r="T997" s="28"/>
      <c r="U997" s="28"/>
      <c r="V997" s="28"/>
      <c r="W997" s="28"/>
      <c r="X997" s="28"/>
      <c r="Y997" s="28"/>
      <c r="Z997" s="28"/>
      <c r="AA997" s="28"/>
    </row>
    <row r="998" ht="18.75" customHeight="1">
      <c r="A998" s="28"/>
      <c r="B998" s="28"/>
      <c r="C998" s="28"/>
      <c r="D998" s="28"/>
      <c r="E998" s="28"/>
      <c r="F998" s="28"/>
      <c r="G998" s="28"/>
      <c r="H998" s="28"/>
      <c r="I998" s="28"/>
      <c r="J998" s="28"/>
      <c r="K998" s="28"/>
      <c r="L998" s="28"/>
      <c r="M998" s="33"/>
      <c r="N998" s="33"/>
      <c r="O998" s="33"/>
      <c r="P998" s="33"/>
      <c r="Q998" s="28"/>
      <c r="R998" s="28"/>
      <c r="S998" s="28"/>
      <c r="T998" s="28"/>
      <c r="U998" s="28"/>
      <c r="V998" s="28"/>
      <c r="W998" s="28"/>
      <c r="X998" s="28"/>
      <c r="Y998" s="28"/>
      <c r="Z998" s="28"/>
      <c r="AA998" s="28"/>
    </row>
    <row r="999" ht="18.75" customHeight="1">
      <c r="A999" s="28"/>
      <c r="B999" s="28"/>
      <c r="C999" s="28"/>
      <c r="D999" s="28"/>
      <c r="E999" s="28"/>
      <c r="F999" s="28"/>
      <c r="G999" s="28"/>
      <c r="H999" s="28"/>
      <c r="I999" s="28"/>
      <c r="J999" s="28"/>
      <c r="K999" s="28"/>
      <c r="L999" s="28"/>
      <c r="M999" s="33"/>
      <c r="N999" s="33"/>
      <c r="O999" s="33"/>
      <c r="P999" s="33"/>
      <c r="Q999" s="28"/>
      <c r="R999" s="28"/>
      <c r="S999" s="28"/>
      <c r="T999" s="28"/>
      <c r="U999" s="28"/>
      <c r="V999" s="28"/>
      <c r="W999" s="28"/>
      <c r="X999" s="28"/>
      <c r="Y999" s="28"/>
      <c r="Z999" s="28"/>
      <c r="AA999" s="28"/>
    </row>
    <row r="1000" ht="18.75" customHeight="1">
      <c r="A1000" s="28"/>
      <c r="B1000" s="28"/>
      <c r="C1000" s="28"/>
      <c r="D1000" s="28"/>
      <c r="E1000" s="28"/>
      <c r="F1000" s="28"/>
      <c r="G1000" s="28"/>
      <c r="H1000" s="28"/>
      <c r="I1000" s="28"/>
      <c r="J1000" s="28"/>
      <c r="K1000" s="28"/>
      <c r="L1000" s="28"/>
      <c r="M1000" s="33"/>
      <c r="N1000" s="33"/>
      <c r="O1000" s="33"/>
      <c r="P1000" s="33"/>
      <c r="Q1000" s="28"/>
      <c r="R1000" s="28"/>
      <c r="S1000" s="28"/>
      <c r="T1000" s="28"/>
      <c r="U1000" s="28"/>
      <c r="V1000" s="28"/>
      <c r="W1000" s="28"/>
      <c r="X1000" s="28"/>
      <c r="Y1000" s="28"/>
      <c r="Z1000" s="28"/>
      <c r="AA1000" s="28"/>
    </row>
    <row r="1001" ht="18.75" customHeight="1">
      <c r="A1001" s="28"/>
      <c r="B1001" s="28"/>
      <c r="C1001" s="28"/>
      <c r="D1001" s="28"/>
      <c r="E1001" s="28"/>
      <c r="F1001" s="28"/>
      <c r="G1001" s="28"/>
      <c r="H1001" s="28"/>
      <c r="I1001" s="28"/>
      <c r="J1001" s="28"/>
      <c r="K1001" s="28"/>
      <c r="L1001" s="28"/>
      <c r="M1001" s="33"/>
      <c r="N1001" s="33"/>
      <c r="O1001" s="33"/>
      <c r="P1001" s="33"/>
      <c r="Q1001" s="28"/>
      <c r="R1001" s="28"/>
      <c r="S1001" s="28"/>
      <c r="T1001" s="28"/>
      <c r="U1001" s="28"/>
      <c r="V1001" s="28"/>
      <c r="W1001" s="28"/>
      <c r="X1001" s="28"/>
      <c r="Y1001" s="28"/>
      <c r="Z1001" s="28"/>
      <c r="AA1001" s="28"/>
    </row>
    <row r="1002" ht="18.75" customHeight="1">
      <c r="A1002" s="28"/>
      <c r="B1002" s="28"/>
      <c r="C1002" s="28"/>
      <c r="D1002" s="28"/>
      <c r="E1002" s="28"/>
      <c r="F1002" s="28"/>
      <c r="G1002" s="28"/>
      <c r="H1002" s="28"/>
      <c r="I1002" s="28"/>
      <c r="J1002" s="28"/>
      <c r="K1002" s="28"/>
      <c r="L1002" s="28"/>
      <c r="M1002" s="33"/>
      <c r="N1002" s="33"/>
      <c r="O1002" s="33"/>
      <c r="P1002" s="33"/>
      <c r="Q1002" s="28"/>
      <c r="R1002" s="28"/>
      <c r="S1002" s="28"/>
      <c r="T1002" s="28"/>
      <c r="U1002" s="28"/>
      <c r="V1002" s="28"/>
      <c r="W1002" s="28"/>
      <c r="X1002" s="28"/>
      <c r="Y1002" s="28"/>
      <c r="Z1002" s="28"/>
      <c r="AA1002" s="28"/>
    </row>
    <row r="1003" ht="18.75" customHeight="1">
      <c r="A1003" s="28"/>
      <c r="B1003" s="28"/>
      <c r="C1003" s="28"/>
      <c r="D1003" s="28"/>
      <c r="E1003" s="28"/>
      <c r="F1003" s="28"/>
      <c r="G1003" s="28"/>
      <c r="H1003" s="28"/>
      <c r="I1003" s="28"/>
      <c r="J1003" s="28"/>
      <c r="K1003" s="28"/>
      <c r="L1003" s="28"/>
      <c r="M1003" s="33"/>
      <c r="N1003" s="33"/>
      <c r="O1003" s="33"/>
      <c r="P1003" s="33"/>
      <c r="Q1003" s="28"/>
      <c r="R1003" s="28"/>
      <c r="S1003" s="28"/>
      <c r="T1003" s="28"/>
      <c r="U1003" s="28"/>
      <c r="V1003" s="28"/>
      <c r="W1003" s="28"/>
      <c r="X1003" s="28"/>
      <c r="Y1003" s="28"/>
      <c r="Z1003" s="28"/>
      <c r="AA1003" s="28"/>
    </row>
    <row r="1004" ht="18.75" customHeight="1">
      <c r="A1004" s="28"/>
      <c r="B1004" s="28"/>
      <c r="C1004" s="28"/>
      <c r="D1004" s="28"/>
      <c r="E1004" s="28"/>
      <c r="F1004" s="28"/>
      <c r="G1004" s="28"/>
      <c r="H1004" s="28"/>
      <c r="I1004" s="28"/>
      <c r="J1004" s="28"/>
      <c r="K1004" s="28"/>
      <c r="L1004" s="28"/>
      <c r="M1004" s="33"/>
      <c r="N1004" s="33"/>
      <c r="O1004" s="33"/>
      <c r="P1004" s="33"/>
      <c r="Q1004" s="28"/>
      <c r="R1004" s="28"/>
      <c r="S1004" s="28"/>
      <c r="T1004" s="28"/>
      <c r="U1004" s="28"/>
      <c r="V1004" s="28"/>
      <c r="W1004" s="28"/>
      <c r="X1004" s="28"/>
      <c r="Y1004" s="28"/>
      <c r="Z1004" s="28"/>
      <c r="AA1004" s="28"/>
    </row>
    <row r="1005" ht="18.75" customHeight="1">
      <c r="A1005" s="28"/>
      <c r="B1005" s="28"/>
      <c r="C1005" s="28"/>
      <c r="D1005" s="28"/>
      <c r="E1005" s="28"/>
      <c r="F1005" s="28"/>
      <c r="G1005" s="28"/>
      <c r="H1005" s="28"/>
      <c r="I1005" s="28"/>
      <c r="J1005" s="28"/>
      <c r="K1005" s="28"/>
      <c r="L1005" s="28"/>
      <c r="M1005" s="33"/>
      <c r="N1005" s="33"/>
      <c r="O1005" s="33"/>
      <c r="P1005" s="33"/>
      <c r="Q1005" s="28"/>
      <c r="R1005" s="28"/>
      <c r="S1005" s="28"/>
      <c r="T1005" s="28"/>
      <c r="U1005" s="28"/>
      <c r="V1005" s="28"/>
      <c r="W1005" s="28"/>
      <c r="X1005" s="28"/>
      <c r="Y1005" s="28"/>
      <c r="Z1005" s="28"/>
      <c r="AA1005" s="28"/>
    </row>
  </sheetData>
  <mergeCells count="58">
    <mergeCell ref="A76:B76"/>
    <mergeCell ref="A77:B77"/>
    <mergeCell ref="B66:E66"/>
    <mergeCell ref="B67:E67"/>
    <mergeCell ref="B68:E68"/>
    <mergeCell ref="A72:E72"/>
    <mergeCell ref="A73:B73"/>
    <mergeCell ref="A74:B74"/>
    <mergeCell ref="A75:B75"/>
    <mergeCell ref="A1:E1"/>
    <mergeCell ref="M1:P1"/>
    <mergeCell ref="A2:E2"/>
    <mergeCell ref="M2:P2"/>
    <mergeCell ref="A3:B3"/>
    <mergeCell ref="A4:B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E25"/>
    <mergeCell ref="A44:E44"/>
    <mergeCell ref="B45:E45"/>
    <mergeCell ref="B46:E46"/>
    <mergeCell ref="B47:E47"/>
    <mergeCell ref="B48:E48"/>
    <mergeCell ref="B49:E49"/>
    <mergeCell ref="B50:E50"/>
    <mergeCell ref="B51:E51"/>
    <mergeCell ref="B52:E52"/>
    <mergeCell ref="B53:E53"/>
    <mergeCell ref="B54:E54"/>
    <mergeCell ref="B55:E55"/>
    <mergeCell ref="B56:E56"/>
    <mergeCell ref="B57:E57"/>
    <mergeCell ref="B58:E58"/>
    <mergeCell ref="B59:E59"/>
    <mergeCell ref="B60:E60"/>
    <mergeCell ref="B61:E61"/>
    <mergeCell ref="B62:E62"/>
    <mergeCell ref="B63:E63"/>
    <mergeCell ref="B64:E64"/>
    <mergeCell ref="B65:E65"/>
  </mergeCells>
  <conditionalFormatting sqref="B45:E69">
    <cfRule type="cellIs" dxfId="0" priority="1" operator="greaterThan">
      <formula>0</formula>
    </cfRule>
  </conditionalFormatting>
  <conditionalFormatting sqref="B45:E69">
    <cfRule type="cellIs" dxfId="1" priority="2" operator="lessThan">
      <formula>0</formula>
    </cfRule>
  </conditionalFormatting>
  <conditionalFormatting sqref="P22:P26">
    <cfRule type="cellIs" dxfId="0" priority="3" operator="greaterThan">
      <formula>0</formula>
    </cfRule>
  </conditionalFormatting>
  <conditionalFormatting sqref="P22:P26">
    <cfRule type="cellIs" dxfId="1" priority="4" operator="lessThan">
      <formula>0</formula>
    </cfRule>
  </conditionalFormatting>
  <conditionalFormatting sqref="P27:P28">
    <cfRule type="cellIs" dxfId="1" priority="5" operator="greaterThan">
      <formula>0</formula>
    </cfRule>
  </conditionalFormatting>
  <conditionalFormatting sqref="P27:P28">
    <cfRule type="cellIs" dxfId="2" priority="6" operator="lessThan">
      <formula>0</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B4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63"/>
    <col customWidth="1" min="2" max="5" width="18.88"/>
    <col customWidth="1" min="6" max="6" width="45.13"/>
  </cols>
  <sheetData>
    <row r="1">
      <c r="A1" s="1" t="s">
        <v>0</v>
      </c>
    </row>
    <row r="2">
      <c r="A2" s="3" t="s">
        <v>2</v>
      </c>
      <c r="B2" s="4"/>
      <c r="C2" s="4"/>
      <c r="D2" s="4"/>
      <c r="E2" s="4"/>
      <c r="F2" s="4"/>
    </row>
    <row r="3">
      <c r="A3" s="5" t="s">
        <v>12</v>
      </c>
      <c r="B3" s="7" t="s">
        <v>23</v>
      </c>
      <c r="C3" s="8"/>
      <c r="D3" s="5" t="s">
        <v>26</v>
      </c>
      <c r="E3" s="9">
        <v>46204.0</v>
      </c>
      <c r="F3" s="5" t="s">
        <v>29</v>
      </c>
    </row>
    <row r="4">
      <c r="A4" s="5" t="s">
        <v>30</v>
      </c>
      <c r="B4" s="10" t="s">
        <v>32</v>
      </c>
      <c r="C4" s="8"/>
      <c r="D4" s="5" t="s">
        <v>35</v>
      </c>
      <c r="E4" s="11">
        <f>EDATE(E3,-12)</f>
        <v>45839</v>
      </c>
      <c r="F4" s="5" t="s">
        <v>54</v>
      </c>
    </row>
    <row r="5">
      <c r="A5" s="8"/>
      <c r="B5" s="8"/>
      <c r="C5" s="8"/>
      <c r="D5" s="8"/>
      <c r="E5" s="8"/>
      <c r="F5" s="8"/>
    </row>
    <row r="6">
      <c r="A6" s="3" t="s">
        <v>58</v>
      </c>
      <c r="B6" s="4"/>
      <c r="C6" s="4"/>
      <c r="D6" s="4"/>
      <c r="E6" s="4"/>
      <c r="F6" s="4"/>
    </row>
    <row r="7">
      <c r="A7" s="5" t="s">
        <v>59</v>
      </c>
      <c r="B7" s="7" t="s">
        <v>60</v>
      </c>
      <c r="C7" s="8"/>
      <c r="D7" s="8"/>
      <c r="E7" s="8"/>
      <c r="F7" s="8"/>
    </row>
    <row r="8">
      <c r="A8" s="5" t="s">
        <v>62</v>
      </c>
      <c r="B8" s="7" t="s">
        <v>63</v>
      </c>
      <c r="C8" s="8"/>
      <c r="D8" s="8"/>
      <c r="E8" s="8"/>
      <c r="F8" s="8"/>
    </row>
    <row r="9">
      <c r="A9" s="5" t="s">
        <v>65</v>
      </c>
      <c r="B9" s="7" t="s">
        <v>66</v>
      </c>
      <c r="C9" s="8"/>
      <c r="D9" s="8"/>
      <c r="E9" s="8"/>
      <c r="F9" s="8"/>
    </row>
    <row r="10">
      <c r="A10" s="5" t="s">
        <v>68</v>
      </c>
      <c r="B10" s="7" t="s">
        <v>69</v>
      </c>
      <c r="C10" s="8"/>
      <c r="D10" s="8"/>
      <c r="E10" s="8"/>
      <c r="F10" s="8"/>
    </row>
    <row r="11">
      <c r="A11" s="5" t="s">
        <v>70</v>
      </c>
      <c r="B11" s="7"/>
      <c r="C11" s="8"/>
      <c r="D11" s="8"/>
      <c r="E11" s="8"/>
      <c r="F11" s="8"/>
    </row>
    <row r="12">
      <c r="A12" s="8"/>
      <c r="B12" s="8"/>
      <c r="C12" s="8"/>
      <c r="D12" s="8"/>
      <c r="E12" s="8"/>
      <c r="F12" s="8"/>
    </row>
    <row r="13">
      <c r="A13" s="3" t="s">
        <v>72</v>
      </c>
      <c r="B13" s="4"/>
      <c r="C13" s="4"/>
      <c r="D13" s="4"/>
      <c r="E13" s="4"/>
      <c r="F13" s="4"/>
    </row>
    <row r="14">
      <c r="A14" s="5" t="s">
        <v>74</v>
      </c>
      <c r="B14" s="7">
        <v>3925.0</v>
      </c>
      <c r="C14" s="8"/>
      <c r="D14" s="5" t="s">
        <v>75</v>
      </c>
      <c r="E14" s="7">
        <v>5110.5</v>
      </c>
      <c r="F14" s="8"/>
    </row>
    <row r="15">
      <c r="A15" s="5"/>
      <c r="B15" s="12"/>
      <c r="C15" s="8"/>
      <c r="D15" s="5"/>
      <c r="E15" s="12"/>
      <c r="F15" s="5"/>
    </row>
    <row r="16">
      <c r="A16" s="12" t="s">
        <v>81</v>
      </c>
      <c r="B16" s="7">
        <v>4290.0</v>
      </c>
      <c r="C16" s="14"/>
      <c r="D16" s="12" t="s">
        <v>100</v>
      </c>
      <c r="E16" s="7">
        <v>5860.0</v>
      </c>
      <c r="F16" s="14"/>
    </row>
    <row r="17">
      <c r="A17" s="3" t="s">
        <v>103</v>
      </c>
      <c r="B17" s="4"/>
      <c r="C17" s="4"/>
      <c r="D17" s="4"/>
      <c r="E17" s="4"/>
      <c r="F17" s="4"/>
    </row>
    <row r="18">
      <c r="A18" s="5" t="s">
        <v>104</v>
      </c>
      <c r="B18" s="7">
        <v>7470.0</v>
      </c>
      <c r="C18" s="8"/>
      <c r="D18" s="5" t="s">
        <v>109</v>
      </c>
      <c r="E18" s="7">
        <v>475.0</v>
      </c>
      <c r="F18" s="8"/>
    </row>
    <row r="19">
      <c r="A19" s="5" t="s">
        <v>110</v>
      </c>
      <c r="B19" s="7">
        <v>340.0</v>
      </c>
      <c r="C19" s="8"/>
      <c r="D19" s="5" t="s">
        <v>112</v>
      </c>
      <c r="E19" s="17">
        <v>0.083</v>
      </c>
      <c r="F19" s="5"/>
    </row>
    <row r="20">
      <c r="A20" s="5" t="s">
        <v>118</v>
      </c>
      <c r="B20" s="17">
        <v>0.892</v>
      </c>
      <c r="C20" s="8"/>
      <c r="D20" s="5" t="s">
        <v>120</v>
      </c>
      <c r="E20" s="7">
        <v>9.4</v>
      </c>
      <c r="F20" s="8"/>
    </row>
    <row r="21">
      <c r="A21" s="5" t="s">
        <v>122</v>
      </c>
      <c r="B21" s="7">
        <v>1.9</v>
      </c>
      <c r="C21" s="8"/>
      <c r="D21" s="8"/>
      <c r="E21" s="8"/>
      <c r="F21" s="8"/>
    </row>
    <row r="22">
      <c r="A22" s="8"/>
      <c r="B22" s="8"/>
      <c r="C22" s="8"/>
      <c r="D22" s="8"/>
      <c r="E22" s="8"/>
      <c r="F22" s="8"/>
    </row>
    <row r="23">
      <c r="A23" s="3" t="s">
        <v>127</v>
      </c>
      <c r="B23" s="4"/>
      <c r="C23" s="4"/>
      <c r="D23" s="4"/>
      <c r="E23" s="4"/>
      <c r="F23" s="4"/>
    </row>
    <row r="24">
      <c r="A24" s="5" t="s">
        <v>104</v>
      </c>
      <c r="B24" s="7">
        <v>3909.0</v>
      </c>
      <c r="C24" s="8"/>
      <c r="D24" s="5" t="s">
        <v>109</v>
      </c>
      <c r="E24" s="7">
        <v>83.0</v>
      </c>
      <c r="F24" s="8"/>
    </row>
    <row r="25">
      <c r="A25" s="5" t="s">
        <v>110</v>
      </c>
      <c r="B25" s="7">
        <v>21.0</v>
      </c>
      <c r="C25" s="8"/>
      <c r="D25" s="5" t="s">
        <v>112</v>
      </c>
      <c r="E25" s="17">
        <v>0.041</v>
      </c>
      <c r="F25" s="8"/>
    </row>
    <row r="26">
      <c r="A26" s="5" t="s">
        <v>118</v>
      </c>
      <c r="B26" s="17">
        <v>0.393</v>
      </c>
      <c r="C26" s="8"/>
      <c r="D26" s="5" t="s">
        <v>120</v>
      </c>
      <c r="E26" s="7">
        <v>57.9</v>
      </c>
      <c r="F26" s="8"/>
    </row>
    <row r="27">
      <c r="A27" s="5" t="s">
        <v>122</v>
      </c>
      <c r="B27" s="7">
        <v>36.1</v>
      </c>
      <c r="C27" s="8"/>
      <c r="D27" s="8"/>
      <c r="E27" s="8"/>
      <c r="F27" s="8"/>
    </row>
    <row r="28">
      <c r="A28" s="8"/>
      <c r="B28" s="8"/>
      <c r="C28" s="8"/>
      <c r="D28" s="8"/>
      <c r="E28" s="8"/>
      <c r="F28" s="8"/>
    </row>
    <row r="29">
      <c r="A29" s="3" t="s">
        <v>139</v>
      </c>
      <c r="B29" s="4"/>
      <c r="C29" s="4"/>
      <c r="D29" s="4"/>
      <c r="E29" s="4"/>
      <c r="F29" s="4"/>
    </row>
    <row r="30">
      <c r="A30" s="18" t="s">
        <v>1</v>
      </c>
      <c r="B30" s="18" t="s">
        <v>148</v>
      </c>
      <c r="C30" s="8"/>
      <c r="D30" s="8"/>
      <c r="E30" s="8"/>
      <c r="F30" s="8"/>
    </row>
    <row r="31">
      <c r="A31" s="19">
        <v>46202.0</v>
      </c>
      <c r="B31" s="20">
        <v>0.07</v>
      </c>
      <c r="C31" s="8"/>
      <c r="D31" s="8"/>
      <c r="E31" s="8"/>
      <c r="F31" s="8"/>
    </row>
    <row r="32">
      <c r="A32" s="19">
        <v>46209.0</v>
      </c>
      <c r="B32" s="20">
        <v>0.04</v>
      </c>
      <c r="C32" s="8"/>
      <c r="D32" s="8"/>
      <c r="E32" s="8"/>
      <c r="F32" s="8"/>
    </row>
    <row r="33">
      <c r="A33" s="19">
        <v>46216.0</v>
      </c>
      <c r="B33" s="20">
        <v>0.08</v>
      </c>
      <c r="C33" s="8"/>
      <c r="D33" s="8"/>
      <c r="E33" s="8"/>
      <c r="F33" s="8"/>
    </row>
    <row r="34">
      <c r="A34" s="19">
        <v>46223.0</v>
      </c>
      <c r="B34" s="20">
        <v>0.12</v>
      </c>
      <c r="C34" s="8"/>
      <c r="D34" s="8"/>
      <c r="E34" s="8"/>
      <c r="F34" s="8"/>
    </row>
    <row r="35">
      <c r="A35" s="19">
        <v>46230.0</v>
      </c>
      <c r="B35" s="20">
        <v>0.11</v>
      </c>
      <c r="C35" s="8"/>
      <c r="D35" s="8"/>
      <c r="E35" s="8"/>
      <c r="F35" s="8"/>
    </row>
    <row r="36">
      <c r="A36" s="21"/>
      <c r="B36" s="22"/>
      <c r="C36" s="8"/>
      <c r="D36" s="8"/>
      <c r="E36" s="8"/>
      <c r="F36" s="8"/>
    </row>
    <row r="37">
      <c r="A37" s="21"/>
      <c r="B37" s="22"/>
      <c r="C37" s="8"/>
      <c r="D37" s="8"/>
      <c r="E37" s="8"/>
      <c r="F37" s="8"/>
    </row>
    <row r="38">
      <c r="A38" s="21"/>
      <c r="B38" s="22"/>
      <c r="C38" s="8"/>
      <c r="D38" s="8"/>
      <c r="E38" s="8"/>
      <c r="F38" s="8"/>
    </row>
    <row r="39">
      <c r="A39" s="8"/>
      <c r="B39" s="8"/>
      <c r="C39" s="8"/>
      <c r="D39" s="8"/>
      <c r="E39" s="8"/>
      <c r="F39" s="8"/>
    </row>
    <row r="40">
      <c r="A40" s="23"/>
    </row>
    <row r="41">
      <c r="A41" s="24"/>
      <c r="B41" s="24"/>
      <c r="C41" s="25"/>
      <c r="D41" s="24"/>
      <c r="E41" s="24"/>
      <c r="F41" s="25"/>
    </row>
  </sheetData>
  <mergeCells count="2">
    <mergeCell ref="A1:F1"/>
    <mergeCell ref="A40:F40"/>
  </mergeCells>
  <dataValidations>
    <dataValidation type="list" allowBlank="1" showErrorMessage="1" sqref="B3">
      <formula1>"Ashworth by the Sea,Inn at Middletown,Crowne Pointe Inn &amp; Spa,Anchor In,Allegria Hotel,The Brass Key Guesthouse,Harbor Hotel Provincetown,Provincetown Inn,Surfside Hotel &amp; Suites,Hotel Tybee,Pleasant View Inn,The Wolfeboro Inn"</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c r="B1" s="2" t="s">
        <v>3</v>
      </c>
      <c r="C1" s="2" t="s">
        <v>4</v>
      </c>
      <c r="D1" s="2" t="s">
        <v>5</v>
      </c>
      <c r="E1" s="2" t="s">
        <v>6</v>
      </c>
      <c r="F1" s="2" t="s">
        <v>7</v>
      </c>
      <c r="G1" s="2" t="s">
        <v>8</v>
      </c>
      <c r="H1" s="2" t="s">
        <v>9</v>
      </c>
      <c r="I1" s="2" t="s">
        <v>10</v>
      </c>
      <c r="J1" s="2" t="s">
        <v>11</v>
      </c>
      <c r="K1" s="2" t="s">
        <v>13</v>
      </c>
      <c r="L1" s="2" t="s">
        <v>14</v>
      </c>
    </row>
    <row r="2">
      <c r="A2" s="6">
        <v>45839.0</v>
      </c>
      <c r="B2" s="2" t="s">
        <v>15</v>
      </c>
      <c r="C2" s="2" t="s">
        <v>16</v>
      </c>
      <c r="D2" s="2" t="s">
        <v>17</v>
      </c>
      <c r="E2" s="2" t="s">
        <v>18</v>
      </c>
      <c r="F2" s="2">
        <v>1.0</v>
      </c>
      <c r="G2" s="2" t="s">
        <v>19</v>
      </c>
      <c r="H2" s="2">
        <v>2.0</v>
      </c>
      <c r="I2" s="2">
        <v>189.0</v>
      </c>
      <c r="J2" s="2">
        <v>0.0</v>
      </c>
      <c r="K2" s="2">
        <v>1.0</v>
      </c>
      <c r="L2" s="2">
        <v>0.0</v>
      </c>
    </row>
    <row r="3">
      <c r="A3" s="6">
        <v>45839.0</v>
      </c>
      <c r="B3" s="2" t="s">
        <v>20</v>
      </c>
      <c r="C3" s="2" t="s">
        <v>16</v>
      </c>
      <c r="D3" s="2" t="s">
        <v>21</v>
      </c>
      <c r="E3" s="2" t="s">
        <v>22</v>
      </c>
      <c r="F3" s="2">
        <v>1.0</v>
      </c>
      <c r="G3" s="2" t="s">
        <v>19</v>
      </c>
      <c r="H3" s="2">
        <v>2.0</v>
      </c>
      <c r="I3" s="2">
        <v>189.0</v>
      </c>
      <c r="J3" s="2">
        <v>0.0</v>
      </c>
      <c r="K3" s="2">
        <v>1.0</v>
      </c>
      <c r="L3" s="2">
        <v>0.0</v>
      </c>
    </row>
    <row r="4">
      <c r="A4" s="6">
        <v>45839.0</v>
      </c>
      <c r="B4" s="2" t="s">
        <v>20</v>
      </c>
      <c r="C4" s="2" t="s">
        <v>16</v>
      </c>
      <c r="D4" s="2" t="s">
        <v>24</v>
      </c>
      <c r="E4" s="2" t="s">
        <v>22</v>
      </c>
      <c r="F4" s="2">
        <v>1.0</v>
      </c>
      <c r="G4" s="2" t="s">
        <v>25</v>
      </c>
      <c r="H4" s="2">
        <v>3.0</v>
      </c>
      <c r="I4" s="2">
        <v>189.0</v>
      </c>
      <c r="J4" s="2">
        <v>0.0</v>
      </c>
      <c r="K4" s="2">
        <v>1.0</v>
      </c>
      <c r="L4" s="2">
        <v>0.0</v>
      </c>
    </row>
    <row r="5">
      <c r="A5" s="6">
        <v>45839.0</v>
      </c>
      <c r="B5" s="2" t="s">
        <v>20</v>
      </c>
      <c r="C5" s="2" t="s">
        <v>16</v>
      </c>
      <c r="D5" s="2" t="s">
        <v>27</v>
      </c>
      <c r="E5" s="2" t="s">
        <v>22</v>
      </c>
      <c r="F5" s="2">
        <v>1.0</v>
      </c>
      <c r="G5" s="2" t="s">
        <v>28</v>
      </c>
      <c r="H5" s="2">
        <v>3.0</v>
      </c>
      <c r="I5" s="2">
        <v>189.0</v>
      </c>
      <c r="J5" s="2">
        <v>0.0</v>
      </c>
      <c r="K5" s="2">
        <v>1.0</v>
      </c>
      <c r="L5" s="2">
        <v>0.0</v>
      </c>
    </row>
    <row r="6">
      <c r="A6" s="6">
        <v>45840.0</v>
      </c>
      <c r="B6" s="2" t="s">
        <v>31</v>
      </c>
      <c r="C6" s="2" t="s">
        <v>16</v>
      </c>
      <c r="D6" s="2" t="s">
        <v>33</v>
      </c>
      <c r="E6" s="2" t="s">
        <v>19</v>
      </c>
      <c r="F6" s="2">
        <v>2.0</v>
      </c>
      <c r="G6" s="2" t="s">
        <v>34</v>
      </c>
      <c r="H6" s="2">
        <v>3.0</v>
      </c>
      <c r="I6" s="2">
        <v>348.48</v>
      </c>
      <c r="J6" s="2">
        <v>0.0</v>
      </c>
      <c r="K6" s="2">
        <v>2.0</v>
      </c>
      <c r="L6" s="2">
        <v>0.0</v>
      </c>
    </row>
    <row r="7">
      <c r="A7" s="6">
        <v>45840.0</v>
      </c>
      <c r="B7" s="2" t="s">
        <v>31</v>
      </c>
      <c r="C7" s="2" t="s">
        <v>16</v>
      </c>
      <c r="D7" s="2" t="s">
        <v>36</v>
      </c>
      <c r="E7" s="2" t="s">
        <v>19</v>
      </c>
      <c r="F7" s="2">
        <v>2.0</v>
      </c>
      <c r="G7" s="2" t="s">
        <v>34</v>
      </c>
      <c r="H7" s="2">
        <v>3.0</v>
      </c>
      <c r="I7" s="2">
        <v>509.25</v>
      </c>
      <c r="J7" s="2">
        <v>0.0</v>
      </c>
      <c r="K7" s="2">
        <v>1.0</v>
      </c>
      <c r="L7" s="2">
        <v>0.0</v>
      </c>
    </row>
    <row r="8">
      <c r="A8" s="6">
        <v>45840.0</v>
      </c>
      <c r="B8" s="2" t="s">
        <v>31</v>
      </c>
      <c r="C8" s="2" t="s">
        <v>16</v>
      </c>
      <c r="D8" s="2" t="s">
        <v>37</v>
      </c>
      <c r="E8" s="2" t="s">
        <v>38</v>
      </c>
      <c r="F8" s="2">
        <v>1.0</v>
      </c>
      <c r="G8" s="2" t="s">
        <v>19</v>
      </c>
      <c r="H8" s="2">
        <v>2.0</v>
      </c>
      <c r="I8" s="2">
        <v>368.1</v>
      </c>
      <c r="J8" s="2">
        <v>0.0</v>
      </c>
      <c r="K8" s="2">
        <v>2.0</v>
      </c>
      <c r="L8" s="2">
        <v>0.0</v>
      </c>
    </row>
    <row r="9">
      <c r="A9" s="6">
        <v>45841.0</v>
      </c>
      <c r="B9" s="2"/>
      <c r="C9" s="2" t="s">
        <v>39</v>
      </c>
      <c r="D9" s="2" t="s">
        <v>40</v>
      </c>
      <c r="E9" s="2" t="s">
        <v>19</v>
      </c>
      <c r="F9" s="2">
        <v>2.0</v>
      </c>
      <c r="G9" s="2" t="s">
        <v>41</v>
      </c>
      <c r="H9" s="2">
        <v>3.0</v>
      </c>
      <c r="I9" s="2">
        <v>296.46</v>
      </c>
      <c r="J9" s="2">
        <v>50.0</v>
      </c>
      <c r="K9" s="2">
        <v>1.0</v>
      </c>
      <c r="L9" s="2">
        <v>50.0</v>
      </c>
    </row>
    <row r="10">
      <c r="A10" s="6">
        <v>45841.0</v>
      </c>
      <c r="B10" s="2" t="s">
        <v>31</v>
      </c>
      <c r="C10" s="2" t="s">
        <v>16</v>
      </c>
      <c r="D10" s="2" t="s">
        <v>42</v>
      </c>
      <c r="E10" s="2" t="s">
        <v>38</v>
      </c>
      <c r="F10" s="2">
        <v>1.0</v>
      </c>
      <c r="G10" s="2" t="s">
        <v>19</v>
      </c>
      <c r="H10" s="2">
        <v>2.0</v>
      </c>
      <c r="I10" s="2">
        <v>476.1</v>
      </c>
      <c r="J10" s="2">
        <v>0.0</v>
      </c>
      <c r="K10" s="2">
        <v>1.0</v>
      </c>
      <c r="L10" s="2">
        <v>0.0</v>
      </c>
    </row>
    <row r="11">
      <c r="A11" s="6">
        <v>45841.0</v>
      </c>
      <c r="B11" s="2" t="s">
        <v>31</v>
      </c>
      <c r="C11" s="2" t="s">
        <v>16</v>
      </c>
      <c r="D11" s="2" t="s">
        <v>42</v>
      </c>
      <c r="E11" s="2" t="s">
        <v>38</v>
      </c>
      <c r="F11" s="2">
        <v>1.0</v>
      </c>
      <c r="G11" s="2" t="s">
        <v>19</v>
      </c>
      <c r="H11" s="2">
        <v>2.0</v>
      </c>
      <c r="I11" s="2">
        <v>476.1</v>
      </c>
      <c r="J11" s="2">
        <v>0.0</v>
      </c>
      <c r="K11" s="2">
        <v>1.0</v>
      </c>
      <c r="L11" s="2">
        <v>0.0</v>
      </c>
    </row>
    <row r="12">
      <c r="A12" s="6">
        <v>45841.0</v>
      </c>
      <c r="B12" s="2" t="s">
        <v>31</v>
      </c>
      <c r="C12" s="2" t="s">
        <v>16</v>
      </c>
      <c r="D12" s="2" t="s">
        <v>43</v>
      </c>
      <c r="E12" s="2" t="s">
        <v>19</v>
      </c>
      <c r="F12" s="2">
        <v>2.0</v>
      </c>
      <c r="G12" s="2" t="s">
        <v>34</v>
      </c>
      <c r="H12" s="2">
        <v>3.0</v>
      </c>
      <c r="I12" s="2">
        <v>419.3</v>
      </c>
      <c r="J12" s="2">
        <v>0.0</v>
      </c>
      <c r="K12" s="2">
        <v>1.0</v>
      </c>
      <c r="L12" s="2">
        <v>0.0</v>
      </c>
    </row>
    <row r="13">
      <c r="A13" s="6">
        <v>45841.0</v>
      </c>
      <c r="B13" s="2" t="s">
        <v>31</v>
      </c>
      <c r="C13" s="2" t="s">
        <v>16</v>
      </c>
      <c r="D13" s="2" t="s">
        <v>44</v>
      </c>
      <c r="E13" s="2" t="s">
        <v>22</v>
      </c>
      <c r="F13" s="2">
        <v>1.0</v>
      </c>
      <c r="G13" s="2" t="s">
        <v>19</v>
      </c>
      <c r="H13" s="2">
        <v>2.0</v>
      </c>
      <c r="I13" s="2">
        <v>301.86</v>
      </c>
      <c r="J13" s="2">
        <v>0.0</v>
      </c>
      <c r="K13" s="2">
        <v>1.0</v>
      </c>
      <c r="L13" s="2">
        <v>0.0</v>
      </c>
    </row>
    <row r="14">
      <c r="A14" s="6">
        <v>45841.0</v>
      </c>
      <c r="B14" s="2" t="s">
        <v>31</v>
      </c>
      <c r="C14" s="2" t="s">
        <v>16</v>
      </c>
      <c r="D14" s="2" t="s">
        <v>45</v>
      </c>
      <c r="E14" s="2" t="s">
        <v>22</v>
      </c>
      <c r="F14" s="2">
        <v>1.0</v>
      </c>
      <c r="G14" s="2" t="s">
        <v>19</v>
      </c>
      <c r="H14" s="2">
        <v>2.0</v>
      </c>
      <c r="I14" s="2">
        <v>269.46</v>
      </c>
      <c r="J14" s="2">
        <v>0.0</v>
      </c>
      <c r="K14" s="2">
        <v>1.0</v>
      </c>
      <c r="L14" s="2">
        <v>0.0</v>
      </c>
    </row>
    <row r="15">
      <c r="A15" s="6">
        <v>45841.0</v>
      </c>
      <c r="B15" s="2" t="s">
        <v>31</v>
      </c>
      <c r="C15" s="2" t="s">
        <v>16</v>
      </c>
      <c r="D15" s="2" t="s">
        <v>46</v>
      </c>
      <c r="E15" s="2" t="s">
        <v>38</v>
      </c>
      <c r="F15" s="2">
        <v>1.0</v>
      </c>
      <c r="G15" s="2" t="s">
        <v>19</v>
      </c>
      <c r="H15" s="2">
        <v>2.0</v>
      </c>
      <c r="I15" s="2">
        <v>441.15</v>
      </c>
      <c r="J15" s="2">
        <v>0.0</v>
      </c>
      <c r="K15" s="2">
        <v>2.0</v>
      </c>
      <c r="L15" s="2">
        <v>0.0</v>
      </c>
    </row>
    <row r="16">
      <c r="A16" s="6">
        <v>45844.0</v>
      </c>
      <c r="B16" s="2"/>
      <c r="C16" s="2" t="s">
        <v>39</v>
      </c>
      <c r="D16" s="2" t="s">
        <v>47</v>
      </c>
      <c r="E16" s="2" t="s">
        <v>48</v>
      </c>
      <c r="F16" s="2">
        <v>1.0</v>
      </c>
      <c r="G16" s="2" t="s">
        <v>49</v>
      </c>
      <c r="H16" s="2">
        <v>2.0</v>
      </c>
      <c r="I16" s="2">
        <v>419.0</v>
      </c>
      <c r="J16" s="2">
        <v>50.0</v>
      </c>
      <c r="K16" s="2">
        <v>5.0</v>
      </c>
      <c r="L16" s="2">
        <v>250.0</v>
      </c>
    </row>
    <row r="17">
      <c r="A17" s="6">
        <v>45844.0</v>
      </c>
      <c r="B17" s="2" t="s">
        <v>50</v>
      </c>
      <c r="C17" s="2" t="s">
        <v>16</v>
      </c>
      <c r="D17" s="2" t="s">
        <v>51</v>
      </c>
      <c r="E17" s="2" t="s">
        <v>22</v>
      </c>
      <c r="F17" s="2">
        <v>1.0</v>
      </c>
      <c r="G17" s="2" t="s">
        <v>52</v>
      </c>
      <c r="H17" s="2">
        <v>2.0</v>
      </c>
      <c r="I17" s="2">
        <v>220.86</v>
      </c>
      <c r="J17" s="2">
        <v>0.0</v>
      </c>
      <c r="K17" s="2">
        <v>1.0</v>
      </c>
      <c r="L17" s="2">
        <v>0.0</v>
      </c>
    </row>
    <row r="18">
      <c r="A18" s="6">
        <v>45844.0</v>
      </c>
      <c r="B18" s="2" t="s">
        <v>53</v>
      </c>
      <c r="C18" s="2" t="s">
        <v>16</v>
      </c>
      <c r="D18" s="2" t="s">
        <v>55</v>
      </c>
      <c r="E18" s="2" t="s">
        <v>38</v>
      </c>
      <c r="F18" s="2">
        <v>1.0</v>
      </c>
      <c r="G18" s="2" t="s">
        <v>34</v>
      </c>
      <c r="H18" s="2">
        <v>3.0</v>
      </c>
      <c r="I18" s="2">
        <v>377.1</v>
      </c>
      <c r="J18" s="2">
        <v>100.0</v>
      </c>
      <c r="K18" s="2">
        <v>1.0</v>
      </c>
      <c r="L18" s="2">
        <v>100.0</v>
      </c>
    </row>
    <row r="19">
      <c r="A19" s="6">
        <v>45844.0</v>
      </c>
      <c r="B19" s="2" t="s">
        <v>56</v>
      </c>
      <c r="C19" s="2" t="s">
        <v>16</v>
      </c>
      <c r="D19" s="2" t="s">
        <v>57</v>
      </c>
      <c r="E19" s="2" t="s">
        <v>22</v>
      </c>
      <c r="F19" s="2">
        <v>1.0</v>
      </c>
      <c r="G19" s="2" t="s">
        <v>34</v>
      </c>
      <c r="H19" s="2">
        <v>3.0</v>
      </c>
      <c r="I19" s="2">
        <v>183.83</v>
      </c>
      <c r="J19" s="2">
        <v>100.0</v>
      </c>
      <c r="K19" s="2">
        <v>2.0</v>
      </c>
      <c r="L19" s="2">
        <v>200.0</v>
      </c>
    </row>
    <row r="20">
      <c r="A20" s="6">
        <v>45844.0</v>
      </c>
      <c r="B20" s="2" t="s">
        <v>56</v>
      </c>
      <c r="C20" s="2" t="s">
        <v>16</v>
      </c>
      <c r="D20" s="2" t="s">
        <v>61</v>
      </c>
      <c r="E20" s="2" t="s">
        <v>22</v>
      </c>
      <c r="F20" s="2">
        <v>1.0</v>
      </c>
      <c r="G20" s="2" t="s">
        <v>52</v>
      </c>
      <c r="H20" s="2">
        <v>2.0</v>
      </c>
      <c r="I20" s="2">
        <v>215.46</v>
      </c>
      <c r="J20" s="2">
        <v>0.0</v>
      </c>
      <c r="K20" s="2">
        <v>1.0</v>
      </c>
      <c r="L20" s="2">
        <v>0.0</v>
      </c>
    </row>
    <row r="21">
      <c r="A21" s="6">
        <v>45844.0</v>
      </c>
      <c r="B21" s="2" t="s">
        <v>56</v>
      </c>
      <c r="C21" s="2" t="s">
        <v>16</v>
      </c>
      <c r="D21" s="2" t="s">
        <v>64</v>
      </c>
      <c r="E21" s="2" t="s">
        <v>22</v>
      </c>
      <c r="F21" s="2">
        <v>1.0</v>
      </c>
      <c r="G21" s="2" t="s">
        <v>52</v>
      </c>
      <c r="H21" s="2">
        <v>2.0</v>
      </c>
      <c r="I21" s="2">
        <v>215.46</v>
      </c>
      <c r="J21" s="2">
        <v>0.0</v>
      </c>
      <c r="K21" s="2">
        <v>1.0</v>
      </c>
      <c r="L21" s="2">
        <v>0.0</v>
      </c>
    </row>
    <row r="22">
      <c r="A22" s="6">
        <v>45844.0</v>
      </c>
      <c r="B22" s="2" t="s">
        <v>56</v>
      </c>
      <c r="C22" s="2" t="s">
        <v>16</v>
      </c>
      <c r="D22" s="2" t="s">
        <v>67</v>
      </c>
      <c r="E22" s="2" t="s">
        <v>19</v>
      </c>
      <c r="F22" s="2">
        <v>2.0</v>
      </c>
      <c r="G22" s="2" t="s">
        <v>25</v>
      </c>
      <c r="H22" s="2">
        <v>3.0</v>
      </c>
      <c r="I22" s="2">
        <v>373.15</v>
      </c>
      <c r="J22" s="2">
        <v>65.0</v>
      </c>
      <c r="K22" s="2">
        <v>4.0</v>
      </c>
      <c r="L22" s="2">
        <v>260.0</v>
      </c>
    </row>
    <row r="23">
      <c r="A23" s="6">
        <v>45844.0</v>
      </c>
      <c r="B23" s="2" t="s">
        <v>56</v>
      </c>
      <c r="C23" s="2" t="s">
        <v>16</v>
      </c>
      <c r="D23" s="2" t="s">
        <v>71</v>
      </c>
      <c r="E23" s="2" t="s">
        <v>38</v>
      </c>
      <c r="F23" s="2">
        <v>1.0</v>
      </c>
      <c r="G23" s="2" t="s">
        <v>34</v>
      </c>
      <c r="H23" s="2">
        <v>3.0</v>
      </c>
      <c r="I23" s="2">
        <v>291.75</v>
      </c>
      <c r="J23" s="2">
        <v>100.0</v>
      </c>
      <c r="K23" s="2">
        <v>14.0</v>
      </c>
      <c r="L23" s="2">
        <v>1400.0</v>
      </c>
    </row>
    <row r="24">
      <c r="A24" s="6">
        <v>45844.0</v>
      </c>
      <c r="B24" s="2"/>
      <c r="C24" s="2" t="s">
        <v>39</v>
      </c>
      <c r="D24" s="2" t="s">
        <v>73</v>
      </c>
      <c r="E24" s="2" t="s">
        <v>22</v>
      </c>
      <c r="F24" s="2">
        <v>1.0</v>
      </c>
      <c r="G24" s="2" t="s">
        <v>52</v>
      </c>
      <c r="H24" s="2">
        <v>2.0</v>
      </c>
      <c r="I24" s="2">
        <v>291.75</v>
      </c>
      <c r="J24" s="2">
        <v>50.0</v>
      </c>
      <c r="K24" s="2">
        <v>3.0</v>
      </c>
      <c r="L24" s="2">
        <v>150.0</v>
      </c>
    </row>
    <row r="25">
      <c r="A25" s="6">
        <v>45844.0</v>
      </c>
      <c r="B25" s="2" t="s">
        <v>56</v>
      </c>
      <c r="C25" s="2" t="s">
        <v>16</v>
      </c>
      <c r="D25" s="2" t="s">
        <v>76</v>
      </c>
      <c r="E25" s="2" t="s">
        <v>22</v>
      </c>
      <c r="F25" s="2">
        <v>1.0</v>
      </c>
      <c r="G25" s="2" t="s">
        <v>77</v>
      </c>
      <c r="H25" s="2">
        <v>3.0</v>
      </c>
      <c r="I25" s="2">
        <v>327.2</v>
      </c>
      <c r="J25" s="2">
        <v>0.0</v>
      </c>
      <c r="K25" s="2">
        <v>1.0</v>
      </c>
      <c r="L25" s="2">
        <v>0.0</v>
      </c>
    </row>
    <row r="26">
      <c r="A26" s="6">
        <v>45844.0</v>
      </c>
      <c r="B26" s="2" t="s">
        <v>78</v>
      </c>
      <c r="C26" s="2" t="s">
        <v>16</v>
      </c>
      <c r="D26" s="2" t="s">
        <v>79</v>
      </c>
      <c r="E26" s="2" t="s">
        <v>22</v>
      </c>
      <c r="F26" s="2">
        <v>1.0</v>
      </c>
      <c r="G26" s="2" t="s">
        <v>19</v>
      </c>
      <c r="H26" s="2">
        <v>2.0</v>
      </c>
      <c r="I26" s="2">
        <v>189.0</v>
      </c>
      <c r="J26" s="2">
        <v>0.0</v>
      </c>
      <c r="K26" s="2">
        <v>1.0</v>
      </c>
      <c r="L26" s="2">
        <v>0.0</v>
      </c>
    </row>
    <row r="27">
      <c r="A27" s="6">
        <v>45844.0</v>
      </c>
      <c r="B27" s="2" t="s">
        <v>56</v>
      </c>
      <c r="C27" s="2" t="s">
        <v>16</v>
      </c>
      <c r="D27" s="2" t="s">
        <v>80</v>
      </c>
      <c r="E27" s="2" t="s">
        <v>22</v>
      </c>
      <c r="F27" s="2">
        <v>1.0</v>
      </c>
      <c r="G27" s="2" t="s">
        <v>52</v>
      </c>
      <c r="H27" s="2">
        <v>2.0</v>
      </c>
      <c r="I27" s="2">
        <v>162.2</v>
      </c>
      <c r="J27" s="2">
        <v>0.0</v>
      </c>
      <c r="K27" s="2">
        <v>1.0</v>
      </c>
      <c r="L27" s="2">
        <v>0.0</v>
      </c>
    </row>
    <row r="28">
      <c r="A28" s="6">
        <v>45844.0</v>
      </c>
      <c r="B28" s="2" t="s">
        <v>78</v>
      </c>
      <c r="C28" s="2" t="s">
        <v>16</v>
      </c>
      <c r="D28" s="2" t="s">
        <v>82</v>
      </c>
      <c r="E28" s="2" t="s">
        <v>22</v>
      </c>
      <c r="F28" s="2">
        <v>1.0</v>
      </c>
      <c r="G28" s="2" t="s">
        <v>77</v>
      </c>
      <c r="H28" s="2">
        <v>3.0</v>
      </c>
      <c r="I28" s="2">
        <v>162.2</v>
      </c>
      <c r="J28" s="2">
        <v>0.0</v>
      </c>
      <c r="K28" s="2">
        <v>1.0</v>
      </c>
      <c r="L28" s="2">
        <v>0.0</v>
      </c>
    </row>
    <row r="29">
      <c r="A29" s="6">
        <v>45844.0</v>
      </c>
      <c r="B29" s="2" t="s">
        <v>78</v>
      </c>
      <c r="C29" s="2" t="s">
        <v>16</v>
      </c>
      <c r="D29" s="2" t="s">
        <v>82</v>
      </c>
      <c r="E29" s="2" t="s">
        <v>18</v>
      </c>
      <c r="F29" s="2">
        <v>1.0</v>
      </c>
      <c r="G29" s="2" t="s">
        <v>52</v>
      </c>
      <c r="H29" s="2">
        <v>2.0</v>
      </c>
      <c r="I29" s="2">
        <v>429.0</v>
      </c>
      <c r="J29" s="2">
        <v>0.0</v>
      </c>
      <c r="K29" s="2">
        <v>1.0</v>
      </c>
      <c r="L29" s="2">
        <v>0.0</v>
      </c>
    </row>
    <row r="30">
      <c r="A30" s="6">
        <v>45844.0</v>
      </c>
      <c r="B30" s="2" t="s">
        <v>78</v>
      </c>
      <c r="C30" s="2" t="s">
        <v>16</v>
      </c>
      <c r="D30" s="2" t="s">
        <v>83</v>
      </c>
      <c r="E30" s="2" t="s">
        <v>38</v>
      </c>
      <c r="F30" s="2">
        <v>1.0</v>
      </c>
      <c r="G30" s="2" t="s">
        <v>19</v>
      </c>
      <c r="H30" s="2">
        <v>2.0</v>
      </c>
      <c r="I30" s="2">
        <v>189.0</v>
      </c>
      <c r="J30" s="2">
        <v>0.0</v>
      </c>
      <c r="K30" s="2">
        <v>1.0</v>
      </c>
      <c r="L30" s="2">
        <v>0.0</v>
      </c>
    </row>
    <row r="31">
      <c r="A31" s="6">
        <v>45845.0</v>
      </c>
      <c r="B31" s="2" t="s">
        <v>78</v>
      </c>
      <c r="C31" s="2" t="s">
        <v>16</v>
      </c>
      <c r="D31" s="2" t="s">
        <v>84</v>
      </c>
      <c r="E31" s="2" t="s">
        <v>18</v>
      </c>
      <c r="F31" s="2">
        <v>1.0</v>
      </c>
      <c r="G31" s="2" t="s">
        <v>85</v>
      </c>
      <c r="H31" s="2">
        <v>3.0</v>
      </c>
      <c r="I31" s="2">
        <v>189.0</v>
      </c>
      <c r="J31" s="2">
        <v>0.0</v>
      </c>
      <c r="K31" s="2">
        <v>1.0</v>
      </c>
      <c r="L31" s="2">
        <v>0.0</v>
      </c>
    </row>
    <row r="32">
      <c r="A32" s="6">
        <v>45845.0</v>
      </c>
      <c r="B32" s="2" t="s">
        <v>78</v>
      </c>
      <c r="C32" s="2" t="s">
        <v>16</v>
      </c>
      <c r="D32" s="2" t="s">
        <v>86</v>
      </c>
      <c r="E32" s="2" t="s">
        <v>19</v>
      </c>
      <c r="F32" s="2">
        <v>2.0</v>
      </c>
      <c r="G32" s="2" t="s">
        <v>25</v>
      </c>
      <c r="H32" s="2">
        <v>3.0</v>
      </c>
      <c r="I32" s="2">
        <v>189.0</v>
      </c>
      <c r="J32" s="2">
        <v>0.0</v>
      </c>
      <c r="K32" s="2">
        <v>1.0</v>
      </c>
      <c r="L32" s="2">
        <v>0.0</v>
      </c>
    </row>
    <row r="33">
      <c r="A33" s="6">
        <v>45845.0</v>
      </c>
      <c r="B33" s="2" t="s">
        <v>50</v>
      </c>
      <c r="C33" s="2" t="s">
        <v>16</v>
      </c>
      <c r="D33" s="2" t="s">
        <v>87</v>
      </c>
      <c r="E33" s="2" t="s">
        <v>52</v>
      </c>
      <c r="F33" s="2">
        <v>2.0</v>
      </c>
      <c r="G33" s="2" t="s">
        <v>88</v>
      </c>
      <c r="H33" s="2">
        <v>3.0</v>
      </c>
      <c r="I33" s="2">
        <v>0.0</v>
      </c>
      <c r="J33" s="2">
        <v>0.0</v>
      </c>
      <c r="K33" s="2">
        <v>1.0</v>
      </c>
      <c r="L33" s="2">
        <v>0.0</v>
      </c>
    </row>
    <row r="34">
      <c r="A34" s="6">
        <v>45845.0</v>
      </c>
      <c r="B34" s="2" t="s">
        <v>56</v>
      </c>
      <c r="C34" s="2" t="s">
        <v>16</v>
      </c>
      <c r="D34" s="2" t="s">
        <v>89</v>
      </c>
      <c r="E34" s="2" t="s">
        <v>22</v>
      </c>
      <c r="F34" s="2">
        <v>1.0</v>
      </c>
      <c r="G34" s="2" t="s">
        <v>52</v>
      </c>
      <c r="H34" s="2">
        <v>2.0</v>
      </c>
      <c r="I34" s="2">
        <v>69.0</v>
      </c>
      <c r="J34" s="2">
        <v>0.0</v>
      </c>
      <c r="K34" s="2">
        <v>3.0</v>
      </c>
      <c r="L34" s="2">
        <v>0.0</v>
      </c>
    </row>
    <row r="35">
      <c r="A35" s="6">
        <v>45845.0</v>
      </c>
      <c r="B35" s="2" t="s">
        <v>56</v>
      </c>
      <c r="C35" s="2" t="s">
        <v>16</v>
      </c>
      <c r="D35" s="2" t="s">
        <v>90</v>
      </c>
      <c r="E35" s="2" t="s">
        <v>22</v>
      </c>
      <c r="F35" s="2">
        <v>1.0</v>
      </c>
      <c r="G35" s="2" t="s">
        <v>52</v>
      </c>
      <c r="H35" s="2">
        <v>2.0</v>
      </c>
      <c r="I35" s="2">
        <v>189.0</v>
      </c>
      <c r="J35" s="2">
        <v>0.0</v>
      </c>
      <c r="K35" s="2">
        <v>1.0</v>
      </c>
      <c r="L35" s="2">
        <v>0.0</v>
      </c>
    </row>
    <row r="36">
      <c r="A36" s="6">
        <v>45845.0</v>
      </c>
      <c r="B36" s="2" t="s">
        <v>56</v>
      </c>
      <c r="C36" s="2" t="s">
        <v>16</v>
      </c>
      <c r="D36" s="2" t="s">
        <v>91</v>
      </c>
      <c r="E36" s="2" t="s">
        <v>22</v>
      </c>
      <c r="F36" s="2">
        <v>1.0</v>
      </c>
      <c r="G36" s="2" t="s">
        <v>52</v>
      </c>
      <c r="H36" s="2">
        <v>2.0</v>
      </c>
      <c r="I36" s="2">
        <v>189.0</v>
      </c>
      <c r="J36" s="2">
        <v>0.0</v>
      </c>
      <c r="K36" s="2">
        <v>1.0</v>
      </c>
      <c r="L36" s="2">
        <v>0.0</v>
      </c>
    </row>
    <row r="37">
      <c r="A37" s="6">
        <v>45845.0</v>
      </c>
      <c r="B37" s="2" t="s">
        <v>56</v>
      </c>
      <c r="C37" s="2" t="s">
        <v>16</v>
      </c>
      <c r="D37" s="2" t="s">
        <v>92</v>
      </c>
      <c r="E37" s="2" t="s">
        <v>22</v>
      </c>
      <c r="F37" s="2">
        <v>1.0</v>
      </c>
      <c r="G37" s="2" t="s">
        <v>52</v>
      </c>
      <c r="H37" s="2">
        <v>2.0</v>
      </c>
      <c r="I37" s="2">
        <v>189.0</v>
      </c>
      <c r="J37" s="2">
        <v>0.0</v>
      </c>
      <c r="K37" s="2">
        <v>1.0</v>
      </c>
      <c r="L37" s="2">
        <v>0.0</v>
      </c>
    </row>
    <row r="38">
      <c r="A38" s="6">
        <v>45845.0</v>
      </c>
      <c r="B38" s="2" t="s">
        <v>56</v>
      </c>
      <c r="C38" s="2" t="s">
        <v>16</v>
      </c>
      <c r="D38" s="2" t="s">
        <v>93</v>
      </c>
      <c r="E38" s="2" t="s">
        <v>22</v>
      </c>
      <c r="F38" s="2">
        <v>1.0</v>
      </c>
      <c r="G38" s="2" t="s">
        <v>52</v>
      </c>
      <c r="H38" s="2">
        <v>2.0</v>
      </c>
      <c r="I38" s="2">
        <v>189.0</v>
      </c>
      <c r="J38" s="2">
        <v>0.0</v>
      </c>
      <c r="K38" s="2">
        <v>1.0</v>
      </c>
      <c r="L38" s="2">
        <v>0.0</v>
      </c>
    </row>
    <row r="39">
      <c r="A39" s="6">
        <v>45845.0</v>
      </c>
      <c r="B39" s="2" t="s">
        <v>78</v>
      </c>
      <c r="C39" s="2" t="s">
        <v>16</v>
      </c>
      <c r="D39" s="2" t="s">
        <v>94</v>
      </c>
      <c r="E39" s="2" t="s">
        <v>22</v>
      </c>
      <c r="F39" s="2">
        <v>1.0</v>
      </c>
      <c r="G39" s="2" t="s">
        <v>19</v>
      </c>
      <c r="H39" s="2">
        <v>2.0</v>
      </c>
      <c r="I39" s="2">
        <v>189.0</v>
      </c>
      <c r="J39" s="2">
        <v>0.0</v>
      </c>
      <c r="K39" s="2">
        <v>1.0</v>
      </c>
      <c r="L39" s="2">
        <v>0.0</v>
      </c>
    </row>
    <row r="40">
      <c r="A40" s="6">
        <v>45845.0</v>
      </c>
      <c r="B40" s="2" t="s">
        <v>78</v>
      </c>
      <c r="C40" s="2" t="s">
        <v>16</v>
      </c>
      <c r="D40" s="2" t="s">
        <v>96</v>
      </c>
      <c r="E40" s="2" t="s">
        <v>22</v>
      </c>
      <c r="F40" s="2">
        <v>1.0</v>
      </c>
      <c r="G40" s="2" t="s">
        <v>19</v>
      </c>
      <c r="H40" s="2">
        <v>2.0</v>
      </c>
      <c r="I40" s="2">
        <v>189.0</v>
      </c>
      <c r="J40" s="2">
        <v>0.0</v>
      </c>
      <c r="K40" s="2">
        <v>1.0</v>
      </c>
      <c r="L40" s="2">
        <v>0.0</v>
      </c>
    </row>
    <row r="41">
      <c r="A41" s="6">
        <v>45845.0</v>
      </c>
      <c r="B41" s="2" t="s">
        <v>56</v>
      </c>
      <c r="C41" s="2" t="s">
        <v>16</v>
      </c>
      <c r="D41" s="2" t="s">
        <v>101</v>
      </c>
      <c r="E41" s="2" t="s">
        <v>22</v>
      </c>
      <c r="F41" s="2">
        <v>1.0</v>
      </c>
      <c r="G41" s="2" t="s">
        <v>19</v>
      </c>
      <c r="H41" s="2">
        <v>2.0</v>
      </c>
      <c r="I41" s="2">
        <v>189.0</v>
      </c>
      <c r="J41" s="2">
        <v>0.0</v>
      </c>
      <c r="K41" s="2">
        <v>1.0</v>
      </c>
      <c r="L41" s="2">
        <v>0.0</v>
      </c>
    </row>
    <row r="42">
      <c r="A42" s="6">
        <v>45845.0</v>
      </c>
      <c r="B42" s="2" t="s">
        <v>56</v>
      </c>
      <c r="C42" s="2" t="s">
        <v>16</v>
      </c>
      <c r="D42" s="2" t="s">
        <v>105</v>
      </c>
      <c r="E42" s="2" t="s">
        <v>22</v>
      </c>
      <c r="F42" s="2">
        <v>1.0</v>
      </c>
      <c r="G42" s="2" t="s">
        <v>19</v>
      </c>
      <c r="H42" s="2">
        <v>2.0</v>
      </c>
      <c r="I42" s="2">
        <v>189.0</v>
      </c>
      <c r="J42" s="2">
        <v>0.0</v>
      </c>
      <c r="K42" s="2">
        <v>1.0</v>
      </c>
      <c r="L42" s="2">
        <v>0.0</v>
      </c>
    </row>
    <row r="43">
      <c r="A43" s="6">
        <v>45845.0</v>
      </c>
      <c r="B43" s="2" t="s">
        <v>78</v>
      </c>
      <c r="C43" s="2" t="s">
        <v>16</v>
      </c>
      <c r="D43" s="2" t="s">
        <v>111</v>
      </c>
      <c r="E43" s="2" t="s">
        <v>22</v>
      </c>
      <c r="F43" s="2">
        <v>1.0</v>
      </c>
      <c r="G43" s="2" t="s">
        <v>34</v>
      </c>
      <c r="H43" s="2">
        <v>3.0</v>
      </c>
      <c r="I43" s="2">
        <v>189.0</v>
      </c>
      <c r="J43" s="2">
        <v>0.0</v>
      </c>
      <c r="K43" s="2">
        <v>1.0</v>
      </c>
      <c r="L43" s="2">
        <v>0.0</v>
      </c>
    </row>
    <row r="44">
      <c r="A44" s="6">
        <v>45846.0</v>
      </c>
      <c r="B44" s="2" t="s">
        <v>31</v>
      </c>
      <c r="C44" s="2" t="s">
        <v>16</v>
      </c>
      <c r="D44" s="2" t="s">
        <v>114</v>
      </c>
      <c r="E44" s="2" t="s">
        <v>18</v>
      </c>
      <c r="F44" s="2">
        <v>1.0</v>
      </c>
      <c r="G44" s="2" t="s">
        <v>52</v>
      </c>
      <c r="H44" s="2">
        <v>2.0</v>
      </c>
      <c r="I44" s="2">
        <v>363.0</v>
      </c>
      <c r="J44" s="2">
        <v>0.0</v>
      </c>
      <c r="K44" s="2">
        <v>3.0</v>
      </c>
      <c r="L44" s="2">
        <v>0.0</v>
      </c>
    </row>
    <row r="45">
      <c r="A45" s="6">
        <v>45846.0</v>
      </c>
      <c r="B45" s="2" t="s">
        <v>116</v>
      </c>
      <c r="C45" s="2" t="s">
        <v>16</v>
      </c>
      <c r="D45" s="2" t="s">
        <v>119</v>
      </c>
      <c r="E45" s="2" t="s">
        <v>38</v>
      </c>
      <c r="F45" s="2">
        <v>1.0</v>
      </c>
      <c r="G45" s="2" t="s">
        <v>19</v>
      </c>
      <c r="H45" s="2">
        <v>2.0</v>
      </c>
      <c r="I45" s="2">
        <v>189.0</v>
      </c>
      <c r="J45" s="2">
        <v>0.0</v>
      </c>
      <c r="K45" s="2">
        <v>1.0</v>
      </c>
      <c r="L45" s="2">
        <v>0.0</v>
      </c>
    </row>
    <row r="46">
      <c r="A46" s="6">
        <v>45846.0</v>
      </c>
      <c r="B46" s="2" t="s">
        <v>31</v>
      </c>
      <c r="C46" s="2" t="s">
        <v>16</v>
      </c>
      <c r="D46" s="2" t="s">
        <v>124</v>
      </c>
      <c r="E46" s="2" t="s">
        <v>125</v>
      </c>
      <c r="F46" s="2">
        <v>1.0</v>
      </c>
      <c r="G46" s="2" t="s">
        <v>19</v>
      </c>
      <c r="H46" s="2">
        <v>2.0</v>
      </c>
      <c r="I46" s="2">
        <v>380.88</v>
      </c>
      <c r="J46" s="2">
        <v>0.0</v>
      </c>
      <c r="K46" s="2">
        <v>3.0</v>
      </c>
      <c r="L46" s="2">
        <v>0.0</v>
      </c>
    </row>
    <row r="47">
      <c r="A47" s="6">
        <v>45846.0</v>
      </c>
      <c r="B47" s="2" t="s">
        <v>31</v>
      </c>
      <c r="C47" s="2" t="s">
        <v>16</v>
      </c>
      <c r="D47" s="2" t="s">
        <v>130</v>
      </c>
      <c r="E47" s="2" t="s">
        <v>125</v>
      </c>
      <c r="F47" s="2">
        <v>1.0</v>
      </c>
      <c r="G47" s="2" t="s">
        <v>19</v>
      </c>
      <c r="H47" s="2">
        <v>2.0</v>
      </c>
      <c r="I47" s="2">
        <v>409.0</v>
      </c>
      <c r="J47" s="2">
        <v>0.0</v>
      </c>
      <c r="K47" s="2">
        <v>1.0</v>
      </c>
      <c r="L47" s="2">
        <v>0.0</v>
      </c>
    </row>
    <row r="48">
      <c r="A48" s="6">
        <v>45846.0</v>
      </c>
      <c r="B48" s="2" t="s">
        <v>31</v>
      </c>
      <c r="C48" s="2" t="s">
        <v>16</v>
      </c>
      <c r="D48" s="2" t="s">
        <v>130</v>
      </c>
      <c r="E48" s="2" t="s">
        <v>125</v>
      </c>
      <c r="F48" s="2">
        <v>1.0</v>
      </c>
      <c r="G48" s="2" t="s">
        <v>19</v>
      </c>
      <c r="H48" s="2">
        <v>2.0</v>
      </c>
      <c r="I48" s="2">
        <v>409.0</v>
      </c>
      <c r="J48" s="2">
        <v>0.0</v>
      </c>
      <c r="K48" s="2">
        <v>1.0</v>
      </c>
      <c r="L48" s="2">
        <v>0.0</v>
      </c>
    </row>
    <row r="49">
      <c r="A49" s="6">
        <v>45846.0</v>
      </c>
      <c r="B49" s="2" t="s">
        <v>31</v>
      </c>
      <c r="C49" s="2" t="s">
        <v>16</v>
      </c>
      <c r="D49" s="2" t="s">
        <v>137</v>
      </c>
      <c r="E49" s="2" t="s">
        <v>125</v>
      </c>
      <c r="F49" s="2">
        <v>1.0</v>
      </c>
      <c r="G49" s="2" t="s">
        <v>19</v>
      </c>
      <c r="H49" s="2">
        <v>2.0</v>
      </c>
      <c r="I49" s="2">
        <v>409.0</v>
      </c>
      <c r="J49" s="2">
        <v>0.0</v>
      </c>
      <c r="K49" s="2">
        <v>1.0</v>
      </c>
      <c r="L49" s="2">
        <v>0.0</v>
      </c>
    </row>
    <row r="50">
      <c r="A50" s="6">
        <v>45846.0</v>
      </c>
      <c r="B50" s="2" t="s">
        <v>31</v>
      </c>
      <c r="C50" s="2" t="s">
        <v>16</v>
      </c>
      <c r="D50" s="2" t="s">
        <v>141</v>
      </c>
      <c r="E50" s="2" t="s">
        <v>125</v>
      </c>
      <c r="F50" s="2">
        <v>1.0</v>
      </c>
      <c r="G50" s="2" t="s">
        <v>19</v>
      </c>
      <c r="H50" s="2">
        <v>2.0</v>
      </c>
      <c r="I50" s="2">
        <v>328.18</v>
      </c>
      <c r="J50" s="2">
        <v>0.0</v>
      </c>
      <c r="K50" s="2">
        <v>3.0</v>
      </c>
      <c r="L50" s="2">
        <v>0.0</v>
      </c>
    </row>
    <row r="51">
      <c r="A51" s="6">
        <v>45846.0</v>
      </c>
      <c r="B51" s="2" t="s">
        <v>31</v>
      </c>
      <c r="C51" s="2" t="s">
        <v>16</v>
      </c>
      <c r="D51" s="2" t="s">
        <v>145</v>
      </c>
      <c r="E51" s="2" t="s">
        <v>125</v>
      </c>
      <c r="F51" s="2">
        <v>1.0</v>
      </c>
      <c r="G51" s="2" t="s">
        <v>19</v>
      </c>
      <c r="H51" s="2">
        <v>2.0</v>
      </c>
      <c r="I51" s="2">
        <v>598.59</v>
      </c>
      <c r="J51" s="2">
        <v>0.0</v>
      </c>
      <c r="K51" s="2">
        <v>2.0</v>
      </c>
      <c r="L51" s="2">
        <v>0.0</v>
      </c>
    </row>
    <row r="52">
      <c r="A52" s="6">
        <v>45846.0</v>
      </c>
      <c r="B52" s="2" t="s">
        <v>31</v>
      </c>
      <c r="C52" s="2" t="s">
        <v>16</v>
      </c>
      <c r="D52" s="2" t="s">
        <v>145</v>
      </c>
      <c r="E52" s="2" t="s">
        <v>125</v>
      </c>
      <c r="F52" s="2">
        <v>1.0</v>
      </c>
      <c r="G52" s="2" t="s">
        <v>19</v>
      </c>
      <c r="H52" s="2">
        <v>2.0</v>
      </c>
      <c r="I52" s="2">
        <v>598.59</v>
      </c>
      <c r="J52" s="2">
        <v>0.0</v>
      </c>
      <c r="K52" s="2">
        <v>2.0</v>
      </c>
      <c r="L52" s="2">
        <v>0.0</v>
      </c>
    </row>
    <row r="53">
      <c r="A53" s="6">
        <v>45846.0</v>
      </c>
      <c r="B53" s="2" t="s">
        <v>31</v>
      </c>
      <c r="C53" s="2" t="s">
        <v>16</v>
      </c>
      <c r="D53" s="2" t="s">
        <v>151</v>
      </c>
      <c r="E53" s="2" t="s">
        <v>125</v>
      </c>
      <c r="F53" s="2">
        <v>1.0</v>
      </c>
      <c r="G53" s="2" t="s">
        <v>19</v>
      </c>
      <c r="H53" s="2">
        <v>2.0</v>
      </c>
      <c r="I53" s="2">
        <v>598.59</v>
      </c>
      <c r="J53" s="2">
        <v>0.0</v>
      </c>
      <c r="K53" s="2">
        <v>2.0</v>
      </c>
      <c r="L53" s="2">
        <v>0.0</v>
      </c>
    </row>
    <row r="54">
      <c r="A54" s="6">
        <v>45846.0</v>
      </c>
      <c r="B54" s="2" t="s">
        <v>152</v>
      </c>
      <c r="C54" s="2" t="s">
        <v>16</v>
      </c>
      <c r="D54" s="2" t="s">
        <v>153</v>
      </c>
      <c r="E54" s="2" t="s">
        <v>22</v>
      </c>
      <c r="F54" s="2">
        <v>1.0</v>
      </c>
      <c r="G54" s="2" t="s">
        <v>34</v>
      </c>
      <c r="H54" s="2">
        <v>3.0</v>
      </c>
      <c r="I54" s="2">
        <v>189.0</v>
      </c>
      <c r="J54" s="2">
        <v>0.0</v>
      </c>
      <c r="K54" s="2">
        <v>1.0</v>
      </c>
      <c r="L54" s="2">
        <v>0.0</v>
      </c>
    </row>
    <row r="55">
      <c r="A55" s="6">
        <v>45846.0</v>
      </c>
      <c r="B55" s="2" t="s">
        <v>152</v>
      </c>
      <c r="C55" s="2" t="s">
        <v>16</v>
      </c>
      <c r="D55" s="2" t="s">
        <v>154</v>
      </c>
      <c r="E55" s="2" t="s">
        <v>22</v>
      </c>
      <c r="F55" s="2">
        <v>1.0</v>
      </c>
      <c r="G55" s="2" t="s">
        <v>34</v>
      </c>
      <c r="H55" s="2">
        <v>3.0</v>
      </c>
      <c r="I55" s="2">
        <v>189.0</v>
      </c>
      <c r="J55" s="2">
        <v>0.0</v>
      </c>
      <c r="K55" s="2">
        <v>1.0</v>
      </c>
      <c r="L55" s="2">
        <v>0.0</v>
      </c>
    </row>
    <row r="56">
      <c r="A56" s="6">
        <v>45847.0</v>
      </c>
      <c r="B56" s="2" t="s">
        <v>50</v>
      </c>
      <c r="C56" s="2" t="s">
        <v>16</v>
      </c>
      <c r="D56" s="2" t="s">
        <v>155</v>
      </c>
      <c r="E56" s="2" t="s">
        <v>22</v>
      </c>
      <c r="F56" s="2">
        <v>1.0</v>
      </c>
      <c r="G56" s="2" t="s">
        <v>25</v>
      </c>
      <c r="H56" s="2">
        <v>3.0</v>
      </c>
      <c r="I56" s="2">
        <v>269.25</v>
      </c>
      <c r="J56" s="2">
        <v>0.0</v>
      </c>
      <c r="K56" s="2">
        <v>4.0</v>
      </c>
      <c r="L56" s="2">
        <v>0.0</v>
      </c>
    </row>
    <row r="57">
      <c r="A57" s="6">
        <v>45847.0</v>
      </c>
      <c r="B57" s="2" t="s">
        <v>50</v>
      </c>
      <c r="C57" s="2" t="s">
        <v>16</v>
      </c>
      <c r="D57" s="2" t="s">
        <v>156</v>
      </c>
      <c r="E57" s="2" t="s">
        <v>38</v>
      </c>
      <c r="F57" s="2">
        <v>1.0</v>
      </c>
      <c r="G57" s="2" t="s">
        <v>34</v>
      </c>
      <c r="H57" s="2">
        <v>3.0</v>
      </c>
      <c r="I57" s="2">
        <v>329.25</v>
      </c>
      <c r="J57" s="2">
        <v>0.0</v>
      </c>
      <c r="K57" s="2">
        <v>1.0</v>
      </c>
      <c r="L57" s="2">
        <v>0.0</v>
      </c>
    </row>
    <row r="58">
      <c r="A58" s="6">
        <v>45847.0</v>
      </c>
      <c r="B58" s="2" t="s">
        <v>31</v>
      </c>
      <c r="C58" s="2" t="s">
        <v>16</v>
      </c>
      <c r="D58" s="2" t="s">
        <v>157</v>
      </c>
      <c r="E58" s="2" t="s">
        <v>125</v>
      </c>
      <c r="F58" s="2">
        <v>1.0</v>
      </c>
      <c r="G58" s="2" t="s">
        <v>19</v>
      </c>
      <c r="H58" s="2">
        <v>2.0</v>
      </c>
      <c r="I58" s="2">
        <v>301.68</v>
      </c>
      <c r="J58" s="2">
        <v>0.0</v>
      </c>
      <c r="K58" s="2">
        <v>2.0</v>
      </c>
      <c r="L58" s="2">
        <v>0.0</v>
      </c>
    </row>
    <row r="59">
      <c r="A59" s="6">
        <v>45847.0</v>
      </c>
      <c r="B59" s="2" t="s">
        <v>31</v>
      </c>
      <c r="C59" s="2" t="s">
        <v>16</v>
      </c>
      <c r="D59" s="2" t="s">
        <v>158</v>
      </c>
      <c r="E59" s="2" t="s">
        <v>18</v>
      </c>
      <c r="F59" s="2">
        <v>1.0</v>
      </c>
      <c r="G59" s="2" t="s">
        <v>52</v>
      </c>
      <c r="H59" s="2">
        <v>2.0</v>
      </c>
      <c r="I59" s="2">
        <v>279.0</v>
      </c>
      <c r="J59" s="2">
        <v>0.0</v>
      </c>
      <c r="K59" s="2">
        <v>2.0</v>
      </c>
      <c r="L59" s="2">
        <v>0.0</v>
      </c>
    </row>
    <row r="60">
      <c r="A60" s="6">
        <v>45847.0</v>
      </c>
      <c r="B60" s="2" t="s">
        <v>31</v>
      </c>
      <c r="C60" s="2" t="s">
        <v>16</v>
      </c>
      <c r="D60" s="2" t="s">
        <v>159</v>
      </c>
      <c r="E60" s="2" t="s">
        <v>18</v>
      </c>
      <c r="F60" s="2">
        <v>1.0</v>
      </c>
      <c r="G60" s="2" t="s">
        <v>52</v>
      </c>
      <c r="H60" s="2">
        <v>2.0</v>
      </c>
      <c r="I60" s="2">
        <v>279.0</v>
      </c>
      <c r="J60" s="2">
        <v>0.0</v>
      </c>
      <c r="K60" s="2">
        <v>2.0</v>
      </c>
      <c r="L60" s="2">
        <v>0.0</v>
      </c>
    </row>
    <row r="61">
      <c r="A61" s="6">
        <v>45847.0</v>
      </c>
      <c r="B61" s="2" t="s">
        <v>31</v>
      </c>
      <c r="C61" s="2" t="s">
        <v>16</v>
      </c>
      <c r="D61" s="2" t="s">
        <v>160</v>
      </c>
      <c r="E61" s="2" t="s">
        <v>18</v>
      </c>
      <c r="F61" s="2">
        <v>1.0</v>
      </c>
      <c r="G61" s="2" t="s">
        <v>52</v>
      </c>
      <c r="H61" s="2">
        <v>2.0</v>
      </c>
      <c r="I61" s="2">
        <v>279.0</v>
      </c>
      <c r="J61" s="2">
        <v>0.0</v>
      </c>
      <c r="K61" s="2">
        <v>1.0</v>
      </c>
      <c r="L61" s="2">
        <v>0.0</v>
      </c>
    </row>
    <row r="62">
      <c r="A62" s="6">
        <v>45847.0</v>
      </c>
      <c r="B62" s="2" t="s">
        <v>31</v>
      </c>
      <c r="C62" s="2" t="s">
        <v>16</v>
      </c>
      <c r="D62" s="2" t="s">
        <v>161</v>
      </c>
      <c r="E62" s="2" t="s">
        <v>125</v>
      </c>
      <c r="F62" s="2">
        <v>1.0</v>
      </c>
      <c r="G62" s="2" t="s">
        <v>19</v>
      </c>
      <c r="H62" s="2">
        <v>2.0</v>
      </c>
      <c r="I62" s="2">
        <v>380.88</v>
      </c>
      <c r="J62" s="2">
        <v>0.0</v>
      </c>
      <c r="K62" s="2">
        <v>3.0</v>
      </c>
      <c r="L62" s="2">
        <v>0.0</v>
      </c>
    </row>
    <row r="63">
      <c r="A63" s="6">
        <v>45847.0</v>
      </c>
      <c r="B63" s="2" t="s">
        <v>31</v>
      </c>
      <c r="C63" s="2" t="s">
        <v>16</v>
      </c>
      <c r="D63" s="2" t="s">
        <v>162</v>
      </c>
      <c r="E63" s="2" t="s">
        <v>125</v>
      </c>
      <c r="F63" s="2">
        <v>1.0</v>
      </c>
      <c r="G63" s="2" t="s">
        <v>19</v>
      </c>
      <c r="H63" s="2">
        <v>2.0</v>
      </c>
      <c r="I63" s="2">
        <v>280.91</v>
      </c>
      <c r="J63" s="2">
        <v>0.0</v>
      </c>
      <c r="K63" s="2">
        <v>3.0</v>
      </c>
      <c r="L63" s="2">
        <v>0.0</v>
      </c>
    </row>
    <row r="64">
      <c r="A64" s="6">
        <v>45847.0</v>
      </c>
      <c r="B64" s="2" t="s">
        <v>31</v>
      </c>
      <c r="C64" s="2" t="s">
        <v>16</v>
      </c>
      <c r="D64" s="2" t="s">
        <v>163</v>
      </c>
      <c r="E64" s="2" t="s">
        <v>125</v>
      </c>
      <c r="F64" s="2">
        <v>1.0</v>
      </c>
      <c r="G64" s="2" t="s">
        <v>19</v>
      </c>
      <c r="H64" s="2">
        <v>2.0</v>
      </c>
      <c r="I64" s="2">
        <v>321.35</v>
      </c>
      <c r="J64" s="2">
        <v>0.0</v>
      </c>
      <c r="K64" s="2">
        <v>2.0</v>
      </c>
      <c r="L64" s="2">
        <v>0.0</v>
      </c>
    </row>
    <row r="65">
      <c r="A65" s="6">
        <v>45847.0</v>
      </c>
      <c r="B65" s="2" t="s">
        <v>31</v>
      </c>
      <c r="C65" s="2" t="s">
        <v>16</v>
      </c>
      <c r="D65" s="2" t="s">
        <v>164</v>
      </c>
      <c r="E65" s="2" t="s">
        <v>125</v>
      </c>
      <c r="F65" s="2">
        <v>1.0</v>
      </c>
      <c r="G65" s="2" t="s">
        <v>19</v>
      </c>
      <c r="H65" s="2">
        <v>2.0</v>
      </c>
      <c r="I65" s="2">
        <v>335.83</v>
      </c>
      <c r="J65" s="2">
        <v>0.0</v>
      </c>
      <c r="K65" s="2">
        <v>2.0</v>
      </c>
      <c r="L65" s="2">
        <v>0.0</v>
      </c>
    </row>
    <row r="66">
      <c r="A66" s="6">
        <v>45847.0</v>
      </c>
      <c r="B66" s="2" t="s">
        <v>31</v>
      </c>
      <c r="C66" s="2" t="s">
        <v>16</v>
      </c>
      <c r="D66" s="2" t="s">
        <v>165</v>
      </c>
      <c r="E66" s="2" t="s">
        <v>125</v>
      </c>
      <c r="F66" s="2">
        <v>1.0</v>
      </c>
      <c r="G66" s="2" t="s">
        <v>19</v>
      </c>
      <c r="H66" s="2">
        <v>2.0</v>
      </c>
      <c r="I66" s="2">
        <v>335.83</v>
      </c>
      <c r="J66" s="2">
        <v>0.0</v>
      </c>
      <c r="K66" s="2">
        <v>2.0</v>
      </c>
      <c r="L66" s="2">
        <v>0.0</v>
      </c>
    </row>
    <row r="67">
      <c r="A67" s="6">
        <v>45847.0</v>
      </c>
      <c r="B67" s="2" t="s">
        <v>31</v>
      </c>
      <c r="C67" s="2" t="s">
        <v>16</v>
      </c>
      <c r="D67" s="2" t="s">
        <v>166</v>
      </c>
      <c r="E67" s="2" t="s">
        <v>125</v>
      </c>
      <c r="F67" s="2">
        <v>1.0</v>
      </c>
      <c r="G67" s="2" t="s">
        <v>19</v>
      </c>
      <c r="H67" s="2">
        <v>2.0</v>
      </c>
      <c r="I67" s="2">
        <v>235.58</v>
      </c>
      <c r="J67" s="2">
        <v>0.0</v>
      </c>
      <c r="K67" s="2">
        <v>2.0</v>
      </c>
      <c r="L67" s="2">
        <v>0.0</v>
      </c>
    </row>
    <row r="68">
      <c r="A68" s="6">
        <v>45847.0</v>
      </c>
      <c r="B68" s="2" t="s">
        <v>31</v>
      </c>
      <c r="C68" s="2" t="s">
        <v>16</v>
      </c>
      <c r="D68" s="2" t="s">
        <v>167</v>
      </c>
      <c r="E68" s="2" t="s">
        <v>125</v>
      </c>
      <c r="F68" s="2">
        <v>1.0</v>
      </c>
      <c r="G68" s="2" t="s">
        <v>19</v>
      </c>
      <c r="H68" s="2">
        <v>2.0</v>
      </c>
      <c r="I68" s="2">
        <v>294.48</v>
      </c>
      <c r="J68" s="2">
        <v>0.0</v>
      </c>
      <c r="K68" s="2">
        <v>2.0</v>
      </c>
      <c r="L68" s="2">
        <v>0.0</v>
      </c>
    </row>
    <row r="69">
      <c r="A69" s="6">
        <v>45847.0</v>
      </c>
      <c r="B69" s="2" t="s">
        <v>31</v>
      </c>
      <c r="C69" s="2" t="s">
        <v>16</v>
      </c>
      <c r="D69" s="2" t="s">
        <v>168</v>
      </c>
      <c r="E69" s="2" t="s">
        <v>125</v>
      </c>
      <c r="F69" s="2">
        <v>1.0</v>
      </c>
      <c r="G69" s="2" t="s">
        <v>19</v>
      </c>
      <c r="H69" s="2">
        <v>2.0</v>
      </c>
      <c r="I69" s="2">
        <v>255.82</v>
      </c>
      <c r="J69" s="2">
        <v>0.0</v>
      </c>
      <c r="K69" s="2">
        <v>5.0</v>
      </c>
      <c r="L69" s="2">
        <v>0.0</v>
      </c>
    </row>
    <row r="70">
      <c r="A70" s="6">
        <v>45847.0</v>
      </c>
      <c r="B70" s="2" t="s">
        <v>31</v>
      </c>
      <c r="C70" s="2" t="s">
        <v>16</v>
      </c>
      <c r="D70" s="2" t="s">
        <v>169</v>
      </c>
      <c r="E70" s="2" t="s">
        <v>125</v>
      </c>
      <c r="F70" s="2">
        <v>1.0</v>
      </c>
      <c r="G70" s="2" t="s">
        <v>19</v>
      </c>
      <c r="H70" s="2">
        <v>2.0</v>
      </c>
      <c r="I70" s="2">
        <v>245.59</v>
      </c>
      <c r="J70" s="2">
        <v>0.0</v>
      </c>
      <c r="K70" s="2">
        <v>2.0</v>
      </c>
      <c r="L70" s="2">
        <v>0.0</v>
      </c>
    </row>
    <row r="71">
      <c r="A71" s="6">
        <v>45847.0</v>
      </c>
      <c r="B71" s="2" t="s">
        <v>31</v>
      </c>
      <c r="C71" s="2" t="s">
        <v>16</v>
      </c>
      <c r="D71" s="2" t="s">
        <v>170</v>
      </c>
      <c r="E71" s="2" t="s">
        <v>125</v>
      </c>
      <c r="F71" s="2">
        <v>1.0</v>
      </c>
      <c r="G71" s="2" t="s">
        <v>19</v>
      </c>
      <c r="H71" s="2">
        <v>2.0</v>
      </c>
      <c r="I71" s="2">
        <v>204.66</v>
      </c>
      <c r="J71" s="2">
        <v>0.0</v>
      </c>
      <c r="K71" s="2">
        <v>1.0</v>
      </c>
      <c r="L71" s="2">
        <v>0.0</v>
      </c>
    </row>
    <row r="72">
      <c r="A72" s="6">
        <v>45847.0</v>
      </c>
      <c r="B72" s="2" t="s">
        <v>31</v>
      </c>
      <c r="C72" s="2" t="s">
        <v>16</v>
      </c>
      <c r="D72" s="2" t="s">
        <v>171</v>
      </c>
      <c r="E72" s="2" t="s">
        <v>125</v>
      </c>
      <c r="F72" s="2">
        <v>1.0</v>
      </c>
      <c r="G72" s="2" t="s">
        <v>19</v>
      </c>
      <c r="H72" s="2">
        <v>2.0</v>
      </c>
      <c r="I72" s="2">
        <v>388.08</v>
      </c>
      <c r="J72" s="2">
        <v>0.0</v>
      </c>
      <c r="K72" s="2">
        <v>2.0</v>
      </c>
      <c r="L72" s="2">
        <v>0.0</v>
      </c>
    </row>
    <row r="73">
      <c r="A73" s="6">
        <v>45847.0</v>
      </c>
      <c r="B73" s="2" t="s">
        <v>31</v>
      </c>
      <c r="C73" s="2" t="s">
        <v>16</v>
      </c>
      <c r="D73" s="2" t="s">
        <v>172</v>
      </c>
      <c r="E73" s="2" t="s">
        <v>125</v>
      </c>
      <c r="F73" s="2">
        <v>1.0</v>
      </c>
      <c r="G73" s="2" t="s">
        <v>19</v>
      </c>
      <c r="H73" s="2">
        <v>2.0</v>
      </c>
      <c r="I73" s="2">
        <v>380.88</v>
      </c>
      <c r="J73" s="2">
        <v>0.0</v>
      </c>
      <c r="K73" s="2">
        <v>2.0</v>
      </c>
      <c r="L73" s="2">
        <v>0.0</v>
      </c>
    </row>
    <row r="74">
      <c r="A74" s="6">
        <v>45847.0</v>
      </c>
      <c r="B74" s="2" t="s">
        <v>31</v>
      </c>
      <c r="C74" s="2" t="s">
        <v>16</v>
      </c>
      <c r="D74" s="2" t="s">
        <v>173</v>
      </c>
      <c r="E74" s="2" t="s">
        <v>125</v>
      </c>
      <c r="F74" s="2">
        <v>1.0</v>
      </c>
      <c r="G74" s="2" t="s">
        <v>19</v>
      </c>
      <c r="H74" s="2">
        <v>2.0</v>
      </c>
      <c r="I74" s="2">
        <v>164.0</v>
      </c>
      <c r="J74" s="2">
        <v>0.0</v>
      </c>
      <c r="K74" s="2">
        <v>3.0</v>
      </c>
      <c r="L74" s="2">
        <v>0.0</v>
      </c>
    </row>
    <row r="75">
      <c r="A75" s="6">
        <v>45847.0</v>
      </c>
      <c r="B75" s="2"/>
      <c r="C75" s="2" t="s">
        <v>174</v>
      </c>
      <c r="D75" s="2" t="s">
        <v>175</v>
      </c>
      <c r="E75" s="2" t="s">
        <v>22</v>
      </c>
      <c r="F75" s="2">
        <v>1.0</v>
      </c>
      <c r="G75" s="2" t="s">
        <v>25</v>
      </c>
      <c r="H75" s="2">
        <v>3.0</v>
      </c>
      <c r="I75" s="2">
        <v>221.45</v>
      </c>
      <c r="J75" s="2">
        <v>100.0</v>
      </c>
      <c r="K75" s="2">
        <v>2.0</v>
      </c>
      <c r="L75" s="2">
        <v>200.0</v>
      </c>
    </row>
    <row r="76">
      <c r="A76" s="6">
        <v>45847.0</v>
      </c>
      <c r="B76" s="2"/>
      <c r="C76" s="2" t="s">
        <v>39</v>
      </c>
      <c r="D76" s="2" t="s">
        <v>176</v>
      </c>
      <c r="E76" s="2" t="s">
        <v>52</v>
      </c>
      <c r="F76" s="2">
        <v>2.0</v>
      </c>
      <c r="G76" s="2" t="s">
        <v>77</v>
      </c>
      <c r="H76" s="2">
        <v>3.0</v>
      </c>
      <c r="I76" s="2">
        <v>229.63</v>
      </c>
      <c r="J76" s="2">
        <v>50.0</v>
      </c>
      <c r="K76" s="2">
        <v>2.0</v>
      </c>
      <c r="L76" s="2">
        <v>100.0</v>
      </c>
    </row>
    <row r="77">
      <c r="A77" s="6">
        <v>45848.0</v>
      </c>
      <c r="B77" s="2" t="s">
        <v>31</v>
      </c>
      <c r="C77" s="2" t="s">
        <v>16</v>
      </c>
      <c r="D77" s="2" t="s">
        <v>177</v>
      </c>
      <c r="E77" s="2" t="s">
        <v>125</v>
      </c>
      <c r="F77" s="2">
        <v>1.0</v>
      </c>
      <c r="G77" s="2" t="s">
        <v>19</v>
      </c>
      <c r="H77" s="2">
        <v>2.0</v>
      </c>
      <c r="I77" s="2">
        <v>39.0</v>
      </c>
      <c r="J77" s="2">
        <v>0.0</v>
      </c>
      <c r="K77" s="2">
        <v>2.0</v>
      </c>
      <c r="L77" s="2">
        <v>0.0</v>
      </c>
    </row>
    <row r="78">
      <c r="A78" s="6">
        <v>45848.0</v>
      </c>
      <c r="B78" s="2" t="s">
        <v>31</v>
      </c>
      <c r="C78" s="2" t="s">
        <v>16</v>
      </c>
      <c r="D78" s="2" t="s">
        <v>178</v>
      </c>
      <c r="E78" s="2" t="s">
        <v>125</v>
      </c>
      <c r="F78" s="2">
        <v>1.0</v>
      </c>
      <c r="G78" s="2" t="s">
        <v>19</v>
      </c>
      <c r="H78" s="2">
        <v>2.0</v>
      </c>
      <c r="I78" s="2">
        <v>339.0</v>
      </c>
      <c r="J78" s="2">
        <v>0.0</v>
      </c>
      <c r="K78" s="2">
        <v>1.0</v>
      </c>
      <c r="L78" s="2">
        <v>0.0</v>
      </c>
    </row>
    <row r="79">
      <c r="A79" s="6">
        <v>45848.0</v>
      </c>
      <c r="B79" s="2" t="s">
        <v>31</v>
      </c>
      <c r="C79" s="2" t="s">
        <v>16</v>
      </c>
      <c r="D79" s="2" t="s">
        <v>178</v>
      </c>
      <c r="E79" s="2" t="s">
        <v>125</v>
      </c>
      <c r="F79" s="2">
        <v>1.0</v>
      </c>
      <c r="G79" s="2" t="s">
        <v>19</v>
      </c>
      <c r="H79" s="2">
        <v>2.0</v>
      </c>
      <c r="I79" s="2">
        <v>339.0</v>
      </c>
      <c r="J79" s="2">
        <v>0.0</v>
      </c>
      <c r="K79" s="2">
        <v>1.0</v>
      </c>
      <c r="L79" s="2">
        <v>0.0</v>
      </c>
    </row>
    <row r="80">
      <c r="A80" s="6">
        <v>45848.0</v>
      </c>
      <c r="B80" s="2" t="s">
        <v>31</v>
      </c>
      <c r="C80" s="2" t="s">
        <v>16</v>
      </c>
      <c r="D80" s="2" t="s">
        <v>179</v>
      </c>
      <c r="E80" s="2" t="s">
        <v>125</v>
      </c>
      <c r="F80" s="2">
        <v>1.0</v>
      </c>
      <c r="G80" s="2" t="s">
        <v>19</v>
      </c>
      <c r="H80" s="2">
        <v>2.0</v>
      </c>
      <c r="I80" s="2">
        <v>287.1</v>
      </c>
      <c r="J80" s="2">
        <v>0.0</v>
      </c>
      <c r="K80" s="2">
        <v>1.0</v>
      </c>
      <c r="L80" s="2">
        <v>0.0</v>
      </c>
    </row>
    <row r="81">
      <c r="A81" s="6">
        <v>45848.0</v>
      </c>
      <c r="B81" s="2" t="s">
        <v>31</v>
      </c>
      <c r="C81" s="2" t="s">
        <v>16</v>
      </c>
      <c r="D81" s="2" t="s">
        <v>180</v>
      </c>
      <c r="E81" s="2" t="s">
        <v>125</v>
      </c>
      <c r="F81" s="2">
        <v>1.0</v>
      </c>
      <c r="G81" s="2" t="s">
        <v>19</v>
      </c>
      <c r="H81" s="2">
        <v>2.0</v>
      </c>
      <c r="I81" s="2">
        <v>251.68</v>
      </c>
      <c r="J81" s="2">
        <v>0.0</v>
      </c>
      <c r="K81" s="2">
        <v>2.0</v>
      </c>
      <c r="L81" s="2">
        <v>0.0</v>
      </c>
    </row>
    <row r="82">
      <c r="A82" s="6">
        <v>45848.0</v>
      </c>
      <c r="B82" s="2" t="s">
        <v>31</v>
      </c>
      <c r="C82" s="2" t="s">
        <v>16</v>
      </c>
      <c r="D82" s="2" t="s">
        <v>181</v>
      </c>
      <c r="E82" s="2" t="s">
        <v>125</v>
      </c>
      <c r="F82" s="2">
        <v>1.0</v>
      </c>
      <c r="G82" s="2" t="s">
        <v>19</v>
      </c>
      <c r="H82" s="2">
        <v>2.0</v>
      </c>
      <c r="I82" s="2">
        <v>379.0</v>
      </c>
      <c r="J82" s="2">
        <v>0.0</v>
      </c>
      <c r="K82" s="2">
        <v>1.0</v>
      </c>
      <c r="L82" s="2">
        <v>0.0</v>
      </c>
    </row>
    <row r="83">
      <c r="A83" s="6">
        <v>45848.0</v>
      </c>
      <c r="B83" s="2" t="s">
        <v>31</v>
      </c>
      <c r="C83" s="2" t="s">
        <v>16</v>
      </c>
      <c r="D83" s="2" t="s">
        <v>182</v>
      </c>
      <c r="E83" s="2" t="s">
        <v>125</v>
      </c>
      <c r="F83" s="2">
        <v>1.0</v>
      </c>
      <c r="G83" s="2" t="s">
        <v>19</v>
      </c>
      <c r="H83" s="2">
        <v>2.0</v>
      </c>
      <c r="I83" s="2">
        <v>281.66</v>
      </c>
      <c r="J83" s="2">
        <v>0.0</v>
      </c>
      <c r="K83" s="2">
        <v>2.0</v>
      </c>
      <c r="L83" s="2">
        <v>0.0</v>
      </c>
    </row>
    <row r="84">
      <c r="A84" s="6">
        <v>45848.0</v>
      </c>
      <c r="B84" s="2" t="s">
        <v>31</v>
      </c>
      <c r="C84" s="2" t="s">
        <v>16</v>
      </c>
      <c r="D84" s="2" t="s">
        <v>183</v>
      </c>
      <c r="E84" s="2" t="s">
        <v>125</v>
      </c>
      <c r="F84" s="2">
        <v>1.0</v>
      </c>
      <c r="G84" s="2" t="s">
        <v>19</v>
      </c>
      <c r="H84" s="2">
        <v>2.0</v>
      </c>
      <c r="I84" s="2">
        <v>369.0</v>
      </c>
      <c r="J84" s="2">
        <v>0.0</v>
      </c>
      <c r="K84" s="2">
        <v>1.0</v>
      </c>
      <c r="L84" s="2">
        <v>0.0</v>
      </c>
    </row>
    <row r="85">
      <c r="A85" s="6">
        <v>45848.0</v>
      </c>
      <c r="B85" s="2" t="s">
        <v>31</v>
      </c>
      <c r="C85" s="2" t="s">
        <v>16</v>
      </c>
      <c r="D85" s="2" t="s">
        <v>184</v>
      </c>
      <c r="E85" s="2" t="s">
        <v>125</v>
      </c>
      <c r="F85" s="2">
        <v>1.0</v>
      </c>
      <c r="G85" s="2" t="s">
        <v>19</v>
      </c>
      <c r="H85" s="2">
        <v>2.0</v>
      </c>
      <c r="I85" s="2">
        <v>389.0</v>
      </c>
      <c r="J85" s="2">
        <v>0.0</v>
      </c>
      <c r="K85" s="2">
        <v>2.0</v>
      </c>
      <c r="L85" s="2">
        <v>0.0</v>
      </c>
    </row>
    <row r="86">
      <c r="A86" s="6">
        <v>45848.0</v>
      </c>
      <c r="B86" s="2" t="s">
        <v>31</v>
      </c>
      <c r="C86" s="2" t="s">
        <v>16</v>
      </c>
      <c r="D86" s="2" t="s">
        <v>185</v>
      </c>
      <c r="E86" s="2" t="s">
        <v>125</v>
      </c>
      <c r="F86" s="2">
        <v>1.0</v>
      </c>
      <c r="G86" s="2" t="s">
        <v>19</v>
      </c>
      <c r="H86" s="2">
        <v>2.0</v>
      </c>
      <c r="I86" s="2">
        <v>389.0</v>
      </c>
      <c r="J86" s="2">
        <v>0.0</v>
      </c>
      <c r="K86" s="2">
        <v>2.0</v>
      </c>
      <c r="L86" s="2">
        <v>0.0</v>
      </c>
    </row>
    <row r="87">
      <c r="A87" s="6">
        <v>45848.0</v>
      </c>
      <c r="B87" s="2" t="s">
        <v>31</v>
      </c>
      <c r="C87" s="2" t="s">
        <v>16</v>
      </c>
      <c r="D87" s="2" t="s">
        <v>186</v>
      </c>
      <c r="E87" s="2" t="s">
        <v>125</v>
      </c>
      <c r="F87" s="2">
        <v>1.0</v>
      </c>
      <c r="G87" s="2" t="s">
        <v>19</v>
      </c>
      <c r="H87" s="2">
        <v>2.0</v>
      </c>
      <c r="I87" s="2">
        <v>332.1</v>
      </c>
      <c r="J87" s="2">
        <v>0.0</v>
      </c>
      <c r="K87" s="2">
        <v>2.0</v>
      </c>
      <c r="L87" s="2">
        <v>0.0</v>
      </c>
    </row>
    <row r="88">
      <c r="A88" s="6">
        <v>45848.0</v>
      </c>
      <c r="B88" s="2" t="s">
        <v>31</v>
      </c>
      <c r="C88" s="2" t="s">
        <v>16</v>
      </c>
      <c r="D88" s="2" t="s">
        <v>183</v>
      </c>
      <c r="E88" s="2" t="s">
        <v>125</v>
      </c>
      <c r="F88" s="2">
        <v>1.0</v>
      </c>
      <c r="G88" s="2" t="s">
        <v>19</v>
      </c>
      <c r="H88" s="2">
        <v>2.0</v>
      </c>
      <c r="I88" s="2">
        <v>369.0</v>
      </c>
      <c r="J88" s="2">
        <v>0.0</v>
      </c>
      <c r="K88" s="2">
        <v>1.0</v>
      </c>
      <c r="L88" s="2">
        <v>0.0</v>
      </c>
    </row>
    <row r="89">
      <c r="A89" s="6">
        <v>45848.0</v>
      </c>
      <c r="B89" s="2" t="s">
        <v>31</v>
      </c>
      <c r="C89" s="2" t="s">
        <v>16</v>
      </c>
      <c r="D89" s="2" t="s">
        <v>187</v>
      </c>
      <c r="E89" s="2" t="s">
        <v>188</v>
      </c>
      <c r="F89" s="2">
        <v>1.0</v>
      </c>
      <c r="G89" s="2" t="s">
        <v>88</v>
      </c>
      <c r="H89" s="2">
        <v>3.0</v>
      </c>
      <c r="I89" s="2">
        <v>389.0</v>
      </c>
      <c r="J89" s="2">
        <v>0.0</v>
      </c>
      <c r="K89" s="2">
        <v>2.0</v>
      </c>
      <c r="L89" s="2">
        <v>0.0</v>
      </c>
    </row>
    <row r="90">
      <c r="A90" s="6">
        <v>45848.0</v>
      </c>
      <c r="B90" s="2" t="s">
        <v>31</v>
      </c>
      <c r="C90" s="2" t="s">
        <v>16</v>
      </c>
      <c r="D90" s="2" t="s">
        <v>189</v>
      </c>
      <c r="E90" s="2" t="s">
        <v>19</v>
      </c>
      <c r="F90" s="2">
        <v>2.0</v>
      </c>
      <c r="G90" s="2" t="s">
        <v>28</v>
      </c>
      <c r="H90" s="2">
        <v>3.0</v>
      </c>
      <c r="I90" s="2">
        <v>399.0</v>
      </c>
      <c r="J90" s="2">
        <v>0.0</v>
      </c>
      <c r="K90" s="2">
        <v>1.0</v>
      </c>
      <c r="L90" s="2">
        <v>0.0</v>
      </c>
    </row>
    <row r="91">
      <c r="A91" s="6">
        <v>45848.0</v>
      </c>
      <c r="B91" s="2" t="s">
        <v>31</v>
      </c>
      <c r="C91" s="2" t="s">
        <v>16</v>
      </c>
      <c r="D91" s="2" t="s">
        <v>190</v>
      </c>
      <c r="E91" s="2" t="s">
        <v>125</v>
      </c>
      <c r="F91" s="2">
        <v>1.0</v>
      </c>
      <c r="G91" s="2" t="s">
        <v>19</v>
      </c>
      <c r="H91" s="2">
        <v>2.0</v>
      </c>
      <c r="I91" s="2">
        <v>389.0</v>
      </c>
      <c r="J91" s="2">
        <v>0.0</v>
      </c>
      <c r="K91" s="2">
        <v>1.0</v>
      </c>
      <c r="L91" s="2">
        <v>0.0</v>
      </c>
    </row>
    <row r="92">
      <c r="A92" s="6">
        <v>45848.0</v>
      </c>
      <c r="B92" s="2" t="s">
        <v>31</v>
      </c>
      <c r="C92" s="2" t="s">
        <v>16</v>
      </c>
      <c r="D92" s="2" t="s">
        <v>191</v>
      </c>
      <c r="E92" s="2" t="s">
        <v>18</v>
      </c>
      <c r="F92" s="2">
        <v>1.0</v>
      </c>
      <c r="G92" s="2" t="s">
        <v>19</v>
      </c>
      <c r="H92" s="2">
        <v>2.0</v>
      </c>
      <c r="I92" s="2">
        <v>389.0</v>
      </c>
      <c r="J92" s="2">
        <v>0.0</v>
      </c>
      <c r="K92" s="2">
        <v>1.0</v>
      </c>
      <c r="L92" s="2">
        <v>0.0</v>
      </c>
    </row>
    <row r="93">
      <c r="A93" s="6">
        <v>45848.0</v>
      </c>
      <c r="B93" s="2" t="s">
        <v>56</v>
      </c>
      <c r="C93" s="2" t="s">
        <v>16</v>
      </c>
      <c r="D93" s="2" t="s">
        <v>192</v>
      </c>
      <c r="E93" s="2" t="s">
        <v>22</v>
      </c>
      <c r="F93" s="2">
        <v>1.0</v>
      </c>
      <c r="G93" s="2" t="s">
        <v>88</v>
      </c>
      <c r="H93" s="2">
        <v>3.0</v>
      </c>
      <c r="I93" s="2">
        <v>212.22</v>
      </c>
      <c r="J93" s="2">
        <v>100.0</v>
      </c>
      <c r="K93" s="2">
        <v>1.0</v>
      </c>
      <c r="L93" s="2">
        <v>100.0</v>
      </c>
    </row>
    <row r="94">
      <c r="A94" s="6">
        <v>45849.0</v>
      </c>
      <c r="B94" s="2" t="s">
        <v>31</v>
      </c>
      <c r="C94" s="2" t="s">
        <v>16</v>
      </c>
      <c r="D94" s="2" t="s">
        <v>193</v>
      </c>
      <c r="E94" s="2" t="s">
        <v>52</v>
      </c>
      <c r="F94" s="2">
        <v>2.0</v>
      </c>
      <c r="G94" s="2" t="s">
        <v>41</v>
      </c>
      <c r="H94" s="2">
        <v>3.0</v>
      </c>
      <c r="I94" s="2">
        <v>539.0</v>
      </c>
      <c r="J94" s="2">
        <v>0.0</v>
      </c>
      <c r="K94" s="2">
        <v>1.0</v>
      </c>
      <c r="L94" s="2">
        <v>0.0</v>
      </c>
    </row>
    <row r="95">
      <c r="A95" s="6">
        <v>45849.0</v>
      </c>
      <c r="B95" s="2" t="s">
        <v>31</v>
      </c>
      <c r="C95" s="2" t="s">
        <v>16</v>
      </c>
      <c r="D95" s="2" t="s">
        <v>194</v>
      </c>
      <c r="E95" s="2" t="s">
        <v>22</v>
      </c>
      <c r="F95" s="2">
        <v>1.0</v>
      </c>
      <c r="G95" s="2" t="s">
        <v>52</v>
      </c>
      <c r="H95" s="2">
        <v>2.0</v>
      </c>
      <c r="I95" s="2">
        <v>399.0</v>
      </c>
      <c r="J95" s="2">
        <v>0.0</v>
      </c>
      <c r="K95" s="2">
        <v>2.0</v>
      </c>
      <c r="L95" s="2">
        <v>0.0</v>
      </c>
    </row>
    <row r="96">
      <c r="A96" s="6">
        <v>45850.0</v>
      </c>
      <c r="B96" s="2" t="s">
        <v>31</v>
      </c>
      <c r="C96" s="2" t="s">
        <v>16</v>
      </c>
      <c r="D96" s="2" t="s">
        <v>195</v>
      </c>
      <c r="E96" s="2" t="s">
        <v>125</v>
      </c>
      <c r="F96" s="2">
        <v>1.0</v>
      </c>
      <c r="G96" s="2" t="s">
        <v>19</v>
      </c>
      <c r="H96" s="2">
        <v>2.0</v>
      </c>
      <c r="I96" s="2">
        <v>222.07</v>
      </c>
      <c r="J96" s="2">
        <v>0.0</v>
      </c>
      <c r="K96" s="2">
        <v>5.0</v>
      </c>
      <c r="L96" s="2">
        <v>0.0</v>
      </c>
    </row>
    <row r="97">
      <c r="A97" s="6">
        <v>45850.0</v>
      </c>
      <c r="B97" s="2" t="s">
        <v>31</v>
      </c>
      <c r="C97" s="2" t="s">
        <v>16</v>
      </c>
      <c r="D97" s="2" t="s">
        <v>196</v>
      </c>
      <c r="E97" s="2" t="s">
        <v>125</v>
      </c>
      <c r="F97" s="2">
        <v>1.0</v>
      </c>
      <c r="G97" s="2" t="s">
        <v>19</v>
      </c>
      <c r="H97" s="2">
        <v>2.0</v>
      </c>
      <c r="I97" s="2">
        <v>339.0</v>
      </c>
      <c r="J97" s="2">
        <v>0.0</v>
      </c>
      <c r="K97" s="2">
        <v>3.0</v>
      </c>
      <c r="L97" s="2">
        <v>0.0</v>
      </c>
    </row>
    <row r="98">
      <c r="A98" s="6">
        <v>45850.0</v>
      </c>
      <c r="B98" s="2" t="s">
        <v>31</v>
      </c>
      <c r="C98" s="2" t="s">
        <v>16</v>
      </c>
      <c r="D98" s="2" t="s">
        <v>197</v>
      </c>
      <c r="E98" s="2" t="s">
        <v>125</v>
      </c>
      <c r="F98" s="2">
        <v>1.0</v>
      </c>
      <c r="G98" s="2" t="s">
        <v>19</v>
      </c>
      <c r="H98" s="2">
        <v>2.0</v>
      </c>
      <c r="I98" s="2">
        <v>339.0</v>
      </c>
      <c r="J98" s="2">
        <v>0.0</v>
      </c>
      <c r="K98" s="2">
        <v>2.0</v>
      </c>
      <c r="L98" s="2">
        <v>0.0</v>
      </c>
    </row>
    <row r="99">
      <c r="A99" s="6">
        <v>45850.0</v>
      </c>
      <c r="B99" s="2" t="s">
        <v>31</v>
      </c>
      <c r="C99" s="2" t="s">
        <v>16</v>
      </c>
      <c r="D99" s="2" t="s">
        <v>198</v>
      </c>
      <c r="E99" s="2" t="s">
        <v>125</v>
      </c>
      <c r="F99" s="2">
        <v>1.0</v>
      </c>
      <c r="G99" s="2" t="s">
        <v>19</v>
      </c>
      <c r="H99" s="2">
        <v>2.0</v>
      </c>
      <c r="I99" s="2">
        <v>339.0</v>
      </c>
      <c r="J99" s="2">
        <v>0.0</v>
      </c>
      <c r="K99" s="2">
        <v>2.0</v>
      </c>
      <c r="L99" s="2">
        <v>0.0</v>
      </c>
    </row>
    <row r="100">
      <c r="A100" s="6">
        <v>45850.0</v>
      </c>
      <c r="B100" s="2" t="s">
        <v>31</v>
      </c>
      <c r="C100" s="2" t="s">
        <v>16</v>
      </c>
      <c r="D100" s="2" t="s">
        <v>199</v>
      </c>
      <c r="E100" s="2" t="s">
        <v>125</v>
      </c>
      <c r="F100" s="2">
        <v>1.0</v>
      </c>
      <c r="G100" s="2" t="s">
        <v>19</v>
      </c>
      <c r="H100" s="2">
        <v>2.0</v>
      </c>
      <c r="I100" s="2">
        <v>253.26</v>
      </c>
      <c r="J100" s="2">
        <v>0.0</v>
      </c>
      <c r="K100" s="2">
        <v>1.0</v>
      </c>
      <c r="L100" s="2">
        <v>0.0</v>
      </c>
    </row>
    <row r="101">
      <c r="A101" s="6">
        <v>45850.0</v>
      </c>
      <c r="B101" s="2" t="s">
        <v>31</v>
      </c>
      <c r="C101" s="2" t="s">
        <v>16</v>
      </c>
      <c r="D101" s="2" t="s">
        <v>200</v>
      </c>
      <c r="E101" s="2" t="s">
        <v>125</v>
      </c>
      <c r="F101" s="2">
        <v>1.0</v>
      </c>
      <c r="G101" s="2" t="s">
        <v>19</v>
      </c>
      <c r="H101" s="2">
        <v>2.0</v>
      </c>
      <c r="I101" s="2">
        <v>309.0</v>
      </c>
      <c r="J101" s="2">
        <v>0.0</v>
      </c>
      <c r="K101" s="2">
        <v>1.0</v>
      </c>
      <c r="L101" s="2">
        <v>0.0</v>
      </c>
    </row>
    <row r="102">
      <c r="A102" s="6">
        <v>45850.0</v>
      </c>
      <c r="B102" s="2" t="s">
        <v>31</v>
      </c>
      <c r="C102" s="2" t="s">
        <v>16</v>
      </c>
      <c r="D102" s="2" t="s">
        <v>201</v>
      </c>
      <c r="E102" s="2" t="s">
        <v>125</v>
      </c>
      <c r="F102" s="2">
        <v>1.0</v>
      </c>
      <c r="G102" s="2" t="s">
        <v>19</v>
      </c>
      <c r="H102" s="2">
        <v>2.0</v>
      </c>
      <c r="I102" s="2">
        <v>269.0</v>
      </c>
      <c r="J102" s="2">
        <v>0.0</v>
      </c>
      <c r="K102" s="2">
        <v>1.0</v>
      </c>
      <c r="L102" s="2">
        <v>0.0</v>
      </c>
    </row>
    <row r="103">
      <c r="A103" s="6">
        <v>45850.0</v>
      </c>
      <c r="B103" s="2" t="s">
        <v>31</v>
      </c>
      <c r="C103" s="2" t="s">
        <v>16</v>
      </c>
      <c r="D103" s="2" t="s">
        <v>202</v>
      </c>
      <c r="E103" s="2" t="s">
        <v>125</v>
      </c>
      <c r="F103" s="2">
        <v>1.0</v>
      </c>
      <c r="G103" s="2" t="s">
        <v>19</v>
      </c>
      <c r="H103" s="2">
        <v>2.0</v>
      </c>
      <c r="I103" s="2">
        <v>269.0</v>
      </c>
      <c r="J103" s="2">
        <v>0.0</v>
      </c>
      <c r="K103" s="2">
        <v>1.0</v>
      </c>
      <c r="L103" s="2">
        <v>0.0</v>
      </c>
    </row>
    <row r="104">
      <c r="A104" s="6">
        <v>45850.0</v>
      </c>
      <c r="B104" s="2" t="s">
        <v>31</v>
      </c>
      <c r="C104" s="2" t="s">
        <v>16</v>
      </c>
      <c r="D104" s="2" t="s">
        <v>203</v>
      </c>
      <c r="E104" s="2" t="s">
        <v>125</v>
      </c>
      <c r="F104" s="2">
        <v>1.0</v>
      </c>
      <c r="G104" s="2" t="s">
        <v>19</v>
      </c>
      <c r="H104" s="2">
        <v>2.0</v>
      </c>
      <c r="I104" s="2">
        <v>269.0</v>
      </c>
      <c r="J104" s="2">
        <v>0.0</v>
      </c>
      <c r="K104" s="2">
        <v>2.0</v>
      </c>
      <c r="L104" s="2">
        <v>0.0</v>
      </c>
    </row>
    <row r="105">
      <c r="A105" s="6">
        <v>45850.0</v>
      </c>
      <c r="B105" s="2" t="s">
        <v>31</v>
      </c>
      <c r="C105" s="2" t="s">
        <v>16</v>
      </c>
      <c r="D105" s="2" t="s">
        <v>204</v>
      </c>
      <c r="E105" s="2" t="s">
        <v>125</v>
      </c>
      <c r="F105" s="2">
        <v>1.0</v>
      </c>
      <c r="G105" s="2" t="s">
        <v>19</v>
      </c>
      <c r="H105" s="2">
        <v>2.0</v>
      </c>
      <c r="I105" s="2">
        <v>259.0</v>
      </c>
      <c r="J105" s="2">
        <v>0.0</v>
      </c>
      <c r="K105" s="2">
        <v>3.0</v>
      </c>
      <c r="L105" s="2">
        <v>0.0</v>
      </c>
    </row>
    <row r="106">
      <c r="A106" s="6">
        <v>45850.0</v>
      </c>
      <c r="B106" s="2" t="s">
        <v>31</v>
      </c>
      <c r="C106" s="2" t="s">
        <v>16</v>
      </c>
      <c r="D106" s="2" t="s">
        <v>205</v>
      </c>
      <c r="E106" s="2" t="s">
        <v>125</v>
      </c>
      <c r="F106" s="2">
        <v>1.0</v>
      </c>
      <c r="G106" s="2" t="s">
        <v>19</v>
      </c>
      <c r="H106" s="2">
        <v>2.0</v>
      </c>
      <c r="I106" s="2">
        <v>259.0</v>
      </c>
      <c r="J106" s="2">
        <v>0.0</v>
      </c>
      <c r="K106" s="2">
        <v>2.0</v>
      </c>
      <c r="L106" s="2">
        <v>0.0</v>
      </c>
    </row>
    <row r="107">
      <c r="A107" s="6">
        <v>45850.0</v>
      </c>
      <c r="B107" s="2" t="s">
        <v>31</v>
      </c>
      <c r="C107" s="2" t="s">
        <v>16</v>
      </c>
      <c r="D107" s="2" t="s">
        <v>206</v>
      </c>
      <c r="E107" s="2" t="s">
        <v>125</v>
      </c>
      <c r="F107" s="2">
        <v>1.0</v>
      </c>
      <c r="G107" s="2" t="s">
        <v>19</v>
      </c>
      <c r="H107" s="2">
        <v>2.0</v>
      </c>
      <c r="I107" s="2">
        <v>259.0</v>
      </c>
      <c r="J107" s="2">
        <v>0.0</v>
      </c>
      <c r="K107" s="2">
        <v>2.0</v>
      </c>
      <c r="L107" s="2">
        <v>0.0</v>
      </c>
    </row>
    <row r="108">
      <c r="A108" s="6">
        <v>45850.0</v>
      </c>
      <c r="B108" s="2" t="s">
        <v>31</v>
      </c>
      <c r="C108" s="2" t="s">
        <v>16</v>
      </c>
      <c r="D108" s="2" t="s">
        <v>207</v>
      </c>
      <c r="E108" s="2" t="s">
        <v>125</v>
      </c>
      <c r="F108" s="2">
        <v>1.0</v>
      </c>
      <c r="G108" s="2" t="s">
        <v>19</v>
      </c>
      <c r="H108" s="2">
        <v>2.0</v>
      </c>
      <c r="I108" s="2">
        <v>266.49</v>
      </c>
      <c r="J108" s="2">
        <v>0.0</v>
      </c>
      <c r="K108" s="2">
        <v>5.0</v>
      </c>
      <c r="L108" s="2">
        <v>0.0</v>
      </c>
    </row>
    <row r="109">
      <c r="A109" s="6">
        <v>45851.0</v>
      </c>
      <c r="B109" s="2"/>
      <c r="C109" s="2" t="s">
        <v>39</v>
      </c>
      <c r="D109" s="2" t="s">
        <v>208</v>
      </c>
      <c r="E109" s="2" t="s">
        <v>18</v>
      </c>
      <c r="F109" s="2">
        <v>1.0</v>
      </c>
      <c r="G109" s="2" t="s">
        <v>52</v>
      </c>
      <c r="H109" s="2">
        <v>2.0</v>
      </c>
      <c r="I109" s="2">
        <v>314.25</v>
      </c>
      <c r="J109" s="2">
        <v>50.0</v>
      </c>
      <c r="K109" s="2">
        <v>3.0</v>
      </c>
      <c r="L109" s="2">
        <v>150.0</v>
      </c>
    </row>
    <row r="110">
      <c r="A110" s="6">
        <v>45851.0</v>
      </c>
      <c r="B110" s="2" t="s">
        <v>209</v>
      </c>
      <c r="C110" s="2" t="s">
        <v>16</v>
      </c>
      <c r="D110" s="2" t="s">
        <v>210</v>
      </c>
      <c r="E110" s="2" t="s">
        <v>22</v>
      </c>
      <c r="F110" s="2">
        <v>1.0</v>
      </c>
      <c r="G110" s="2" t="s">
        <v>77</v>
      </c>
      <c r="H110" s="2">
        <v>3.0</v>
      </c>
      <c r="I110" s="2">
        <v>321.75</v>
      </c>
      <c r="J110" s="2">
        <v>0.0</v>
      </c>
      <c r="K110" s="2">
        <v>1.0</v>
      </c>
      <c r="L110" s="2">
        <v>0.0</v>
      </c>
    </row>
    <row r="111">
      <c r="A111" s="6">
        <v>45851.0</v>
      </c>
      <c r="B111" s="2" t="s">
        <v>211</v>
      </c>
      <c r="C111" s="2" t="s">
        <v>16</v>
      </c>
      <c r="D111" s="2" t="s">
        <v>212</v>
      </c>
      <c r="E111" s="2" t="s">
        <v>22</v>
      </c>
      <c r="F111" s="2">
        <v>1.0</v>
      </c>
      <c r="G111" s="2" t="s">
        <v>19</v>
      </c>
      <c r="H111" s="2">
        <v>2.0</v>
      </c>
      <c r="I111" s="2">
        <v>321.75</v>
      </c>
      <c r="J111" s="2">
        <v>0.0</v>
      </c>
      <c r="K111" s="2">
        <v>1.0</v>
      </c>
      <c r="L111" s="2">
        <v>0.0</v>
      </c>
    </row>
    <row r="112">
      <c r="A112" s="6">
        <v>45851.0</v>
      </c>
      <c r="B112" s="2" t="s">
        <v>211</v>
      </c>
      <c r="C112" s="2" t="s">
        <v>16</v>
      </c>
      <c r="D112" s="2" t="s">
        <v>213</v>
      </c>
      <c r="E112" s="2" t="s">
        <v>52</v>
      </c>
      <c r="F112" s="2">
        <v>2.0</v>
      </c>
      <c r="G112" s="2" t="s">
        <v>77</v>
      </c>
      <c r="H112" s="2">
        <v>3.0</v>
      </c>
      <c r="I112" s="2">
        <v>229.63</v>
      </c>
      <c r="J112" s="2">
        <v>0.0</v>
      </c>
      <c r="K112" s="2">
        <v>1.0</v>
      </c>
      <c r="L112" s="2">
        <v>0.0</v>
      </c>
    </row>
    <row r="113">
      <c r="A113" s="6">
        <v>45851.0</v>
      </c>
      <c r="B113" s="2" t="s">
        <v>56</v>
      </c>
      <c r="C113" s="2" t="s">
        <v>16</v>
      </c>
      <c r="D113" s="2" t="s">
        <v>214</v>
      </c>
      <c r="E113" s="2" t="s">
        <v>22</v>
      </c>
      <c r="F113" s="2">
        <v>1.0</v>
      </c>
      <c r="G113" s="2" t="s">
        <v>28</v>
      </c>
      <c r="H113" s="2">
        <v>3.0</v>
      </c>
      <c r="I113" s="2">
        <v>0.0</v>
      </c>
      <c r="J113" s="2">
        <v>0.0</v>
      </c>
      <c r="K113" s="2">
        <v>2.0</v>
      </c>
      <c r="L113" s="2">
        <v>0.0</v>
      </c>
    </row>
    <row r="114">
      <c r="A114" s="6">
        <v>45851.0</v>
      </c>
      <c r="B114" s="2" t="s">
        <v>56</v>
      </c>
      <c r="C114" s="2" t="s">
        <v>16</v>
      </c>
      <c r="D114" s="2" t="s">
        <v>215</v>
      </c>
      <c r="E114" s="2" t="s">
        <v>125</v>
      </c>
      <c r="F114" s="2">
        <v>1.0</v>
      </c>
      <c r="G114" s="2" t="s">
        <v>19</v>
      </c>
      <c r="H114" s="2">
        <v>2.0</v>
      </c>
      <c r="I114" s="2">
        <v>189.0</v>
      </c>
      <c r="J114" s="2">
        <v>0.0</v>
      </c>
      <c r="K114" s="2">
        <v>1.0</v>
      </c>
      <c r="L114" s="2">
        <v>0.0</v>
      </c>
    </row>
    <row r="115">
      <c r="A115" s="6">
        <v>45851.0</v>
      </c>
      <c r="B115" s="2" t="s">
        <v>211</v>
      </c>
      <c r="C115" s="2" t="s">
        <v>16</v>
      </c>
      <c r="D115" s="2" t="s">
        <v>216</v>
      </c>
      <c r="E115" s="2" t="s">
        <v>38</v>
      </c>
      <c r="F115" s="2">
        <v>1.0</v>
      </c>
      <c r="G115" s="2" t="s">
        <v>25</v>
      </c>
      <c r="H115" s="2">
        <v>3.0</v>
      </c>
      <c r="I115" s="2">
        <v>189.0</v>
      </c>
      <c r="J115" s="2">
        <v>0.0</v>
      </c>
      <c r="K115" s="2">
        <v>1.0</v>
      </c>
      <c r="L115" s="2">
        <v>0.0</v>
      </c>
    </row>
    <row r="116">
      <c r="A116" s="6">
        <v>45852.0</v>
      </c>
      <c r="B116" s="2"/>
      <c r="C116" s="2" t="s">
        <v>39</v>
      </c>
      <c r="D116" s="2" t="s">
        <v>217</v>
      </c>
      <c r="E116" s="2" t="s">
        <v>38</v>
      </c>
      <c r="F116" s="2">
        <v>1.0</v>
      </c>
      <c r="G116" s="2" t="s">
        <v>19</v>
      </c>
      <c r="H116" s="2">
        <v>2.0</v>
      </c>
      <c r="I116" s="2">
        <v>319.2</v>
      </c>
      <c r="J116" s="2">
        <v>50.0</v>
      </c>
      <c r="K116" s="2">
        <v>2.0</v>
      </c>
      <c r="L116" s="2">
        <v>100.0</v>
      </c>
    </row>
    <row r="117">
      <c r="A117" s="6">
        <v>45852.0</v>
      </c>
      <c r="B117" s="2"/>
      <c r="C117" s="2" t="s">
        <v>39</v>
      </c>
      <c r="D117" s="2" t="s">
        <v>218</v>
      </c>
      <c r="E117" s="2" t="s">
        <v>52</v>
      </c>
      <c r="F117" s="2">
        <v>2.0</v>
      </c>
      <c r="G117" s="2" t="s">
        <v>85</v>
      </c>
      <c r="H117" s="2">
        <v>3.0</v>
      </c>
      <c r="I117" s="2">
        <v>237.72</v>
      </c>
      <c r="J117" s="2">
        <v>50.0</v>
      </c>
      <c r="K117" s="2">
        <v>2.0</v>
      </c>
      <c r="L117" s="2">
        <v>100.0</v>
      </c>
    </row>
    <row r="118">
      <c r="A118" s="6">
        <v>45852.0</v>
      </c>
      <c r="B118" s="2" t="s">
        <v>56</v>
      </c>
      <c r="C118" s="2" t="s">
        <v>16</v>
      </c>
      <c r="D118" s="2" t="s">
        <v>219</v>
      </c>
      <c r="E118" s="2" t="s">
        <v>22</v>
      </c>
      <c r="F118" s="2">
        <v>1.0</v>
      </c>
      <c r="G118" s="2" t="s">
        <v>19</v>
      </c>
      <c r="H118" s="2">
        <v>2.0</v>
      </c>
      <c r="I118" s="2">
        <v>189.0</v>
      </c>
      <c r="J118" s="2">
        <v>0.0</v>
      </c>
      <c r="K118" s="2">
        <v>1.0</v>
      </c>
      <c r="L118" s="2">
        <v>0.0</v>
      </c>
    </row>
    <row r="119">
      <c r="A119" s="6">
        <v>45852.0</v>
      </c>
      <c r="B119" s="2" t="s">
        <v>209</v>
      </c>
      <c r="C119" s="2" t="s">
        <v>16</v>
      </c>
      <c r="D119" s="2" t="s">
        <v>220</v>
      </c>
      <c r="E119" s="2" t="s">
        <v>22</v>
      </c>
      <c r="F119" s="2">
        <v>1.0</v>
      </c>
      <c r="G119" s="2" t="s">
        <v>77</v>
      </c>
      <c r="H119" s="2">
        <v>3.0</v>
      </c>
      <c r="I119" s="2">
        <v>306.75</v>
      </c>
      <c r="J119" s="2">
        <v>0.0</v>
      </c>
      <c r="K119" s="2">
        <v>1.0</v>
      </c>
      <c r="L119" s="2">
        <v>0.0</v>
      </c>
    </row>
    <row r="120">
      <c r="A120" s="6">
        <v>45852.0</v>
      </c>
      <c r="B120" s="2" t="s">
        <v>56</v>
      </c>
      <c r="C120" s="2" t="s">
        <v>16</v>
      </c>
      <c r="D120" s="2" t="s">
        <v>221</v>
      </c>
      <c r="E120" s="2" t="s">
        <v>19</v>
      </c>
      <c r="F120" s="2">
        <v>2.0</v>
      </c>
      <c r="G120" s="2" t="s">
        <v>34</v>
      </c>
      <c r="H120" s="2">
        <v>3.0</v>
      </c>
      <c r="I120" s="2">
        <v>189.0</v>
      </c>
      <c r="J120" s="2">
        <v>0.0</v>
      </c>
      <c r="K120" s="2">
        <v>1.0</v>
      </c>
      <c r="L120" s="2">
        <v>0.0</v>
      </c>
    </row>
    <row r="121">
      <c r="A121" s="6">
        <v>45853.0</v>
      </c>
      <c r="B121" s="2" t="s">
        <v>31</v>
      </c>
      <c r="C121" s="2" t="s">
        <v>16</v>
      </c>
      <c r="D121" s="2" t="s">
        <v>222</v>
      </c>
      <c r="E121" s="2" t="s">
        <v>223</v>
      </c>
      <c r="F121" s="2">
        <v>1.0</v>
      </c>
      <c r="G121" s="2" t="s">
        <v>25</v>
      </c>
      <c r="H121" s="2">
        <v>3.0</v>
      </c>
      <c r="I121" s="2">
        <v>689.0</v>
      </c>
      <c r="J121" s="2">
        <v>0.0</v>
      </c>
      <c r="K121" s="2">
        <v>2.0</v>
      </c>
      <c r="L121" s="2">
        <v>0.0</v>
      </c>
    </row>
    <row r="122">
      <c r="A122" s="6">
        <v>45853.0</v>
      </c>
      <c r="B122" s="2" t="s">
        <v>209</v>
      </c>
      <c r="C122" s="2" t="s">
        <v>16</v>
      </c>
      <c r="D122" s="2" t="s">
        <v>224</v>
      </c>
      <c r="E122" s="2" t="s">
        <v>38</v>
      </c>
      <c r="F122" s="2">
        <v>1.0</v>
      </c>
      <c r="G122" s="2" t="s">
        <v>19</v>
      </c>
      <c r="H122" s="2">
        <v>2.0</v>
      </c>
      <c r="I122" s="2">
        <v>243.65</v>
      </c>
      <c r="J122" s="2">
        <v>0.0</v>
      </c>
      <c r="K122" s="2">
        <v>1.0</v>
      </c>
      <c r="L122" s="2">
        <v>0.0</v>
      </c>
    </row>
    <row r="123">
      <c r="A123" s="6">
        <v>45853.0</v>
      </c>
      <c r="B123" s="2" t="s">
        <v>15</v>
      </c>
      <c r="C123" s="2" t="s">
        <v>16</v>
      </c>
      <c r="D123" s="2" t="s">
        <v>227</v>
      </c>
      <c r="E123" s="2" t="s">
        <v>38</v>
      </c>
      <c r="F123" s="2">
        <v>1.0</v>
      </c>
      <c r="G123" s="2" t="s">
        <v>19</v>
      </c>
      <c r="H123" s="2">
        <v>2.0</v>
      </c>
      <c r="I123" s="2">
        <v>395.1</v>
      </c>
      <c r="J123" s="2">
        <v>0.0</v>
      </c>
      <c r="K123" s="2">
        <v>3.0</v>
      </c>
      <c r="L123" s="2">
        <v>0.0</v>
      </c>
    </row>
    <row r="124">
      <c r="A124" s="6">
        <v>45854.0</v>
      </c>
      <c r="B124" s="2" t="s">
        <v>31</v>
      </c>
      <c r="C124" s="2" t="s">
        <v>16</v>
      </c>
      <c r="D124" s="2" t="s">
        <v>234</v>
      </c>
      <c r="E124" s="2" t="s">
        <v>22</v>
      </c>
      <c r="F124" s="2">
        <v>1.0</v>
      </c>
      <c r="G124" s="2" t="s">
        <v>52</v>
      </c>
      <c r="H124" s="2">
        <v>2.0</v>
      </c>
      <c r="I124" s="2">
        <v>390.15</v>
      </c>
      <c r="J124" s="2">
        <v>0.0</v>
      </c>
      <c r="K124" s="2">
        <v>4.0</v>
      </c>
      <c r="L124" s="2">
        <v>0.0</v>
      </c>
    </row>
    <row r="125">
      <c r="A125" s="6">
        <v>45854.0</v>
      </c>
      <c r="B125" s="2" t="s">
        <v>235</v>
      </c>
      <c r="C125" s="2" t="s">
        <v>16</v>
      </c>
      <c r="D125" s="2" t="s">
        <v>235</v>
      </c>
      <c r="E125" s="2" t="s">
        <v>22</v>
      </c>
      <c r="F125" s="2">
        <v>1.0</v>
      </c>
      <c r="G125" s="2" t="s">
        <v>52</v>
      </c>
      <c r="H125" s="2">
        <v>2.0</v>
      </c>
      <c r="I125" s="2">
        <v>0.0</v>
      </c>
      <c r="J125" s="2">
        <v>0.0</v>
      </c>
      <c r="K125" s="2">
        <v>2.0</v>
      </c>
      <c r="L125" s="2">
        <v>0.0</v>
      </c>
    </row>
    <row r="126">
      <c r="A126" s="6">
        <v>45854.0</v>
      </c>
      <c r="B126" s="2" t="s">
        <v>237</v>
      </c>
      <c r="C126" s="2" t="s">
        <v>16</v>
      </c>
      <c r="D126" s="2" t="s">
        <v>239</v>
      </c>
      <c r="E126" s="2" t="s">
        <v>19</v>
      </c>
      <c r="F126" s="2">
        <v>2.0</v>
      </c>
      <c r="G126" s="2" t="s">
        <v>34</v>
      </c>
      <c r="H126" s="2">
        <v>3.0</v>
      </c>
      <c r="I126" s="2">
        <v>311.51</v>
      </c>
      <c r="J126" s="2">
        <v>50.0</v>
      </c>
      <c r="K126" s="2">
        <v>2.0</v>
      </c>
      <c r="L126" s="2">
        <v>100.0</v>
      </c>
    </row>
    <row r="127">
      <c r="A127" s="6">
        <v>45854.0</v>
      </c>
      <c r="B127" s="2" t="s">
        <v>237</v>
      </c>
      <c r="C127" s="2" t="s">
        <v>16</v>
      </c>
      <c r="D127" s="2" t="s">
        <v>243</v>
      </c>
      <c r="E127" s="2" t="s">
        <v>19</v>
      </c>
      <c r="F127" s="2">
        <v>2.0</v>
      </c>
      <c r="G127" s="2" t="s">
        <v>34</v>
      </c>
      <c r="H127" s="2">
        <v>3.0</v>
      </c>
      <c r="I127" s="2">
        <v>311.51</v>
      </c>
      <c r="J127" s="2">
        <v>50.0</v>
      </c>
      <c r="K127" s="2">
        <v>2.0</v>
      </c>
      <c r="L127" s="2">
        <v>100.0</v>
      </c>
    </row>
    <row r="128">
      <c r="A128" s="6">
        <v>45854.0</v>
      </c>
      <c r="B128" s="2"/>
      <c r="C128" s="2" t="s">
        <v>39</v>
      </c>
      <c r="D128" s="2" t="s">
        <v>244</v>
      </c>
      <c r="E128" s="2" t="s">
        <v>22</v>
      </c>
      <c r="F128" s="2">
        <v>1.0</v>
      </c>
      <c r="G128" s="2" t="s">
        <v>52</v>
      </c>
      <c r="H128" s="2">
        <v>2.0</v>
      </c>
      <c r="I128" s="2">
        <v>386.1</v>
      </c>
      <c r="J128" s="2">
        <v>50.0</v>
      </c>
      <c r="K128" s="2">
        <v>1.0</v>
      </c>
      <c r="L128" s="2">
        <v>50.0</v>
      </c>
    </row>
    <row r="129">
      <c r="A129" s="6">
        <v>45854.0</v>
      </c>
      <c r="B129" s="2" t="s">
        <v>237</v>
      </c>
      <c r="C129" s="2" t="s">
        <v>16</v>
      </c>
      <c r="D129" s="2" t="s">
        <v>245</v>
      </c>
      <c r="E129" s="2" t="s">
        <v>223</v>
      </c>
      <c r="F129" s="2">
        <v>1.0</v>
      </c>
      <c r="G129" s="2" t="s">
        <v>88</v>
      </c>
      <c r="H129" s="2">
        <v>3.0</v>
      </c>
      <c r="I129" s="2">
        <v>620.1</v>
      </c>
      <c r="J129" s="2">
        <v>80.0</v>
      </c>
      <c r="K129" s="2">
        <v>2.0</v>
      </c>
      <c r="L129" s="2">
        <v>160.0</v>
      </c>
    </row>
    <row r="130">
      <c r="A130" s="6">
        <v>45854.0</v>
      </c>
      <c r="B130" s="2" t="s">
        <v>237</v>
      </c>
      <c r="C130" s="2" t="s">
        <v>16</v>
      </c>
      <c r="D130" s="2" t="s">
        <v>247</v>
      </c>
      <c r="E130" s="2" t="s">
        <v>22</v>
      </c>
      <c r="F130" s="2">
        <v>1.0</v>
      </c>
      <c r="G130" s="2" t="s">
        <v>52</v>
      </c>
      <c r="H130" s="2">
        <v>2.0</v>
      </c>
      <c r="I130" s="2">
        <v>235.88</v>
      </c>
      <c r="J130" s="2">
        <v>50.0</v>
      </c>
      <c r="K130" s="2">
        <v>2.0</v>
      </c>
      <c r="L130" s="2">
        <v>100.0</v>
      </c>
    </row>
    <row r="131">
      <c r="A131" s="6">
        <v>45854.0</v>
      </c>
      <c r="B131" s="2" t="s">
        <v>237</v>
      </c>
      <c r="C131" s="2" t="s">
        <v>16</v>
      </c>
      <c r="D131" s="2" t="s">
        <v>247</v>
      </c>
      <c r="E131" s="2" t="s">
        <v>52</v>
      </c>
      <c r="F131" s="2">
        <v>2.0</v>
      </c>
      <c r="G131" s="2" t="s">
        <v>77</v>
      </c>
      <c r="H131" s="2">
        <v>3.0</v>
      </c>
      <c r="I131" s="2">
        <v>235.88</v>
      </c>
      <c r="J131" s="2">
        <v>0.0</v>
      </c>
      <c r="K131" s="2">
        <v>2.0</v>
      </c>
      <c r="L131" s="2">
        <v>0.0</v>
      </c>
    </row>
    <row r="132">
      <c r="A132" s="6">
        <v>45854.0</v>
      </c>
      <c r="B132" s="2" t="s">
        <v>31</v>
      </c>
      <c r="C132" s="2" t="s">
        <v>16</v>
      </c>
      <c r="D132" s="2" t="s">
        <v>204</v>
      </c>
      <c r="E132" s="2" t="s">
        <v>52</v>
      </c>
      <c r="F132" s="2">
        <v>2.0</v>
      </c>
      <c r="G132" s="2" t="s">
        <v>77</v>
      </c>
      <c r="H132" s="2">
        <v>3.0</v>
      </c>
      <c r="I132" s="2">
        <v>189.0</v>
      </c>
      <c r="J132" s="2">
        <v>0.0</v>
      </c>
      <c r="K132" s="2">
        <v>5.0</v>
      </c>
      <c r="L132" s="2">
        <v>0.0</v>
      </c>
    </row>
    <row r="133">
      <c r="A133" s="6">
        <v>45854.0</v>
      </c>
      <c r="B133" s="2" t="s">
        <v>209</v>
      </c>
      <c r="C133" s="2" t="s">
        <v>16</v>
      </c>
      <c r="D133" s="2" t="s">
        <v>249</v>
      </c>
      <c r="E133" s="2" t="s">
        <v>18</v>
      </c>
      <c r="F133" s="2">
        <v>1.0</v>
      </c>
      <c r="G133" s="2" t="s">
        <v>52</v>
      </c>
      <c r="H133" s="2">
        <v>2.0</v>
      </c>
      <c r="I133" s="2">
        <v>233.38</v>
      </c>
      <c r="J133" s="2">
        <v>0.0</v>
      </c>
      <c r="K133" s="2">
        <v>1.0</v>
      </c>
      <c r="L133" s="2">
        <v>0.0</v>
      </c>
    </row>
    <row r="134">
      <c r="A134" s="6">
        <v>45854.0</v>
      </c>
      <c r="B134" s="2" t="s">
        <v>209</v>
      </c>
      <c r="C134" s="2" t="s">
        <v>16</v>
      </c>
      <c r="D134" s="2" t="s">
        <v>249</v>
      </c>
      <c r="E134" s="2" t="s">
        <v>52</v>
      </c>
      <c r="F134" s="2">
        <v>2.0</v>
      </c>
      <c r="G134" s="2" t="s">
        <v>77</v>
      </c>
      <c r="H134" s="2">
        <v>3.0</v>
      </c>
      <c r="I134" s="2">
        <v>233.38</v>
      </c>
      <c r="J134" s="2">
        <v>0.0</v>
      </c>
      <c r="K134" s="2">
        <v>1.0</v>
      </c>
      <c r="L134" s="2">
        <v>0.0</v>
      </c>
    </row>
    <row r="135">
      <c r="A135" s="6">
        <v>45854.0</v>
      </c>
      <c r="B135" s="2" t="s">
        <v>209</v>
      </c>
      <c r="C135" s="2" t="s">
        <v>16</v>
      </c>
      <c r="D135" s="2" t="s">
        <v>250</v>
      </c>
      <c r="E135" s="2" t="s">
        <v>19</v>
      </c>
      <c r="F135" s="2">
        <v>2.0</v>
      </c>
      <c r="G135" s="2" t="s">
        <v>85</v>
      </c>
      <c r="H135" s="2">
        <v>3.0</v>
      </c>
      <c r="I135" s="2">
        <v>189.0</v>
      </c>
      <c r="J135" s="2">
        <v>0.0</v>
      </c>
      <c r="K135" s="2">
        <v>1.0</v>
      </c>
      <c r="L135" s="2">
        <v>0.0</v>
      </c>
    </row>
    <row r="136">
      <c r="A136" s="6">
        <v>45855.0</v>
      </c>
      <c r="B136" s="2" t="s">
        <v>251</v>
      </c>
      <c r="C136" s="2" t="s">
        <v>16</v>
      </c>
      <c r="D136" s="2" t="s">
        <v>252</v>
      </c>
      <c r="E136" s="2" t="s">
        <v>52</v>
      </c>
      <c r="F136" s="2">
        <v>2.0</v>
      </c>
      <c r="G136" s="2" t="s">
        <v>77</v>
      </c>
      <c r="H136" s="2">
        <v>3.0</v>
      </c>
      <c r="I136" s="2">
        <v>253.07</v>
      </c>
      <c r="J136" s="2">
        <v>0.0</v>
      </c>
      <c r="K136" s="2">
        <v>2.0</v>
      </c>
      <c r="L136" s="2">
        <v>0.0</v>
      </c>
    </row>
    <row r="137">
      <c r="A137" s="6">
        <v>45855.0</v>
      </c>
      <c r="B137" s="2" t="s">
        <v>152</v>
      </c>
      <c r="C137" s="2" t="s">
        <v>16</v>
      </c>
      <c r="D137" s="2" t="s">
        <v>253</v>
      </c>
      <c r="E137" s="2" t="s">
        <v>38</v>
      </c>
      <c r="F137" s="2">
        <v>1.0</v>
      </c>
      <c r="G137" s="2" t="s">
        <v>34</v>
      </c>
      <c r="H137" s="2">
        <v>3.0</v>
      </c>
      <c r="I137" s="2">
        <v>0.0</v>
      </c>
      <c r="J137" s="2">
        <v>0.0</v>
      </c>
      <c r="K137" s="2">
        <v>1.0</v>
      </c>
      <c r="L137" s="2">
        <v>0.0</v>
      </c>
    </row>
    <row r="138">
      <c r="A138" s="6">
        <v>45855.0</v>
      </c>
      <c r="B138" s="2" t="s">
        <v>237</v>
      </c>
      <c r="C138" s="2" t="s">
        <v>16</v>
      </c>
      <c r="D138" s="2" t="s">
        <v>254</v>
      </c>
      <c r="E138" s="2" t="s">
        <v>22</v>
      </c>
      <c r="F138" s="2">
        <v>1.0</v>
      </c>
      <c r="G138" s="2" t="s">
        <v>85</v>
      </c>
      <c r="H138" s="2">
        <v>3.0</v>
      </c>
      <c r="I138" s="2">
        <v>206.04</v>
      </c>
      <c r="J138" s="2">
        <v>100.0</v>
      </c>
      <c r="K138" s="2">
        <v>1.0</v>
      </c>
      <c r="L138" s="2">
        <v>100.0</v>
      </c>
    </row>
    <row r="139">
      <c r="A139" s="6">
        <v>45855.0</v>
      </c>
      <c r="B139" s="2"/>
      <c r="C139" s="2" t="s">
        <v>39</v>
      </c>
      <c r="D139" s="2" t="s">
        <v>255</v>
      </c>
      <c r="E139" s="2" t="s">
        <v>22</v>
      </c>
      <c r="F139" s="2">
        <v>1.0</v>
      </c>
      <c r="G139" s="2" t="s">
        <v>19</v>
      </c>
      <c r="H139" s="2">
        <v>2.0</v>
      </c>
      <c r="I139" s="2">
        <v>539.1</v>
      </c>
      <c r="J139" s="2">
        <v>50.0</v>
      </c>
      <c r="K139" s="2">
        <v>1.0</v>
      </c>
      <c r="L139" s="2">
        <v>50.0</v>
      </c>
    </row>
    <row r="140">
      <c r="A140" s="6">
        <v>45855.0</v>
      </c>
      <c r="B140" s="2" t="s">
        <v>20</v>
      </c>
      <c r="C140" s="2" t="s">
        <v>16</v>
      </c>
      <c r="D140" s="2" t="s">
        <v>256</v>
      </c>
      <c r="E140" s="2" t="s">
        <v>18</v>
      </c>
      <c r="F140" s="2">
        <v>1.0</v>
      </c>
      <c r="G140" s="2" t="s">
        <v>34</v>
      </c>
      <c r="H140" s="2">
        <v>3.0</v>
      </c>
      <c r="I140" s="2">
        <v>189.0</v>
      </c>
      <c r="J140" s="2">
        <v>0.0</v>
      </c>
      <c r="K140" s="2">
        <v>1.0</v>
      </c>
      <c r="L140" s="2">
        <v>0.0</v>
      </c>
    </row>
    <row r="141">
      <c r="A141" s="6">
        <v>45856.0</v>
      </c>
      <c r="B141" s="2" t="s">
        <v>31</v>
      </c>
      <c r="C141" s="2" t="s">
        <v>16</v>
      </c>
      <c r="D141" s="2" t="s">
        <v>257</v>
      </c>
      <c r="E141" s="2" t="s">
        <v>22</v>
      </c>
      <c r="F141" s="2">
        <v>1.0</v>
      </c>
      <c r="G141" s="2" t="s">
        <v>52</v>
      </c>
      <c r="H141" s="2">
        <v>2.0</v>
      </c>
      <c r="I141" s="2">
        <v>323.46</v>
      </c>
      <c r="J141" s="2">
        <v>0.0</v>
      </c>
      <c r="K141" s="2">
        <v>1.0</v>
      </c>
      <c r="L141" s="2">
        <v>0.0</v>
      </c>
    </row>
    <row r="142">
      <c r="A142" s="6">
        <v>45856.0</v>
      </c>
      <c r="B142" s="2" t="s">
        <v>56</v>
      </c>
      <c r="C142" s="2" t="s">
        <v>16</v>
      </c>
      <c r="D142" s="2" t="s">
        <v>258</v>
      </c>
      <c r="E142" s="2" t="s">
        <v>259</v>
      </c>
      <c r="F142" s="2">
        <v>1.0</v>
      </c>
      <c r="G142" s="2" t="s">
        <v>49</v>
      </c>
      <c r="H142" s="2">
        <v>2.0</v>
      </c>
      <c r="I142" s="2">
        <v>519.44</v>
      </c>
      <c r="J142" s="2">
        <v>0.0</v>
      </c>
      <c r="K142" s="2">
        <v>1.0</v>
      </c>
      <c r="L142" s="2">
        <v>0.0</v>
      </c>
    </row>
    <row r="143">
      <c r="A143" s="6">
        <v>45857.0</v>
      </c>
      <c r="B143" s="2" t="s">
        <v>260</v>
      </c>
      <c r="C143" s="2" t="s">
        <v>16</v>
      </c>
      <c r="D143" s="2" t="s">
        <v>253</v>
      </c>
      <c r="E143" s="2" t="s">
        <v>38</v>
      </c>
      <c r="F143" s="2">
        <v>1.0</v>
      </c>
      <c r="G143" s="2" t="s">
        <v>34</v>
      </c>
      <c r="H143" s="2">
        <v>3.0</v>
      </c>
      <c r="I143" s="2">
        <v>0.0</v>
      </c>
      <c r="J143" s="2">
        <v>0.0</v>
      </c>
      <c r="K143" s="2">
        <v>1.0</v>
      </c>
      <c r="L143" s="2">
        <v>0.0</v>
      </c>
    </row>
    <row r="144">
      <c r="A144" s="6">
        <v>45857.0</v>
      </c>
      <c r="B144" s="2" t="s">
        <v>56</v>
      </c>
      <c r="C144" s="2" t="s">
        <v>16</v>
      </c>
      <c r="D144" s="2" t="s">
        <v>261</v>
      </c>
      <c r="E144" s="2" t="s">
        <v>125</v>
      </c>
      <c r="F144" s="2">
        <v>1.0</v>
      </c>
      <c r="G144" s="2" t="s">
        <v>52</v>
      </c>
      <c r="H144" s="2">
        <v>2.0</v>
      </c>
      <c r="I144" s="2">
        <v>443.45</v>
      </c>
      <c r="J144" s="2">
        <v>0.0</v>
      </c>
      <c r="K144" s="2">
        <v>1.0</v>
      </c>
      <c r="L144" s="2">
        <v>0.0</v>
      </c>
    </row>
    <row r="145">
      <c r="A145" s="6">
        <v>45857.0</v>
      </c>
      <c r="B145" s="2" t="s">
        <v>56</v>
      </c>
      <c r="C145" s="2" t="s">
        <v>16</v>
      </c>
      <c r="D145" s="2" t="s">
        <v>262</v>
      </c>
      <c r="E145" s="2" t="s">
        <v>22</v>
      </c>
      <c r="F145" s="2">
        <v>1.0</v>
      </c>
      <c r="G145" s="2" t="s">
        <v>52</v>
      </c>
      <c r="H145" s="2">
        <v>2.0</v>
      </c>
      <c r="I145" s="2">
        <v>409.68</v>
      </c>
      <c r="J145" s="2">
        <v>0.0</v>
      </c>
      <c r="K145" s="2">
        <v>4.0</v>
      </c>
      <c r="L145" s="2">
        <v>0.0</v>
      </c>
    </row>
    <row r="146">
      <c r="A146" s="6">
        <v>45857.0</v>
      </c>
      <c r="B146" s="2"/>
      <c r="C146" s="2" t="s">
        <v>39</v>
      </c>
      <c r="D146" s="2" t="s">
        <v>263</v>
      </c>
      <c r="E146" s="2" t="s">
        <v>19</v>
      </c>
      <c r="F146" s="2">
        <v>2.0</v>
      </c>
      <c r="G146" s="2" t="s">
        <v>77</v>
      </c>
      <c r="H146" s="2">
        <v>3.0</v>
      </c>
      <c r="I146" s="2">
        <v>237.06</v>
      </c>
      <c r="J146" s="2">
        <v>50.0</v>
      </c>
      <c r="K146" s="2">
        <v>1.0</v>
      </c>
      <c r="L146" s="2">
        <v>50.0</v>
      </c>
    </row>
    <row r="147">
      <c r="A147" s="6">
        <v>45858.0</v>
      </c>
      <c r="B147" s="2" t="s">
        <v>152</v>
      </c>
      <c r="C147" s="2" t="s">
        <v>16</v>
      </c>
      <c r="D147" s="2" t="s">
        <v>264</v>
      </c>
      <c r="E147" s="2" t="s">
        <v>18</v>
      </c>
      <c r="F147" s="2">
        <v>1.0</v>
      </c>
      <c r="G147" s="2" t="s">
        <v>52</v>
      </c>
      <c r="H147" s="2">
        <v>2.0</v>
      </c>
      <c r="I147" s="2">
        <v>164.0</v>
      </c>
      <c r="J147" s="2">
        <v>0.0</v>
      </c>
      <c r="K147" s="2">
        <v>1.0</v>
      </c>
      <c r="L147" s="2">
        <v>0.0</v>
      </c>
    </row>
    <row r="148">
      <c r="A148" s="6">
        <v>45858.0</v>
      </c>
      <c r="B148" s="2" t="s">
        <v>152</v>
      </c>
      <c r="C148" s="2" t="s">
        <v>16</v>
      </c>
      <c r="D148" s="2" t="s">
        <v>265</v>
      </c>
      <c r="E148" s="2" t="s">
        <v>18</v>
      </c>
      <c r="F148" s="2">
        <v>1.0</v>
      </c>
      <c r="G148" s="2" t="s">
        <v>52</v>
      </c>
      <c r="H148" s="2">
        <v>2.0</v>
      </c>
      <c r="I148" s="2">
        <v>258.66</v>
      </c>
      <c r="J148" s="2">
        <v>0.0</v>
      </c>
      <c r="K148" s="2">
        <v>1.0</v>
      </c>
      <c r="L148" s="2">
        <v>0.0</v>
      </c>
    </row>
    <row r="149">
      <c r="A149" s="6">
        <v>45858.0</v>
      </c>
      <c r="B149" s="2" t="s">
        <v>152</v>
      </c>
      <c r="C149" s="2" t="s">
        <v>16</v>
      </c>
      <c r="D149" s="2" t="s">
        <v>266</v>
      </c>
      <c r="E149" s="2" t="s">
        <v>18</v>
      </c>
      <c r="F149" s="2">
        <v>1.0</v>
      </c>
      <c r="G149" s="2" t="s">
        <v>52</v>
      </c>
      <c r="H149" s="2">
        <v>2.0</v>
      </c>
      <c r="I149" s="2">
        <v>258.66</v>
      </c>
      <c r="J149" s="2">
        <v>0.0</v>
      </c>
      <c r="K149" s="2">
        <v>1.0</v>
      </c>
      <c r="L149" s="2">
        <v>0.0</v>
      </c>
    </row>
    <row r="150">
      <c r="A150" s="6">
        <v>45858.0</v>
      </c>
      <c r="B150" s="2" t="s">
        <v>152</v>
      </c>
      <c r="C150" s="2" t="s">
        <v>16</v>
      </c>
      <c r="D150" s="2" t="s">
        <v>267</v>
      </c>
      <c r="E150" s="2" t="s">
        <v>38</v>
      </c>
      <c r="F150" s="2">
        <v>1.0</v>
      </c>
      <c r="G150" s="2" t="s">
        <v>19</v>
      </c>
      <c r="H150" s="2">
        <v>2.0</v>
      </c>
      <c r="I150" s="2">
        <v>341.25</v>
      </c>
      <c r="J150" s="2">
        <v>0.0</v>
      </c>
      <c r="K150" s="2">
        <v>1.0</v>
      </c>
      <c r="L150" s="2">
        <v>0.0</v>
      </c>
    </row>
    <row r="151">
      <c r="A151" s="6">
        <v>45858.0</v>
      </c>
      <c r="B151" s="2"/>
      <c r="C151" s="2" t="s">
        <v>39</v>
      </c>
      <c r="D151" s="2" t="s">
        <v>268</v>
      </c>
      <c r="E151" s="2" t="s">
        <v>259</v>
      </c>
      <c r="F151" s="2">
        <v>1.0</v>
      </c>
      <c r="G151" s="2" t="s">
        <v>49</v>
      </c>
      <c r="H151" s="2">
        <v>2.0</v>
      </c>
      <c r="I151" s="2">
        <v>321.75</v>
      </c>
      <c r="J151" s="2">
        <v>50.0</v>
      </c>
      <c r="K151" s="2">
        <v>3.0</v>
      </c>
      <c r="L151" s="2">
        <v>150.0</v>
      </c>
    </row>
    <row r="152">
      <c r="A152" s="6">
        <v>45858.0</v>
      </c>
      <c r="B152" s="2"/>
      <c r="C152" s="2" t="s">
        <v>39</v>
      </c>
      <c r="D152" s="2" t="s">
        <v>269</v>
      </c>
      <c r="E152" s="2" t="s">
        <v>19</v>
      </c>
      <c r="F152" s="2">
        <v>2.0</v>
      </c>
      <c r="G152" s="2" t="s">
        <v>25</v>
      </c>
      <c r="H152" s="2">
        <v>3.0</v>
      </c>
      <c r="I152" s="2">
        <v>374.25</v>
      </c>
      <c r="J152" s="2">
        <v>50.0</v>
      </c>
      <c r="K152" s="2">
        <v>4.0</v>
      </c>
      <c r="L152" s="2">
        <v>200.0</v>
      </c>
    </row>
    <row r="153">
      <c r="A153" s="6">
        <v>45858.0</v>
      </c>
      <c r="B153" s="2" t="s">
        <v>56</v>
      </c>
      <c r="C153" s="2" t="s">
        <v>16</v>
      </c>
      <c r="D153" s="2" t="s">
        <v>270</v>
      </c>
      <c r="E153" s="2" t="s">
        <v>22</v>
      </c>
      <c r="F153" s="2">
        <v>1.0</v>
      </c>
      <c r="G153" s="2" t="s">
        <v>34</v>
      </c>
      <c r="H153" s="2">
        <v>3.0</v>
      </c>
      <c r="I153" s="2">
        <v>205.12</v>
      </c>
      <c r="J153" s="2">
        <v>0.0</v>
      </c>
      <c r="K153" s="2">
        <v>1.0</v>
      </c>
      <c r="L153" s="2">
        <v>0.0</v>
      </c>
    </row>
    <row r="154">
      <c r="A154" s="6">
        <v>45859.0</v>
      </c>
      <c r="B154" s="2" t="s">
        <v>56</v>
      </c>
      <c r="C154" s="2" t="s">
        <v>16</v>
      </c>
      <c r="D154" s="2" t="s">
        <v>271</v>
      </c>
      <c r="E154" s="2" t="s">
        <v>22</v>
      </c>
      <c r="F154" s="2">
        <v>1.0</v>
      </c>
      <c r="G154" s="2" t="s">
        <v>88</v>
      </c>
      <c r="H154" s="2">
        <v>3.0</v>
      </c>
      <c r="I154" s="2">
        <v>210.06</v>
      </c>
      <c r="J154" s="2">
        <v>100.0</v>
      </c>
      <c r="K154" s="2">
        <v>4.0</v>
      </c>
      <c r="L154" s="2">
        <v>400.0</v>
      </c>
    </row>
    <row r="155">
      <c r="A155" s="6">
        <v>45860.0</v>
      </c>
      <c r="B155" s="2"/>
      <c r="C155" s="2" t="s">
        <v>174</v>
      </c>
      <c r="D155" s="2" t="s">
        <v>272</v>
      </c>
      <c r="E155" s="2" t="s">
        <v>19</v>
      </c>
      <c r="F155" s="2">
        <v>2.0</v>
      </c>
      <c r="G155" s="2" t="s">
        <v>34</v>
      </c>
      <c r="H155" s="2">
        <v>3.0</v>
      </c>
      <c r="I155" s="2">
        <v>395.1</v>
      </c>
      <c r="J155" s="2">
        <v>50.0</v>
      </c>
      <c r="K155" s="2">
        <v>2.0</v>
      </c>
      <c r="L155" s="2">
        <v>100.0</v>
      </c>
    </row>
    <row r="156">
      <c r="A156" s="6">
        <v>45860.0</v>
      </c>
      <c r="B156" s="2"/>
      <c r="C156" s="2" t="s">
        <v>174</v>
      </c>
      <c r="D156" s="2" t="s">
        <v>273</v>
      </c>
      <c r="E156" s="2" t="s">
        <v>38</v>
      </c>
      <c r="F156" s="2">
        <v>1.0</v>
      </c>
      <c r="G156" s="2" t="s">
        <v>19</v>
      </c>
      <c r="H156" s="2">
        <v>2.0</v>
      </c>
      <c r="I156" s="2">
        <v>368.1</v>
      </c>
      <c r="J156" s="2">
        <v>50.0</v>
      </c>
      <c r="K156" s="2">
        <v>2.0</v>
      </c>
      <c r="L156" s="2">
        <v>100.0</v>
      </c>
    </row>
    <row r="157">
      <c r="A157" s="6">
        <v>45860.0</v>
      </c>
      <c r="B157" s="2" t="s">
        <v>251</v>
      </c>
      <c r="C157" s="2" t="s">
        <v>16</v>
      </c>
      <c r="D157" s="2" t="s">
        <v>274</v>
      </c>
      <c r="E157" s="2" t="s">
        <v>18</v>
      </c>
      <c r="F157" s="2">
        <v>1.0</v>
      </c>
      <c r="G157" s="2" t="s">
        <v>19</v>
      </c>
      <c r="H157" s="2">
        <v>2.0</v>
      </c>
      <c r="I157" s="2">
        <v>339.0</v>
      </c>
      <c r="J157" s="2">
        <v>0.0</v>
      </c>
      <c r="K157" s="2">
        <v>2.0</v>
      </c>
      <c r="L157" s="2">
        <v>0.0</v>
      </c>
    </row>
    <row r="158">
      <c r="A158" s="6">
        <v>45860.0</v>
      </c>
      <c r="B158" s="2" t="s">
        <v>31</v>
      </c>
      <c r="C158" s="2" t="s">
        <v>16</v>
      </c>
      <c r="D158" s="2" t="s">
        <v>276</v>
      </c>
      <c r="E158" s="2" t="s">
        <v>22</v>
      </c>
      <c r="F158" s="2">
        <v>1.0</v>
      </c>
      <c r="G158" s="2" t="s">
        <v>77</v>
      </c>
      <c r="H158" s="2">
        <v>3.0</v>
      </c>
      <c r="I158" s="2">
        <v>129.0</v>
      </c>
      <c r="J158" s="2">
        <v>0.0</v>
      </c>
      <c r="K158" s="2">
        <v>1.0</v>
      </c>
      <c r="L158" s="2">
        <v>0.0</v>
      </c>
    </row>
    <row r="159">
      <c r="A159" s="6">
        <v>45860.0</v>
      </c>
      <c r="B159" s="2" t="s">
        <v>15</v>
      </c>
      <c r="C159" s="2" t="s">
        <v>16</v>
      </c>
      <c r="D159" s="2" t="s">
        <v>280</v>
      </c>
      <c r="E159" s="2" t="s">
        <v>38</v>
      </c>
      <c r="F159" s="2">
        <v>1.0</v>
      </c>
      <c r="G159" s="2" t="s">
        <v>19</v>
      </c>
      <c r="H159" s="2">
        <v>2.0</v>
      </c>
      <c r="I159" s="2">
        <v>268.67</v>
      </c>
      <c r="J159" s="2">
        <v>0.0</v>
      </c>
      <c r="K159" s="2">
        <v>1.0</v>
      </c>
      <c r="L159" s="2">
        <v>0.0</v>
      </c>
    </row>
    <row r="160">
      <c r="A160" s="6">
        <v>45861.0</v>
      </c>
      <c r="B160" s="2" t="s">
        <v>31</v>
      </c>
      <c r="C160" s="2" t="s">
        <v>16</v>
      </c>
      <c r="D160" s="2" t="s">
        <v>262</v>
      </c>
      <c r="E160" s="2" t="s">
        <v>22</v>
      </c>
      <c r="F160" s="2">
        <v>1.0</v>
      </c>
      <c r="G160" s="2" t="s">
        <v>52</v>
      </c>
      <c r="H160" s="2">
        <v>2.0</v>
      </c>
      <c r="I160" s="2">
        <v>386.1</v>
      </c>
      <c r="J160" s="2">
        <v>0.0</v>
      </c>
      <c r="K160" s="2">
        <v>2.0</v>
      </c>
      <c r="L160" s="2">
        <v>0.0</v>
      </c>
    </row>
    <row r="161">
      <c r="A161" s="6">
        <v>45861.0</v>
      </c>
      <c r="B161" s="2" t="s">
        <v>237</v>
      </c>
      <c r="C161" s="2" t="s">
        <v>16</v>
      </c>
      <c r="D161" s="2" t="s">
        <v>262</v>
      </c>
      <c r="E161" s="2" t="s">
        <v>22</v>
      </c>
      <c r="F161" s="2">
        <v>1.0</v>
      </c>
      <c r="G161" s="2" t="s">
        <v>52</v>
      </c>
      <c r="H161" s="2">
        <v>2.0</v>
      </c>
      <c r="I161" s="2">
        <v>386.1</v>
      </c>
      <c r="J161" s="2">
        <v>0.0</v>
      </c>
      <c r="K161" s="2">
        <v>2.0</v>
      </c>
      <c r="L161" s="2">
        <v>0.0</v>
      </c>
    </row>
    <row r="162">
      <c r="A162" s="6">
        <v>45861.0</v>
      </c>
      <c r="B162" s="2" t="s">
        <v>31</v>
      </c>
      <c r="C162" s="2" t="s">
        <v>16</v>
      </c>
      <c r="D162" s="2" t="s">
        <v>283</v>
      </c>
      <c r="E162" s="2" t="s">
        <v>38</v>
      </c>
      <c r="F162" s="2">
        <v>1.0</v>
      </c>
      <c r="G162" s="2" t="s">
        <v>19</v>
      </c>
      <c r="H162" s="2">
        <v>2.0</v>
      </c>
      <c r="I162" s="2">
        <v>281.4</v>
      </c>
      <c r="J162" s="2">
        <v>0.0</v>
      </c>
      <c r="K162" s="2">
        <v>1.0</v>
      </c>
      <c r="L162" s="2">
        <v>0.0</v>
      </c>
    </row>
    <row r="163">
      <c r="A163" s="6">
        <v>45861.0</v>
      </c>
      <c r="B163" s="2" t="s">
        <v>31</v>
      </c>
      <c r="C163" s="2" t="s">
        <v>16</v>
      </c>
      <c r="D163" s="2" t="s">
        <v>284</v>
      </c>
      <c r="E163" s="2" t="s">
        <v>125</v>
      </c>
      <c r="F163" s="2">
        <v>1.0</v>
      </c>
      <c r="G163" s="2" t="s">
        <v>19</v>
      </c>
      <c r="H163" s="2">
        <v>2.0</v>
      </c>
      <c r="I163" s="2">
        <v>259.0</v>
      </c>
      <c r="J163" s="2">
        <v>0.0</v>
      </c>
      <c r="K163" s="2">
        <v>2.0</v>
      </c>
      <c r="L163" s="2">
        <v>0.0</v>
      </c>
    </row>
    <row r="164">
      <c r="A164" s="6">
        <v>45861.0</v>
      </c>
      <c r="B164" s="2" t="s">
        <v>31</v>
      </c>
      <c r="C164" s="2" t="s">
        <v>16</v>
      </c>
      <c r="D164" s="2" t="s">
        <v>284</v>
      </c>
      <c r="E164" s="2" t="s">
        <v>125</v>
      </c>
      <c r="F164" s="2">
        <v>1.0</v>
      </c>
      <c r="G164" s="2" t="s">
        <v>19</v>
      </c>
      <c r="H164" s="2">
        <v>2.0</v>
      </c>
      <c r="I164" s="2">
        <v>259.0</v>
      </c>
      <c r="J164" s="2">
        <v>0.0</v>
      </c>
      <c r="K164" s="2">
        <v>2.0</v>
      </c>
      <c r="L164" s="2">
        <v>0.0</v>
      </c>
    </row>
    <row r="165">
      <c r="A165" s="6">
        <v>45861.0</v>
      </c>
      <c r="B165" s="2" t="s">
        <v>15</v>
      </c>
      <c r="C165" s="2" t="s">
        <v>16</v>
      </c>
      <c r="D165" s="2" t="s">
        <v>285</v>
      </c>
      <c r="E165" s="2" t="s">
        <v>38</v>
      </c>
      <c r="F165" s="2">
        <v>1.0</v>
      </c>
      <c r="G165" s="2" t="s">
        <v>19</v>
      </c>
      <c r="H165" s="2">
        <v>2.0</v>
      </c>
      <c r="I165" s="2">
        <v>243.65</v>
      </c>
      <c r="J165" s="2">
        <v>0.0</v>
      </c>
      <c r="K165" s="2">
        <v>1.0</v>
      </c>
      <c r="L165" s="2">
        <v>0.0</v>
      </c>
    </row>
    <row r="166">
      <c r="A166" s="6">
        <v>45862.0</v>
      </c>
      <c r="B166" s="2" t="s">
        <v>31</v>
      </c>
      <c r="C166" s="2" t="s">
        <v>16</v>
      </c>
      <c r="D166" s="2" t="s">
        <v>286</v>
      </c>
      <c r="E166" s="2" t="s">
        <v>18</v>
      </c>
      <c r="F166" s="2">
        <v>1.0</v>
      </c>
      <c r="G166" s="2" t="s">
        <v>52</v>
      </c>
      <c r="H166" s="2">
        <v>2.0</v>
      </c>
      <c r="I166" s="2">
        <v>438.48</v>
      </c>
      <c r="J166" s="2">
        <v>0.0</v>
      </c>
      <c r="K166" s="2">
        <v>1.0</v>
      </c>
      <c r="L166" s="2">
        <v>0.0</v>
      </c>
    </row>
    <row r="167">
      <c r="A167" s="6">
        <v>45862.0</v>
      </c>
      <c r="B167" s="2" t="s">
        <v>31</v>
      </c>
      <c r="C167" s="2" t="s">
        <v>16</v>
      </c>
      <c r="D167" s="2" t="s">
        <v>287</v>
      </c>
      <c r="E167" s="2" t="s">
        <v>22</v>
      </c>
      <c r="F167" s="2">
        <v>1.0</v>
      </c>
      <c r="G167" s="2" t="s">
        <v>52</v>
      </c>
      <c r="H167" s="2">
        <v>2.0</v>
      </c>
      <c r="I167" s="2">
        <v>381.74</v>
      </c>
      <c r="J167" s="2">
        <v>0.0</v>
      </c>
      <c r="K167" s="2">
        <v>1.0</v>
      </c>
      <c r="L167" s="2">
        <v>0.0</v>
      </c>
    </row>
    <row r="168">
      <c r="A168" s="6">
        <v>45862.0</v>
      </c>
      <c r="B168" s="2" t="s">
        <v>31</v>
      </c>
      <c r="C168" s="2" t="s">
        <v>16</v>
      </c>
      <c r="D168" s="2" t="s">
        <v>288</v>
      </c>
      <c r="E168" s="2" t="s">
        <v>19</v>
      </c>
      <c r="F168" s="2">
        <v>2.0</v>
      </c>
      <c r="G168" s="2" t="s">
        <v>34</v>
      </c>
      <c r="H168" s="2">
        <v>3.0</v>
      </c>
      <c r="I168" s="2">
        <v>311.51</v>
      </c>
      <c r="J168" s="2">
        <v>0.0</v>
      </c>
      <c r="K168" s="2">
        <v>1.0</v>
      </c>
      <c r="L168" s="2">
        <v>0.0</v>
      </c>
    </row>
    <row r="169">
      <c r="A169" s="6">
        <v>45862.0</v>
      </c>
      <c r="B169" s="2" t="s">
        <v>31</v>
      </c>
      <c r="C169" s="2" t="s">
        <v>16</v>
      </c>
      <c r="D169" s="2" t="s">
        <v>283</v>
      </c>
      <c r="E169" s="2" t="s">
        <v>19</v>
      </c>
      <c r="F169" s="2">
        <v>2.0</v>
      </c>
      <c r="G169" s="2" t="s">
        <v>34</v>
      </c>
      <c r="H169" s="2">
        <v>3.0</v>
      </c>
      <c r="I169" s="2">
        <v>281.4</v>
      </c>
      <c r="J169" s="2">
        <v>0.0</v>
      </c>
      <c r="K169" s="2">
        <v>1.0</v>
      </c>
      <c r="L169" s="2">
        <v>0.0</v>
      </c>
    </row>
    <row r="170">
      <c r="A170" s="6">
        <v>45862.0</v>
      </c>
      <c r="B170" s="2" t="s">
        <v>31</v>
      </c>
      <c r="C170" s="2" t="s">
        <v>16</v>
      </c>
      <c r="D170" s="2" t="s">
        <v>289</v>
      </c>
      <c r="E170" s="2" t="s">
        <v>38</v>
      </c>
      <c r="F170" s="2">
        <v>1.0</v>
      </c>
      <c r="G170" s="2" t="s">
        <v>19</v>
      </c>
      <c r="H170" s="2">
        <v>2.0</v>
      </c>
      <c r="I170" s="2">
        <v>245.4</v>
      </c>
      <c r="J170" s="2">
        <v>0.0</v>
      </c>
      <c r="K170" s="2">
        <v>1.0</v>
      </c>
      <c r="L170" s="2">
        <v>0.0</v>
      </c>
    </row>
    <row r="171">
      <c r="A171" s="6">
        <v>45862.0</v>
      </c>
      <c r="B171" s="2" t="s">
        <v>31</v>
      </c>
      <c r="C171" s="2" t="s">
        <v>16</v>
      </c>
      <c r="D171" s="2" t="s">
        <v>291</v>
      </c>
      <c r="E171" s="2" t="s">
        <v>38</v>
      </c>
      <c r="F171" s="2">
        <v>1.0</v>
      </c>
      <c r="G171" s="2" t="s">
        <v>19</v>
      </c>
      <c r="H171" s="2">
        <v>2.0</v>
      </c>
      <c r="I171" s="2">
        <v>245.4</v>
      </c>
      <c r="J171" s="2">
        <v>0.0</v>
      </c>
      <c r="K171" s="2">
        <v>1.0</v>
      </c>
      <c r="L171" s="2">
        <v>0.0</v>
      </c>
    </row>
    <row r="172">
      <c r="A172" s="6">
        <v>45862.0</v>
      </c>
      <c r="B172" s="2" t="s">
        <v>31</v>
      </c>
      <c r="C172" s="2" t="s">
        <v>16</v>
      </c>
      <c r="D172" s="2" t="s">
        <v>292</v>
      </c>
      <c r="E172" s="2" t="s">
        <v>38</v>
      </c>
      <c r="F172" s="2">
        <v>1.0</v>
      </c>
      <c r="G172" s="2" t="s">
        <v>19</v>
      </c>
      <c r="H172" s="2">
        <v>2.0</v>
      </c>
      <c r="I172" s="2">
        <v>245.4</v>
      </c>
      <c r="J172" s="2">
        <v>0.0</v>
      </c>
      <c r="K172" s="2">
        <v>1.0</v>
      </c>
      <c r="L172" s="2">
        <v>0.0</v>
      </c>
    </row>
    <row r="173">
      <c r="A173" s="6">
        <v>45862.0</v>
      </c>
      <c r="B173" s="2" t="s">
        <v>31</v>
      </c>
      <c r="C173" s="2" t="s">
        <v>16</v>
      </c>
      <c r="D173" s="2" t="s">
        <v>292</v>
      </c>
      <c r="E173" s="2" t="s">
        <v>38</v>
      </c>
      <c r="F173" s="2">
        <v>1.0</v>
      </c>
      <c r="G173" s="2" t="s">
        <v>19</v>
      </c>
      <c r="H173" s="2">
        <v>2.0</v>
      </c>
      <c r="I173" s="2">
        <v>245.4</v>
      </c>
      <c r="J173" s="2">
        <v>0.0</v>
      </c>
      <c r="K173" s="2">
        <v>1.0</v>
      </c>
      <c r="L173" s="2">
        <v>0.0</v>
      </c>
    </row>
    <row r="174">
      <c r="A174" s="6">
        <v>45863.0</v>
      </c>
      <c r="B174" s="2" t="s">
        <v>152</v>
      </c>
      <c r="C174" s="2" t="s">
        <v>16</v>
      </c>
      <c r="D174" s="2" t="s">
        <v>293</v>
      </c>
      <c r="E174" s="2" t="s">
        <v>22</v>
      </c>
      <c r="F174" s="2">
        <v>1.0</v>
      </c>
      <c r="G174" s="2" t="s">
        <v>77</v>
      </c>
      <c r="H174" s="2">
        <v>3.0</v>
      </c>
      <c r="I174" s="2">
        <v>449.1</v>
      </c>
      <c r="J174" s="2">
        <v>0.0</v>
      </c>
      <c r="K174" s="2">
        <v>1.0</v>
      </c>
      <c r="L174" s="2">
        <v>0.0</v>
      </c>
    </row>
    <row r="175">
      <c r="A175" s="6">
        <v>45864.0</v>
      </c>
      <c r="B175" s="2"/>
      <c r="C175" s="2" t="s">
        <v>39</v>
      </c>
      <c r="D175" s="2" t="s">
        <v>294</v>
      </c>
      <c r="E175" s="2" t="s">
        <v>52</v>
      </c>
      <c r="F175" s="2">
        <v>2.0</v>
      </c>
      <c r="G175" s="2" t="s">
        <v>85</v>
      </c>
      <c r="H175" s="2">
        <v>3.0</v>
      </c>
      <c r="I175" s="2">
        <v>231.66</v>
      </c>
      <c r="J175" s="2">
        <v>50.0</v>
      </c>
      <c r="K175" s="2">
        <v>1.0</v>
      </c>
      <c r="L175" s="2">
        <v>50.0</v>
      </c>
    </row>
    <row r="176">
      <c r="A176" s="6">
        <v>45864.0</v>
      </c>
      <c r="B176" s="2" t="s">
        <v>31</v>
      </c>
      <c r="C176" s="2" t="s">
        <v>16</v>
      </c>
      <c r="D176" s="2" t="s">
        <v>295</v>
      </c>
      <c r="E176" s="2" t="s">
        <v>22</v>
      </c>
      <c r="F176" s="2">
        <v>1.0</v>
      </c>
      <c r="G176" s="2" t="s">
        <v>19</v>
      </c>
      <c r="H176" s="2">
        <v>2.0</v>
      </c>
      <c r="I176" s="2">
        <v>350.0</v>
      </c>
      <c r="J176" s="2">
        <v>0.0</v>
      </c>
      <c r="K176" s="2">
        <v>2.0</v>
      </c>
      <c r="L176" s="2">
        <v>0.0</v>
      </c>
    </row>
    <row r="177">
      <c r="A177" s="6">
        <v>45864.0</v>
      </c>
      <c r="B177" s="2"/>
      <c r="C177" s="2" t="s">
        <v>174</v>
      </c>
      <c r="D177" s="2" t="s">
        <v>296</v>
      </c>
      <c r="E177" s="2" t="s">
        <v>52</v>
      </c>
      <c r="F177" s="2">
        <v>2.0</v>
      </c>
      <c r="G177" s="2" t="s">
        <v>77</v>
      </c>
      <c r="H177" s="2">
        <v>3.0</v>
      </c>
      <c r="I177" s="2">
        <v>404.1</v>
      </c>
      <c r="J177" s="2">
        <v>50.0</v>
      </c>
      <c r="K177" s="2">
        <v>2.0</v>
      </c>
      <c r="L177" s="2">
        <v>100.0</v>
      </c>
    </row>
    <row r="178">
      <c r="A178" s="6">
        <v>45864.0</v>
      </c>
      <c r="B178" s="2" t="s">
        <v>78</v>
      </c>
      <c r="C178" s="2" t="s">
        <v>16</v>
      </c>
      <c r="D178" s="2" t="s">
        <v>297</v>
      </c>
      <c r="E178" s="2" t="s">
        <v>22</v>
      </c>
      <c r="F178" s="2">
        <v>1.0</v>
      </c>
      <c r="G178" s="2" t="s">
        <v>19</v>
      </c>
      <c r="H178" s="2">
        <v>2.0</v>
      </c>
      <c r="I178" s="2">
        <v>320.04</v>
      </c>
      <c r="J178" s="2">
        <v>0.0</v>
      </c>
      <c r="K178" s="2">
        <v>7.0</v>
      </c>
      <c r="L178" s="2">
        <v>0.0</v>
      </c>
    </row>
    <row r="179">
      <c r="A179" s="6">
        <v>45865.0</v>
      </c>
      <c r="B179" s="2"/>
      <c r="C179" s="2" t="s">
        <v>39</v>
      </c>
      <c r="D179" s="2" t="s">
        <v>298</v>
      </c>
      <c r="E179" s="2" t="s">
        <v>38</v>
      </c>
      <c r="F179" s="2">
        <v>1.0</v>
      </c>
      <c r="G179" s="2" t="s">
        <v>19</v>
      </c>
      <c r="H179" s="2">
        <v>2.0</v>
      </c>
      <c r="I179" s="2">
        <v>251.4</v>
      </c>
      <c r="J179" s="2">
        <v>50.0</v>
      </c>
      <c r="K179" s="2">
        <v>2.0</v>
      </c>
      <c r="L179" s="2">
        <v>100.0</v>
      </c>
    </row>
    <row r="180">
      <c r="A180" s="6">
        <v>45865.0</v>
      </c>
      <c r="B180" s="2" t="s">
        <v>56</v>
      </c>
      <c r="C180" s="2" t="s">
        <v>16</v>
      </c>
      <c r="D180" s="2" t="s">
        <v>299</v>
      </c>
      <c r="E180" s="2" t="s">
        <v>38</v>
      </c>
      <c r="F180" s="2">
        <v>1.0</v>
      </c>
      <c r="G180" s="2" t="s">
        <v>19</v>
      </c>
      <c r="H180" s="2">
        <v>2.0</v>
      </c>
      <c r="I180" s="2">
        <v>164.0</v>
      </c>
      <c r="J180" s="2">
        <v>0.0</v>
      </c>
      <c r="K180" s="2">
        <v>1.0</v>
      </c>
      <c r="L180" s="2">
        <v>0.0</v>
      </c>
    </row>
    <row r="181">
      <c r="A181" s="6">
        <v>45865.0</v>
      </c>
      <c r="B181" s="2" t="s">
        <v>56</v>
      </c>
      <c r="C181" s="2" t="s">
        <v>16</v>
      </c>
      <c r="D181" s="2" t="s">
        <v>301</v>
      </c>
      <c r="E181" s="2" t="s">
        <v>22</v>
      </c>
      <c r="F181" s="2">
        <v>1.0</v>
      </c>
      <c r="G181" s="2" t="s">
        <v>19</v>
      </c>
      <c r="H181" s="2">
        <v>2.0</v>
      </c>
      <c r="I181" s="2">
        <v>189.0</v>
      </c>
      <c r="J181" s="2">
        <v>0.0</v>
      </c>
      <c r="K181" s="2">
        <v>1.0</v>
      </c>
      <c r="L181" s="2">
        <v>0.0</v>
      </c>
    </row>
    <row r="182">
      <c r="A182" s="6">
        <v>45866.0</v>
      </c>
      <c r="B182" s="2"/>
      <c r="C182" s="2" t="s">
        <v>39</v>
      </c>
      <c r="D182" s="2" t="s">
        <v>302</v>
      </c>
      <c r="E182" s="2" t="s">
        <v>19</v>
      </c>
      <c r="F182" s="2">
        <v>2.0</v>
      </c>
      <c r="G182" s="2" t="s">
        <v>41</v>
      </c>
      <c r="H182" s="2">
        <v>3.0</v>
      </c>
      <c r="I182" s="2">
        <v>252.86</v>
      </c>
      <c r="J182" s="2">
        <v>50.0</v>
      </c>
      <c r="K182" s="2">
        <v>2.0</v>
      </c>
      <c r="L182" s="2">
        <v>100.0</v>
      </c>
    </row>
    <row r="183">
      <c r="A183" s="6">
        <v>45866.0</v>
      </c>
      <c r="B183" s="2" t="s">
        <v>235</v>
      </c>
      <c r="C183" s="2" t="s">
        <v>16</v>
      </c>
      <c r="D183" s="2" t="s">
        <v>304</v>
      </c>
      <c r="E183" s="2" t="s">
        <v>22</v>
      </c>
      <c r="F183" s="2">
        <v>1.0</v>
      </c>
      <c r="G183" s="2" t="s">
        <v>52</v>
      </c>
      <c r="H183" s="2">
        <v>2.0</v>
      </c>
      <c r="I183" s="2">
        <v>15.0</v>
      </c>
      <c r="J183" s="2">
        <v>0.0</v>
      </c>
      <c r="K183" s="2">
        <v>3.0</v>
      </c>
      <c r="L183" s="2">
        <v>0.0</v>
      </c>
    </row>
    <row r="184">
      <c r="A184" s="6">
        <v>45866.0</v>
      </c>
      <c r="B184" s="2" t="s">
        <v>116</v>
      </c>
      <c r="C184" s="2" t="s">
        <v>16</v>
      </c>
      <c r="D184" s="2" t="s">
        <v>305</v>
      </c>
      <c r="E184" s="2" t="s">
        <v>22</v>
      </c>
      <c r="F184" s="2">
        <v>1.0</v>
      </c>
      <c r="G184" s="2" t="s">
        <v>52</v>
      </c>
      <c r="H184" s="2">
        <v>2.0</v>
      </c>
      <c r="I184" s="2">
        <v>226.26</v>
      </c>
      <c r="J184" s="2">
        <v>50.0</v>
      </c>
      <c r="K184" s="2">
        <v>2.0</v>
      </c>
      <c r="L184" s="2">
        <v>100.0</v>
      </c>
    </row>
    <row r="185">
      <c r="A185" s="6">
        <v>45866.0</v>
      </c>
      <c r="B185" s="2" t="s">
        <v>53</v>
      </c>
      <c r="C185" s="2" t="s">
        <v>16</v>
      </c>
      <c r="D185" s="2" t="s">
        <v>306</v>
      </c>
      <c r="E185" s="2" t="s">
        <v>19</v>
      </c>
      <c r="F185" s="2">
        <v>2.0</v>
      </c>
      <c r="G185" s="2" t="s">
        <v>77</v>
      </c>
      <c r="H185" s="2">
        <v>3.0</v>
      </c>
      <c r="I185" s="2">
        <v>336.75</v>
      </c>
      <c r="J185" s="2">
        <v>0.0</v>
      </c>
      <c r="K185" s="2">
        <v>2.0</v>
      </c>
      <c r="L185" s="2">
        <v>0.0</v>
      </c>
    </row>
    <row r="186">
      <c r="A186" s="6">
        <v>45866.0</v>
      </c>
      <c r="B186" s="2" t="s">
        <v>235</v>
      </c>
      <c r="C186" s="2" t="s">
        <v>16</v>
      </c>
      <c r="D186" s="2" t="s">
        <v>308</v>
      </c>
      <c r="E186" s="2" t="s">
        <v>22</v>
      </c>
      <c r="F186" s="2">
        <v>1.0</v>
      </c>
      <c r="G186" s="2" t="s">
        <v>52</v>
      </c>
      <c r="H186" s="2">
        <v>2.0</v>
      </c>
      <c r="I186" s="2">
        <v>129.0</v>
      </c>
      <c r="J186" s="2">
        <v>0.0</v>
      </c>
      <c r="K186" s="2">
        <v>1.0</v>
      </c>
      <c r="L186" s="2">
        <v>0.0</v>
      </c>
    </row>
    <row r="187">
      <c r="A187" s="6">
        <v>45867.0</v>
      </c>
      <c r="B187" s="2"/>
      <c r="C187" s="2" t="s">
        <v>39</v>
      </c>
      <c r="D187" s="2" t="s">
        <v>309</v>
      </c>
      <c r="E187" s="2" t="s">
        <v>52</v>
      </c>
      <c r="F187" s="2">
        <v>2.0</v>
      </c>
      <c r="G187" s="2" t="s">
        <v>85</v>
      </c>
      <c r="H187" s="2">
        <v>3.0</v>
      </c>
      <c r="I187" s="2">
        <v>364.65</v>
      </c>
      <c r="J187" s="2">
        <v>50.0</v>
      </c>
      <c r="K187" s="2">
        <v>1.0</v>
      </c>
      <c r="L187" s="2">
        <v>50.0</v>
      </c>
    </row>
    <row r="188">
      <c r="A188" s="6">
        <v>45867.0</v>
      </c>
      <c r="B188" s="2" t="s">
        <v>209</v>
      </c>
      <c r="C188" s="2" t="s">
        <v>16</v>
      </c>
      <c r="D188" s="2" t="s">
        <v>310</v>
      </c>
      <c r="E188" s="2" t="s">
        <v>188</v>
      </c>
      <c r="F188" s="2">
        <v>1.0</v>
      </c>
      <c r="G188" s="2" t="s">
        <v>49</v>
      </c>
      <c r="H188" s="2">
        <v>2.0</v>
      </c>
      <c r="I188" s="2">
        <v>351.75</v>
      </c>
      <c r="J188" s="2">
        <v>0.0</v>
      </c>
      <c r="K188" s="2">
        <v>2.0</v>
      </c>
      <c r="L188" s="2">
        <v>0.0</v>
      </c>
    </row>
    <row r="189">
      <c r="A189" s="6">
        <v>45867.0</v>
      </c>
      <c r="B189" s="2" t="s">
        <v>251</v>
      </c>
      <c r="C189" s="2" t="s">
        <v>16</v>
      </c>
      <c r="D189" s="2" t="s">
        <v>311</v>
      </c>
      <c r="E189" s="2" t="s">
        <v>22</v>
      </c>
      <c r="F189" s="2">
        <v>1.0</v>
      </c>
      <c r="G189" s="2" t="s">
        <v>77</v>
      </c>
      <c r="H189" s="2">
        <v>3.0</v>
      </c>
      <c r="I189" s="2">
        <v>212.22</v>
      </c>
      <c r="J189" s="2">
        <v>0.0</v>
      </c>
      <c r="K189" s="2">
        <v>1.0</v>
      </c>
      <c r="L189" s="2">
        <v>0.0</v>
      </c>
    </row>
    <row r="190">
      <c r="A190" s="29">
        <v>45867.0</v>
      </c>
      <c r="B190" s="2" t="s">
        <v>235</v>
      </c>
      <c r="C190" s="2" t="s">
        <v>16</v>
      </c>
      <c r="D190" s="2" t="s">
        <v>235</v>
      </c>
      <c r="E190" s="2" t="s">
        <v>22</v>
      </c>
      <c r="F190" s="2">
        <v>1.0</v>
      </c>
      <c r="G190" s="2" t="s">
        <v>49</v>
      </c>
      <c r="H190" s="2">
        <v>2.0</v>
      </c>
      <c r="I190" s="2">
        <v>0.0</v>
      </c>
      <c r="J190" s="2">
        <v>0.0</v>
      </c>
      <c r="K190" s="2">
        <v>3.0</v>
      </c>
      <c r="L190" s="2">
        <v>0.0</v>
      </c>
    </row>
    <row r="191">
      <c r="A191" s="29">
        <v>45867.0</v>
      </c>
      <c r="B191" s="2" t="s">
        <v>31</v>
      </c>
      <c r="C191" s="2" t="s">
        <v>16</v>
      </c>
      <c r="D191" s="2" t="s">
        <v>314</v>
      </c>
      <c r="E191" s="2" t="s">
        <v>38</v>
      </c>
      <c r="F191" s="2">
        <v>1.0</v>
      </c>
      <c r="G191" s="2" t="s">
        <v>19</v>
      </c>
      <c r="H191" s="2">
        <v>2.0</v>
      </c>
      <c r="I191" s="2">
        <v>342.11</v>
      </c>
      <c r="J191" s="2">
        <v>0.0</v>
      </c>
      <c r="K191" s="2">
        <v>1.0</v>
      </c>
      <c r="L191" s="2">
        <v>0.0</v>
      </c>
    </row>
    <row r="192">
      <c r="A192" s="29">
        <v>45867.0</v>
      </c>
      <c r="B192" s="2" t="s">
        <v>31</v>
      </c>
      <c r="C192" s="2" t="s">
        <v>16</v>
      </c>
      <c r="D192" s="2" t="s">
        <v>315</v>
      </c>
      <c r="E192" s="2" t="s">
        <v>38</v>
      </c>
      <c r="F192" s="2">
        <v>1.0</v>
      </c>
      <c r="G192" s="2" t="s">
        <v>19</v>
      </c>
      <c r="H192" s="2">
        <v>2.0</v>
      </c>
      <c r="I192" s="2">
        <v>338.0</v>
      </c>
      <c r="J192" s="2">
        <v>0.0</v>
      </c>
      <c r="K192" s="2">
        <v>1.0</v>
      </c>
      <c r="L192" s="2">
        <v>0.0</v>
      </c>
    </row>
    <row r="193">
      <c r="A193" s="29">
        <v>45867.0</v>
      </c>
      <c r="B193" s="2" t="s">
        <v>209</v>
      </c>
      <c r="C193" s="2" t="s">
        <v>16</v>
      </c>
      <c r="D193" s="2" t="s">
        <v>316</v>
      </c>
      <c r="E193" s="2" t="s">
        <v>38</v>
      </c>
      <c r="F193" s="2">
        <v>1.0</v>
      </c>
      <c r="G193" s="2" t="s">
        <v>19</v>
      </c>
      <c r="H193" s="2">
        <v>2.0</v>
      </c>
      <c r="I193" s="2">
        <v>429.0</v>
      </c>
      <c r="J193" s="2">
        <v>0.0</v>
      </c>
      <c r="K193" s="2">
        <v>1.0</v>
      </c>
      <c r="L193" s="2">
        <v>0.0</v>
      </c>
    </row>
    <row r="194">
      <c r="A194" s="29">
        <v>45868.0</v>
      </c>
      <c r="B194" s="2" t="s">
        <v>116</v>
      </c>
      <c r="C194" s="2" t="s">
        <v>16</v>
      </c>
      <c r="D194" s="2" t="s">
        <v>318</v>
      </c>
      <c r="E194" s="2" t="s">
        <v>22</v>
      </c>
      <c r="F194" s="2">
        <v>1.0</v>
      </c>
      <c r="G194" s="2" t="s">
        <v>52</v>
      </c>
      <c r="H194" s="2">
        <v>2.0</v>
      </c>
      <c r="I194" s="2">
        <v>242.18</v>
      </c>
      <c r="J194" s="2">
        <v>0.0</v>
      </c>
      <c r="K194" s="2">
        <v>2.0</v>
      </c>
      <c r="L194" s="2">
        <v>0.0</v>
      </c>
    </row>
    <row r="195">
      <c r="A195" s="29">
        <v>45868.0</v>
      </c>
      <c r="B195" s="2" t="s">
        <v>31</v>
      </c>
      <c r="C195" s="2" t="s">
        <v>16</v>
      </c>
      <c r="D195" s="2" t="s">
        <v>319</v>
      </c>
      <c r="E195" s="2" t="s">
        <v>22</v>
      </c>
      <c r="F195" s="2">
        <v>1.0</v>
      </c>
      <c r="G195" s="2" t="s">
        <v>19</v>
      </c>
      <c r="H195" s="2">
        <v>2.0</v>
      </c>
      <c r="I195" s="2">
        <v>431.28</v>
      </c>
      <c r="J195" s="2">
        <v>0.0</v>
      </c>
      <c r="K195" s="2">
        <v>1.0</v>
      </c>
      <c r="L195" s="2">
        <v>0.0</v>
      </c>
    </row>
    <row r="196">
      <c r="A196" s="29">
        <v>45868.0</v>
      </c>
      <c r="B196" s="2" t="s">
        <v>15</v>
      </c>
      <c r="C196" s="2" t="s">
        <v>16</v>
      </c>
      <c r="D196" s="2" t="s">
        <v>322</v>
      </c>
      <c r="E196" s="2" t="s">
        <v>38</v>
      </c>
      <c r="F196" s="2">
        <v>1.0</v>
      </c>
      <c r="G196" s="2" t="s">
        <v>19</v>
      </c>
      <c r="H196" s="2">
        <v>2.0</v>
      </c>
      <c r="I196" s="2">
        <v>395.1</v>
      </c>
      <c r="J196" s="2">
        <v>0.0</v>
      </c>
      <c r="K196" s="2">
        <v>1.0</v>
      </c>
      <c r="L196" s="2">
        <v>0.0</v>
      </c>
    </row>
    <row r="197">
      <c r="A197" s="29">
        <v>45869.0</v>
      </c>
      <c r="B197" s="2" t="s">
        <v>31</v>
      </c>
      <c r="C197" s="2" t="s">
        <v>16</v>
      </c>
      <c r="D197" s="2" t="s">
        <v>323</v>
      </c>
      <c r="E197" s="2" t="s">
        <v>52</v>
      </c>
      <c r="F197" s="2">
        <v>2.0</v>
      </c>
      <c r="G197" s="2" t="s">
        <v>77</v>
      </c>
      <c r="H197" s="2">
        <v>3.0</v>
      </c>
      <c r="I197" s="2">
        <v>459.0</v>
      </c>
      <c r="J197" s="2">
        <v>0.0</v>
      </c>
      <c r="K197" s="2">
        <v>1.0</v>
      </c>
      <c r="L197" s="2">
        <v>0.0</v>
      </c>
    </row>
    <row r="198">
      <c r="A198" s="29">
        <v>45869.0</v>
      </c>
      <c r="B198" s="2" t="s">
        <v>31</v>
      </c>
      <c r="C198" s="2" t="s">
        <v>16</v>
      </c>
      <c r="D198" s="2" t="s">
        <v>325</v>
      </c>
      <c r="E198" s="2" t="s">
        <v>22</v>
      </c>
      <c r="F198" s="2">
        <v>1.0</v>
      </c>
      <c r="G198" s="2" t="s">
        <v>34</v>
      </c>
      <c r="H198" s="2">
        <v>3.0</v>
      </c>
      <c r="I198" s="2">
        <v>297.59</v>
      </c>
      <c r="J198" s="2">
        <v>0.0</v>
      </c>
      <c r="K198" s="2">
        <v>2.0</v>
      </c>
      <c r="L198" s="2">
        <v>0.0</v>
      </c>
    </row>
    <row r="199">
      <c r="A199" s="29">
        <v>45869.0</v>
      </c>
      <c r="B199" s="2" t="s">
        <v>235</v>
      </c>
      <c r="C199" s="2" t="s">
        <v>16</v>
      </c>
      <c r="D199" s="2" t="s">
        <v>329</v>
      </c>
      <c r="E199" s="2" t="s">
        <v>22</v>
      </c>
      <c r="F199" s="2">
        <v>1.0</v>
      </c>
      <c r="G199" s="2" t="s">
        <v>77</v>
      </c>
      <c r="H199" s="2">
        <v>3.0</v>
      </c>
      <c r="I199" s="2">
        <v>15.0</v>
      </c>
      <c r="J199" s="2">
        <v>0.0</v>
      </c>
      <c r="K199" s="2">
        <v>1.0</v>
      </c>
      <c r="L199" s="2">
        <v>0.0</v>
      </c>
    </row>
    <row r="200">
      <c r="A200" s="29">
        <v>45869.0</v>
      </c>
      <c r="B200" s="2" t="s">
        <v>31</v>
      </c>
      <c r="C200" s="2" t="s">
        <v>16</v>
      </c>
      <c r="D200" s="2" t="s">
        <v>331</v>
      </c>
      <c r="E200" s="2" t="s">
        <v>38</v>
      </c>
      <c r="F200" s="2">
        <v>1.0</v>
      </c>
      <c r="G200" s="2" t="s">
        <v>19</v>
      </c>
      <c r="H200" s="2">
        <v>2.0</v>
      </c>
      <c r="I200" s="2">
        <v>341.88</v>
      </c>
      <c r="J200" s="2">
        <v>0.0</v>
      </c>
      <c r="K200" s="2">
        <v>1.0</v>
      </c>
      <c r="L200" s="2">
        <v>0.0</v>
      </c>
    </row>
    <row r="201">
      <c r="A201" s="29">
        <v>45869.0</v>
      </c>
      <c r="B201" s="2" t="s">
        <v>31</v>
      </c>
      <c r="C201" s="2" t="s">
        <v>16</v>
      </c>
      <c r="D201" s="2" t="s">
        <v>332</v>
      </c>
      <c r="E201" s="2" t="s">
        <v>38</v>
      </c>
      <c r="F201" s="2">
        <v>1.0</v>
      </c>
      <c r="G201" s="2" t="s">
        <v>19</v>
      </c>
      <c r="H201" s="2">
        <v>2.0</v>
      </c>
      <c r="I201" s="2">
        <v>456.75</v>
      </c>
      <c r="J201" s="2">
        <v>0.0</v>
      </c>
      <c r="K201" s="2">
        <v>1.0</v>
      </c>
      <c r="L201" s="2">
        <v>0.0</v>
      </c>
    </row>
    <row r="202">
      <c r="A202" s="29">
        <v>45869.0</v>
      </c>
      <c r="B202" s="2" t="s">
        <v>56</v>
      </c>
      <c r="C202" s="2" t="s">
        <v>16</v>
      </c>
      <c r="D202" s="2" t="s">
        <v>334</v>
      </c>
      <c r="E202" s="2" t="s">
        <v>22</v>
      </c>
      <c r="F202" s="2">
        <v>1.0</v>
      </c>
      <c r="G202" s="2" t="s">
        <v>52</v>
      </c>
      <c r="H202" s="2">
        <v>2.0</v>
      </c>
      <c r="I202" s="2">
        <v>238.1</v>
      </c>
      <c r="J202" s="2">
        <v>50.0</v>
      </c>
      <c r="K202" s="2">
        <v>2.0</v>
      </c>
      <c r="L202" s="2">
        <v>100.0</v>
      </c>
    </row>
    <row r="203">
      <c r="A203" s="29">
        <v>45869.0</v>
      </c>
      <c r="B203" s="2" t="s">
        <v>56</v>
      </c>
      <c r="C203" s="2" t="s">
        <v>16</v>
      </c>
      <c r="D203" s="2" t="s">
        <v>334</v>
      </c>
      <c r="E203" s="2" t="s">
        <v>52</v>
      </c>
      <c r="F203" s="2">
        <v>2.0</v>
      </c>
      <c r="G203" s="2" t="s">
        <v>77</v>
      </c>
      <c r="H203" s="2">
        <v>3.0</v>
      </c>
      <c r="I203" s="2">
        <v>238.1</v>
      </c>
      <c r="J203" s="2">
        <v>110.0</v>
      </c>
      <c r="K203" s="2">
        <v>2.0</v>
      </c>
      <c r="L203" s="2">
        <v>220.0</v>
      </c>
    </row>
    <row r="204">
      <c r="A204" s="29">
        <v>45869.0</v>
      </c>
      <c r="B204" s="2" t="s">
        <v>56</v>
      </c>
      <c r="C204" s="2" t="s">
        <v>16</v>
      </c>
      <c r="D204" s="2" t="s">
        <v>337</v>
      </c>
      <c r="E204" s="2" t="s">
        <v>22</v>
      </c>
      <c r="F204" s="2">
        <v>1.0</v>
      </c>
      <c r="G204" s="2" t="s">
        <v>88</v>
      </c>
      <c r="H204" s="2">
        <v>3.0</v>
      </c>
      <c r="I204" s="2">
        <v>189.0</v>
      </c>
      <c r="J204" s="2">
        <v>0.0</v>
      </c>
      <c r="K204" s="2">
        <v>1.0</v>
      </c>
      <c r="L204" s="2">
        <v>0.0</v>
      </c>
    </row>
    <row r="205">
      <c r="A205" s="29">
        <v>45869.0</v>
      </c>
      <c r="B205" s="2" t="s">
        <v>56</v>
      </c>
      <c r="C205" s="2" t="s">
        <v>16</v>
      </c>
      <c r="D205" s="2" t="s">
        <v>339</v>
      </c>
      <c r="E205" s="2" t="s">
        <v>22</v>
      </c>
      <c r="F205" s="2">
        <v>1.0</v>
      </c>
      <c r="G205" s="2" t="s">
        <v>52</v>
      </c>
      <c r="H205" s="2">
        <v>2.0</v>
      </c>
      <c r="I205" s="2">
        <v>189.0</v>
      </c>
      <c r="J205" s="2">
        <v>0.0</v>
      </c>
      <c r="K205" s="2">
        <v>1.0</v>
      </c>
      <c r="L205" s="2">
        <v>0.0</v>
      </c>
    </row>
    <row r="206">
      <c r="A206" s="29">
        <v>45869.0</v>
      </c>
      <c r="B206" s="2" t="s">
        <v>56</v>
      </c>
      <c r="C206" s="2" t="s">
        <v>16</v>
      </c>
      <c r="D206" s="2" t="s">
        <v>339</v>
      </c>
      <c r="E206" s="2" t="s">
        <v>52</v>
      </c>
      <c r="F206" s="2">
        <v>2.0</v>
      </c>
      <c r="G206" s="2" t="s">
        <v>34</v>
      </c>
      <c r="H206" s="2">
        <v>3.0</v>
      </c>
      <c r="I206" s="2">
        <v>189.0</v>
      </c>
      <c r="J206" s="2">
        <v>0.0</v>
      </c>
      <c r="K206" s="2">
        <v>1.0</v>
      </c>
      <c r="L206" s="2">
        <v>0.0</v>
      </c>
    </row>
    <row r="207">
      <c r="A207" s="29">
        <v>45869.0</v>
      </c>
      <c r="B207" s="2" t="s">
        <v>20</v>
      </c>
      <c r="C207" s="2" t="s">
        <v>16</v>
      </c>
      <c r="D207" s="2" t="s">
        <v>344</v>
      </c>
      <c r="E207" s="2" t="s">
        <v>19</v>
      </c>
      <c r="F207" s="2">
        <v>2.0</v>
      </c>
      <c r="G207" s="2" t="s">
        <v>77</v>
      </c>
      <c r="H207" s="2">
        <v>3.0</v>
      </c>
      <c r="I207" s="2">
        <v>189.0</v>
      </c>
      <c r="J207" s="2">
        <v>0.0</v>
      </c>
      <c r="K207" s="2">
        <v>1.0</v>
      </c>
      <c r="L207" s="2">
        <v>0.0</v>
      </c>
    </row>
  </sheetData>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75"/>
    <col customWidth="1" min="2" max="2" width="13.5"/>
    <col customWidth="1" min="3" max="3" width="35.13"/>
    <col customWidth="1" min="4" max="4" width="32.13"/>
    <col customWidth="1" min="5" max="5" width="42.63"/>
  </cols>
  <sheetData>
    <row r="1">
      <c r="A1" s="13" t="s">
        <v>12</v>
      </c>
      <c r="B1" s="13" t="s">
        <v>95</v>
      </c>
      <c r="C1" s="13" t="s">
        <v>97</v>
      </c>
      <c r="D1" s="13" t="s">
        <v>98</v>
      </c>
      <c r="E1" s="13" t="s">
        <v>99</v>
      </c>
    </row>
    <row r="2">
      <c r="A2" s="15" t="s">
        <v>102</v>
      </c>
      <c r="B2" s="15" t="s">
        <v>106</v>
      </c>
      <c r="C2" s="15" t="s">
        <v>107</v>
      </c>
      <c r="D2" s="15" t="s">
        <v>107</v>
      </c>
      <c r="E2" s="15" t="s">
        <v>108</v>
      </c>
    </row>
    <row r="3">
      <c r="A3" s="15" t="s">
        <v>102</v>
      </c>
      <c r="B3" s="15" t="s">
        <v>106</v>
      </c>
      <c r="C3" s="15" t="s">
        <v>113</v>
      </c>
      <c r="D3" s="15" t="s">
        <v>113</v>
      </c>
      <c r="E3" s="16"/>
    </row>
    <row r="4">
      <c r="A4" s="15" t="s">
        <v>102</v>
      </c>
      <c r="B4" s="15" t="s">
        <v>106</v>
      </c>
      <c r="C4" s="15" t="s">
        <v>115</v>
      </c>
      <c r="D4" s="15" t="s">
        <v>115</v>
      </c>
      <c r="E4" s="16"/>
    </row>
    <row r="5">
      <c r="A5" s="15" t="s">
        <v>102</v>
      </c>
      <c r="B5" s="15" t="s">
        <v>106</v>
      </c>
      <c r="C5" s="15" t="s">
        <v>117</v>
      </c>
      <c r="D5" s="15" t="s">
        <v>117</v>
      </c>
      <c r="E5" s="16"/>
    </row>
    <row r="6">
      <c r="A6" s="15" t="s">
        <v>102</v>
      </c>
      <c r="B6" s="15" t="s">
        <v>106</v>
      </c>
      <c r="C6" s="15" t="s">
        <v>121</v>
      </c>
      <c r="D6" s="15" t="s">
        <v>121</v>
      </c>
      <c r="E6" s="16"/>
    </row>
    <row r="7">
      <c r="A7" s="15" t="s">
        <v>102</v>
      </c>
      <c r="B7" s="15" t="s">
        <v>106</v>
      </c>
      <c r="C7" s="15" t="s">
        <v>123</v>
      </c>
      <c r="D7" s="15" t="s">
        <v>123</v>
      </c>
      <c r="E7" s="16"/>
    </row>
    <row r="8">
      <c r="A8" s="15" t="s">
        <v>102</v>
      </c>
      <c r="B8" s="15" t="s">
        <v>106</v>
      </c>
      <c r="C8" s="15" t="s">
        <v>126</v>
      </c>
      <c r="D8" s="15" t="s">
        <v>126</v>
      </c>
      <c r="E8" s="16"/>
    </row>
    <row r="9">
      <c r="A9" s="15" t="s">
        <v>102</v>
      </c>
      <c r="B9" s="15" t="s">
        <v>128</v>
      </c>
      <c r="C9" s="15" t="s">
        <v>129</v>
      </c>
      <c r="D9" s="15" t="s">
        <v>129</v>
      </c>
      <c r="E9" s="15" t="s">
        <v>131</v>
      </c>
    </row>
    <row r="10">
      <c r="A10" s="15" t="s">
        <v>102</v>
      </c>
      <c r="B10" s="15" t="s">
        <v>128</v>
      </c>
      <c r="C10" s="15" t="s">
        <v>132</v>
      </c>
      <c r="D10" s="15" t="s">
        <v>132</v>
      </c>
      <c r="E10" s="15" t="s">
        <v>131</v>
      </c>
    </row>
    <row r="11">
      <c r="A11" s="15" t="s">
        <v>102</v>
      </c>
      <c r="B11" s="15" t="s">
        <v>128</v>
      </c>
      <c r="C11" s="15" t="s">
        <v>133</v>
      </c>
      <c r="D11" s="15" t="s">
        <v>133</v>
      </c>
      <c r="E11" s="15" t="s">
        <v>131</v>
      </c>
    </row>
    <row r="12">
      <c r="A12" s="15" t="s">
        <v>102</v>
      </c>
      <c r="B12" s="15" t="s">
        <v>128</v>
      </c>
      <c r="C12" s="15" t="s">
        <v>134</v>
      </c>
      <c r="D12" s="15" t="s">
        <v>134</v>
      </c>
      <c r="E12" s="15" t="s">
        <v>131</v>
      </c>
    </row>
    <row r="13">
      <c r="A13" s="15" t="s">
        <v>102</v>
      </c>
      <c r="B13" s="15" t="s">
        <v>135</v>
      </c>
      <c r="C13" s="15">
        <v>1005.0</v>
      </c>
      <c r="D13" s="15" t="s">
        <v>136</v>
      </c>
      <c r="E13" s="15" t="s">
        <v>138</v>
      </c>
    </row>
    <row r="14">
      <c r="A14" s="15" t="s">
        <v>102</v>
      </c>
      <c r="B14" s="15" t="s">
        <v>135</v>
      </c>
      <c r="C14" s="15">
        <v>1006.0</v>
      </c>
      <c r="D14" s="15" t="s">
        <v>140</v>
      </c>
      <c r="E14" s="15" t="s">
        <v>138</v>
      </c>
    </row>
    <row r="15">
      <c r="A15" s="15" t="s">
        <v>102</v>
      </c>
      <c r="B15" s="15" t="s">
        <v>135</v>
      </c>
      <c r="C15" s="15">
        <v>1007.0</v>
      </c>
      <c r="D15" s="15" t="s">
        <v>142</v>
      </c>
      <c r="E15" s="15" t="s">
        <v>138</v>
      </c>
    </row>
    <row r="16">
      <c r="A16" s="15" t="s">
        <v>102</v>
      </c>
      <c r="B16" s="15" t="s">
        <v>135</v>
      </c>
      <c r="C16" s="15">
        <v>1008.0</v>
      </c>
      <c r="D16" s="15" t="s">
        <v>143</v>
      </c>
      <c r="E16" s="15" t="s">
        <v>144</v>
      </c>
    </row>
    <row r="17">
      <c r="A17" s="15" t="s">
        <v>102</v>
      </c>
      <c r="B17" s="15" t="s">
        <v>146</v>
      </c>
      <c r="C17" s="15" t="s">
        <v>147</v>
      </c>
      <c r="D17" s="15" t="s">
        <v>149</v>
      </c>
      <c r="E17" s="15" t="s">
        <v>150</v>
      </c>
    </row>
    <row r="18">
      <c r="A18" s="16"/>
      <c r="B18" s="16"/>
      <c r="C18" s="16"/>
      <c r="D18" s="16"/>
      <c r="E18" s="16"/>
    </row>
    <row r="19">
      <c r="A19" s="16"/>
      <c r="B19" s="16"/>
      <c r="C19" s="16"/>
      <c r="D19" s="16"/>
      <c r="E19" s="16"/>
    </row>
    <row r="20">
      <c r="A20" s="16"/>
      <c r="B20" s="16"/>
      <c r="C20" s="16"/>
      <c r="D20" s="16"/>
      <c r="E20" s="16"/>
    </row>
    <row r="21">
      <c r="A21" s="16"/>
      <c r="B21" s="16"/>
      <c r="C21" s="16"/>
      <c r="D21" s="16"/>
      <c r="E21" s="16"/>
    </row>
    <row r="22">
      <c r="A22" s="16"/>
      <c r="B22" s="16"/>
      <c r="C22" s="16"/>
      <c r="D22" s="16"/>
      <c r="E22" s="16"/>
    </row>
    <row r="23">
      <c r="A23" s="16"/>
      <c r="B23" s="16"/>
      <c r="C23" s="16"/>
      <c r="D23" s="16"/>
      <c r="E23" s="16"/>
    </row>
    <row r="24">
      <c r="A24" s="16"/>
      <c r="B24" s="16"/>
      <c r="C24" s="16"/>
      <c r="D24" s="16"/>
      <c r="E24" s="16"/>
    </row>
    <row r="25">
      <c r="A25" s="16"/>
      <c r="B25" s="16"/>
      <c r="C25" s="16"/>
      <c r="D25" s="16"/>
      <c r="E25" s="16"/>
    </row>
    <row r="26">
      <c r="A26" s="16"/>
      <c r="B26" s="16"/>
      <c r="C26" s="16"/>
      <c r="D26" s="16"/>
      <c r="E26" s="16"/>
    </row>
    <row r="27">
      <c r="A27" s="16"/>
      <c r="B27" s="16"/>
      <c r="C27" s="16"/>
      <c r="D27" s="16"/>
      <c r="E27" s="16"/>
    </row>
    <row r="28">
      <c r="A28" s="16"/>
      <c r="B28" s="16"/>
      <c r="C28" s="16"/>
      <c r="D28" s="16"/>
      <c r="E28" s="16"/>
    </row>
    <row r="29">
      <c r="A29" s="16"/>
      <c r="B29" s="16"/>
      <c r="C29" s="16"/>
      <c r="D29" s="16"/>
      <c r="E29" s="16"/>
    </row>
    <row r="30">
      <c r="A30" s="16"/>
      <c r="B30" s="16"/>
      <c r="C30" s="16"/>
      <c r="D30" s="16"/>
      <c r="E30" s="16"/>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7CC3"/>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75"/>
    <col customWidth="1" min="2" max="2" width="17.13"/>
    <col customWidth="1" min="3" max="3" width="18.75"/>
    <col customWidth="1" min="4" max="4" width="37.63"/>
  </cols>
  <sheetData>
    <row r="1">
      <c r="A1" s="13" t="s">
        <v>12</v>
      </c>
      <c r="B1" s="13" t="s">
        <v>225</v>
      </c>
      <c r="C1" s="13" t="s">
        <v>226</v>
      </c>
      <c r="D1" s="13" t="s">
        <v>99</v>
      </c>
    </row>
    <row r="2">
      <c r="A2" s="15" t="s">
        <v>102</v>
      </c>
      <c r="B2" s="15" t="s">
        <v>228</v>
      </c>
      <c r="C2" s="15" t="s">
        <v>229</v>
      </c>
      <c r="D2" s="15" t="s">
        <v>230</v>
      </c>
    </row>
    <row r="3">
      <c r="A3" s="15" t="s">
        <v>102</v>
      </c>
      <c r="B3" s="15" t="s">
        <v>231</v>
      </c>
      <c r="C3" s="15" t="s">
        <v>232</v>
      </c>
      <c r="D3" s="15" t="s">
        <v>233</v>
      </c>
    </row>
    <row r="4">
      <c r="A4" s="15" t="s">
        <v>102</v>
      </c>
      <c r="B4" s="15" t="s">
        <v>236</v>
      </c>
      <c r="C4" s="15" t="s">
        <v>238</v>
      </c>
      <c r="D4" s="15" t="s">
        <v>233</v>
      </c>
    </row>
    <row r="5">
      <c r="A5" s="15" t="s">
        <v>102</v>
      </c>
      <c r="B5" s="15" t="s">
        <v>240</v>
      </c>
      <c r="C5" s="15" t="s">
        <v>240</v>
      </c>
      <c r="D5" s="15" t="s">
        <v>241</v>
      </c>
    </row>
    <row r="6">
      <c r="A6" s="15" t="s">
        <v>102</v>
      </c>
      <c r="B6" s="15" t="s">
        <v>136</v>
      </c>
      <c r="C6" s="15" t="s">
        <v>242</v>
      </c>
      <c r="D6" s="15" t="s">
        <v>230</v>
      </c>
    </row>
    <row r="7">
      <c r="A7" s="15" t="s">
        <v>102</v>
      </c>
      <c r="B7" s="15" t="s">
        <v>140</v>
      </c>
      <c r="C7" s="15" t="s">
        <v>140</v>
      </c>
      <c r="D7" s="15" t="s">
        <v>246</v>
      </c>
    </row>
    <row r="8">
      <c r="A8" s="15" t="s">
        <v>102</v>
      </c>
      <c r="B8" s="15" t="s">
        <v>142</v>
      </c>
      <c r="C8" s="15" t="s">
        <v>248</v>
      </c>
      <c r="D8" s="16"/>
    </row>
    <row r="9">
      <c r="A9" s="15" t="s">
        <v>102</v>
      </c>
      <c r="B9" s="15" t="s">
        <v>143</v>
      </c>
      <c r="C9" s="15" t="s">
        <v>143</v>
      </c>
      <c r="D9" s="16"/>
    </row>
    <row r="10">
      <c r="A10" s="16"/>
      <c r="B10" s="16"/>
      <c r="C10" s="16"/>
      <c r="D10" s="16"/>
    </row>
    <row r="11">
      <c r="A11" s="16"/>
      <c r="B11" s="16"/>
      <c r="C11" s="16"/>
      <c r="D11" s="16"/>
    </row>
    <row r="12">
      <c r="A12" s="16"/>
      <c r="B12" s="16"/>
      <c r="C12" s="16"/>
      <c r="D12" s="16"/>
    </row>
    <row r="13">
      <c r="A13" s="16"/>
      <c r="B13" s="16"/>
      <c r="C13" s="16"/>
      <c r="D13" s="16"/>
    </row>
    <row r="14">
      <c r="A14" s="16"/>
      <c r="B14" s="16"/>
      <c r="C14" s="16"/>
      <c r="D14" s="16"/>
    </row>
    <row r="15">
      <c r="A15" s="16"/>
      <c r="B15" s="16"/>
      <c r="C15" s="16"/>
      <c r="D15" s="16"/>
    </row>
    <row r="16">
      <c r="A16" s="16"/>
      <c r="B16" s="16"/>
      <c r="C16" s="16"/>
      <c r="D16" s="16"/>
    </row>
    <row r="17">
      <c r="A17" s="16"/>
      <c r="B17" s="16"/>
      <c r="C17" s="16"/>
      <c r="D17" s="16"/>
    </row>
    <row r="18">
      <c r="A18" s="16"/>
      <c r="B18" s="16"/>
      <c r="C18" s="16"/>
      <c r="D18" s="16"/>
    </row>
    <row r="19">
      <c r="A19" s="16"/>
      <c r="B19" s="16"/>
      <c r="C19" s="16"/>
      <c r="D19" s="16"/>
    </row>
    <row r="20">
      <c r="A20" s="16"/>
      <c r="B20" s="16"/>
      <c r="C20" s="16"/>
      <c r="D20" s="16"/>
    </row>
    <row r="21">
      <c r="A21" s="16"/>
      <c r="B21" s="16"/>
      <c r="C21" s="16"/>
      <c r="D21" s="16"/>
    </row>
    <row r="22">
      <c r="A22" s="16"/>
      <c r="B22" s="16"/>
      <c r="C22" s="16"/>
      <c r="D22" s="16"/>
    </row>
    <row r="23">
      <c r="A23" s="16"/>
      <c r="B23" s="16"/>
      <c r="C23" s="16"/>
      <c r="D23" s="16"/>
    </row>
    <row r="24">
      <c r="A24" s="16"/>
      <c r="B24" s="16"/>
      <c r="C24" s="16"/>
      <c r="D24" s="16"/>
    </row>
    <row r="25">
      <c r="A25" s="16"/>
      <c r="B25" s="16"/>
      <c r="C25" s="16"/>
      <c r="D25" s="16"/>
    </row>
    <row r="26">
      <c r="A26" s="16"/>
      <c r="B26" s="16"/>
      <c r="C26" s="16"/>
      <c r="D26" s="16"/>
    </row>
    <row r="27">
      <c r="A27" s="16"/>
      <c r="B27" s="16"/>
      <c r="C27" s="16"/>
      <c r="D27" s="16"/>
    </row>
    <row r="28">
      <c r="A28" s="16"/>
      <c r="B28" s="16"/>
      <c r="C28" s="16"/>
      <c r="D28" s="16"/>
    </row>
    <row r="29">
      <c r="A29" s="16"/>
      <c r="B29" s="16"/>
      <c r="C29" s="16"/>
      <c r="D29" s="16"/>
    </row>
    <row r="30">
      <c r="A30" s="16"/>
      <c r="B30" s="16"/>
      <c r="C30" s="16"/>
      <c r="D30" s="16"/>
    </row>
    <row r="31">
      <c r="A31" s="16"/>
      <c r="B31" s="16"/>
      <c r="C31" s="16"/>
      <c r="D31" s="16"/>
    </row>
    <row r="32">
      <c r="A32" s="16"/>
      <c r="B32" s="16"/>
      <c r="C32" s="16"/>
      <c r="D32" s="16"/>
    </row>
    <row r="33">
      <c r="A33" s="16"/>
      <c r="B33" s="16"/>
      <c r="C33" s="16"/>
      <c r="D33" s="16"/>
    </row>
    <row r="34">
      <c r="A34" s="16"/>
      <c r="B34" s="16"/>
      <c r="C34" s="16"/>
      <c r="D34" s="16"/>
    </row>
    <row r="35">
      <c r="A35" s="16"/>
      <c r="B35" s="16"/>
      <c r="C35" s="16"/>
      <c r="D35" s="16"/>
    </row>
    <row r="36">
      <c r="A36" s="16"/>
      <c r="B36" s="16"/>
      <c r="C36" s="16"/>
      <c r="D36" s="16"/>
    </row>
    <row r="37">
      <c r="A37" s="16"/>
      <c r="B37" s="16"/>
      <c r="C37" s="16"/>
      <c r="D37" s="16"/>
    </row>
    <row r="38">
      <c r="A38" s="16"/>
      <c r="B38" s="16"/>
      <c r="C38" s="16"/>
      <c r="D38" s="16"/>
    </row>
    <row r="39">
      <c r="A39" s="16"/>
      <c r="B39" s="16"/>
      <c r="C39" s="16"/>
      <c r="D39" s="16"/>
    </row>
    <row r="40">
      <c r="A40" s="16"/>
      <c r="B40" s="16"/>
      <c r="C40" s="16"/>
      <c r="D40" s="16"/>
    </row>
    <row r="41">
      <c r="A41" s="16"/>
      <c r="B41" s="16"/>
      <c r="C41" s="16"/>
      <c r="D41" s="16"/>
    </row>
    <row r="42">
      <c r="A42" s="16"/>
      <c r="B42" s="16"/>
      <c r="C42" s="16"/>
      <c r="D42" s="16"/>
    </row>
    <row r="43">
      <c r="A43" s="16"/>
      <c r="B43" s="16"/>
      <c r="C43" s="16"/>
      <c r="D43" s="16"/>
    </row>
    <row r="44">
      <c r="A44" s="16"/>
      <c r="B44" s="16"/>
      <c r="C44" s="16"/>
      <c r="D44" s="16"/>
    </row>
    <row r="45">
      <c r="A45" s="16"/>
      <c r="B45" s="16"/>
      <c r="C45" s="16"/>
      <c r="D45" s="16"/>
    </row>
    <row r="46">
      <c r="A46" s="16"/>
      <c r="B46" s="16"/>
      <c r="C46" s="16"/>
      <c r="D46" s="16"/>
    </row>
    <row r="47">
      <c r="A47" s="16"/>
      <c r="B47" s="16"/>
      <c r="C47" s="16"/>
      <c r="D47" s="16"/>
    </row>
    <row r="48">
      <c r="A48" s="16"/>
      <c r="B48" s="16"/>
      <c r="C48" s="16"/>
      <c r="D48" s="16"/>
    </row>
    <row r="49">
      <c r="A49" s="16"/>
      <c r="B49" s="16"/>
      <c r="C49" s="16"/>
      <c r="D49" s="16"/>
    </row>
    <row r="50">
      <c r="A50" s="16"/>
      <c r="B50" s="16"/>
      <c r="C50" s="16"/>
      <c r="D50" s="16"/>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275</v>
      </c>
      <c r="B1" s="2" t="s">
        <v>277</v>
      </c>
      <c r="C1" s="2" t="s">
        <v>278</v>
      </c>
      <c r="D1" s="2" t="s">
        <v>279</v>
      </c>
    </row>
    <row r="2">
      <c r="A2" s="2" t="s">
        <v>281</v>
      </c>
      <c r="B2" s="2">
        <v>1051.0</v>
      </c>
      <c r="C2" s="2">
        <v>-23281.27</v>
      </c>
      <c r="D2" s="2">
        <v>-22.15</v>
      </c>
    </row>
    <row r="3">
      <c r="B3" s="2" t="s">
        <v>282</v>
      </c>
      <c r="C3" s="2" t="s">
        <v>278</v>
      </c>
      <c r="D3" s="2" t="s">
        <v>279</v>
      </c>
      <c r="E3" s="26">
        <v>46204.0</v>
      </c>
      <c r="G3" s="26">
        <v>46205.0</v>
      </c>
      <c r="I3" s="26">
        <v>46206.0</v>
      </c>
      <c r="K3" s="26">
        <v>46207.0</v>
      </c>
      <c r="M3" s="26">
        <v>46208.0</v>
      </c>
      <c r="O3" s="26">
        <v>46209.0</v>
      </c>
      <c r="Q3" s="26">
        <v>46210.0</v>
      </c>
      <c r="S3" s="26">
        <v>46211.0</v>
      </c>
      <c r="U3" s="26">
        <v>46212.0</v>
      </c>
      <c r="W3" s="26">
        <v>46213.0</v>
      </c>
      <c r="Y3" s="26">
        <v>46214.0</v>
      </c>
      <c r="AA3" s="26">
        <v>46215.0</v>
      </c>
      <c r="AC3" s="26">
        <v>46216.0</v>
      </c>
      <c r="AE3" s="26">
        <v>46217.0</v>
      </c>
      <c r="AG3" s="26">
        <v>46218.0</v>
      </c>
      <c r="AI3" s="26">
        <v>46219.0</v>
      </c>
      <c r="AK3" s="26">
        <v>46220.0</v>
      </c>
      <c r="AM3" s="26">
        <v>46221.0</v>
      </c>
      <c r="AO3" s="26">
        <v>46222.0</v>
      </c>
      <c r="AQ3" s="26">
        <v>46223.0</v>
      </c>
      <c r="AS3" s="26">
        <v>46224.0</v>
      </c>
      <c r="AU3" s="26">
        <v>46225.0</v>
      </c>
      <c r="AW3" s="26">
        <v>46226.0</v>
      </c>
      <c r="AY3" s="26">
        <v>46227.0</v>
      </c>
      <c r="BA3" s="26">
        <v>46228.0</v>
      </c>
      <c r="BC3" s="26">
        <v>46229.0</v>
      </c>
      <c r="BE3" s="26">
        <v>46230.0</v>
      </c>
      <c r="BG3" s="26">
        <v>46231.0</v>
      </c>
      <c r="BI3" s="26">
        <v>46232.0</v>
      </c>
      <c r="BK3" s="26">
        <v>46233.0</v>
      </c>
      <c r="BM3" s="26">
        <v>46234.0</v>
      </c>
    </row>
    <row r="4">
      <c r="A4" s="2" t="s">
        <v>290</v>
      </c>
      <c r="B4" s="2">
        <v>3.0</v>
      </c>
      <c r="C4" s="2">
        <v>108.0</v>
      </c>
      <c r="D4" s="2">
        <v>36.0</v>
      </c>
      <c r="E4" s="2">
        <v>0.0</v>
      </c>
      <c r="F4" s="2">
        <v>0.0</v>
      </c>
      <c r="G4" s="2">
        <v>0.0</v>
      </c>
      <c r="H4" s="2">
        <v>0.0</v>
      </c>
      <c r="I4" s="2">
        <v>0.0</v>
      </c>
      <c r="J4" s="2">
        <v>0.0</v>
      </c>
      <c r="K4" s="2">
        <v>0.0</v>
      </c>
      <c r="L4" s="2">
        <v>0.0</v>
      </c>
      <c r="M4" s="2">
        <v>1.0</v>
      </c>
      <c r="N4" s="2">
        <v>36.0</v>
      </c>
      <c r="O4" s="2">
        <v>1.0</v>
      </c>
      <c r="P4" s="2">
        <v>36.0</v>
      </c>
      <c r="Q4" s="2">
        <v>0.0</v>
      </c>
      <c r="R4" s="2">
        <v>0.0</v>
      </c>
      <c r="S4" s="2">
        <v>0.0</v>
      </c>
      <c r="T4" s="2">
        <v>0.0</v>
      </c>
      <c r="U4" s="2">
        <v>0.0</v>
      </c>
      <c r="V4" s="2">
        <v>0.0</v>
      </c>
      <c r="W4" s="2">
        <v>0.0</v>
      </c>
      <c r="X4" s="2">
        <v>0.0</v>
      </c>
      <c r="Y4" s="2">
        <v>0.0</v>
      </c>
      <c r="Z4" s="2">
        <v>0.0</v>
      </c>
      <c r="AA4" s="2">
        <v>0.0</v>
      </c>
      <c r="AB4" s="2">
        <v>0.0</v>
      </c>
      <c r="AC4" s="2">
        <v>0.0</v>
      </c>
      <c r="AD4" s="2">
        <v>0.0</v>
      </c>
      <c r="AE4" s="2">
        <v>0.0</v>
      </c>
      <c r="AF4" s="2">
        <v>0.0</v>
      </c>
      <c r="AG4" s="2">
        <v>0.0</v>
      </c>
      <c r="AH4" s="2">
        <v>0.0</v>
      </c>
      <c r="AI4" s="2">
        <v>0.0</v>
      </c>
      <c r="AJ4" s="2">
        <v>0.0</v>
      </c>
      <c r="AK4" s="2">
        <v>1.0</v>
      </c>
      <c r="AL4" s="2">
        <v>36.0</v>
      </c>
      <c r="AM4" s="2">
        <v>0.0</v>
      </c>
      <c r="AN4" s="2">
        <v>0.0</v>
      </c>
      <c r="AO4" s="2">
        <v>0.0</v>
      </c>
      <c r="AP4" s="2">
        <v>0.0</v>
      </c>
      <c r="AQ4" s="2">
        <v>0.0</v>
      </c>
      <c r="AR4" s="2">
        <v>0.0</v>
      </c>
      <c r="AS4" s="2">
        <v>0.0</v>
      </c>
      <c r="AT4" s="2">
        <v>0.0</v>
      </c>
      <c r="AU4" s="2">
        <v>0.0</v>
      </c>
      <c r="AV4" s="2">
        <v>0.0</v>
      </c>
      <c r="AW4" s="2">
        <v>0.0</v>
      </c>
      <c r="AX4" s="2">
        <v>0.0</v>
      </c>
      <c r="AY4" s="2">
        <v>0.0</v>
      </c>
      <c r="AZ4" s="2">
        <v>0.0</v>
      </c>
      <c r="BA4" s="2">
        <v>0.0</v>
      </c>
      <c r="BB4" s="2">
        <v>0.0</v>
      </c>
      <c r="BC4" s="2">
        <v>0.0</v>
      </c>
      <c r="BD4" s="2">
        <v>0.0</v>
      </c>
      <c r="BE4" s="2">
        <v>0.0</v>
      </c>
      <c r="BF4" s="2">
        <v>0.0</v>
      </c>
      <c r="BG4" s="2">
        <v>0.0</v>
      </c>
      <c r="BH4" s="2">
        <v>0.0</v>
      </c>
      <c r="BI4" s="2">
        <v>0.0</v>
      </c>
      <c r="BJ4" s="2">
        <v>0.0</v>
      </c>
      <c r="BK4" s="2">
        <v>0.0</v>
      </c>
      <c r="BL4" s="2">
        <v>0.0</v>
      </c>
      <c r="BM4" s="2">
        <v>0.0</v>
      </c>
      <c r="BN4" s="2">
        <v>0.0</v>
      </c>
    </row>
    <row r="5">
      <c r="A5" s="2" t="s">
        <v>300</v>
      </c>
      <c r="B5" s="2">
        <v>5.0</v>
      </c>
      <c r="C5" s="2">
        <v>500.0</v>
      </c>
      <c r="D5" s="2">
        <v>100.0</v>
      </c>
      <c r="E5" s="2">
        <v>0.0</v>
      </c>
      <c r="F5" s="2">
        <v>0.0</v>
      </c>
      <c r="G5" s="2">
        <v>1.0</v>
      </c>
      <c r="H5" s="2">
        <v>100.0</v>
      </c>
      <c r="I5" s="2">
        <v>0.0</v>
      </c>
      <c r="J5" s="2">
        <v>0.0</v>
      </c>
      <c r="K5" s="2">
        <v>0.0</v>
      </c>
      <c r="L5" s="2">
        <v>0.0</v>
      </c>
      <c r="M5" s="2">
        <v>0.0</v>
      </c>
      <c r="N5" s="2">
        <v>0.0</v>
      </c>
      <c r="O5" s="2">
        <v>0.0</v>
      </c>
      <c r="P5" s="2">
        <v>0.0</v>
      </c>
      <c r="Q5" s="2">
        <v>0.0</v>
      </c>
      <c r="R5" s="2">
        <v>0.0</v>
      </c>
      <c r="S5" s="2">
        <v>0.0</v>
      </c>
      <c r="T5" s="2">
        <v>0.0</v>
      </c>
      <c r="U5" s="2">
        <v>0.0</v>
      </c>
      <c r="V5" s="2">
        <v>0.0</v>
      </c>
      <c r="W5" s="2">
        <v>1.0</v>
      </c>
      <c r="X5" s="2">
        <v>100.0</v>
      </c>
      <c r="Y5" s="2">
        <v>0.0</v>
      </c>
      <c r="Z5" s="2">
        <v>0.0</v>
      </c>
      <c r="AA5" s="2">
        <v>0.0</v>
      </c>
      <c r="AB5" s="2">
        <v>0.0</v>
      </c>
      <c r="AC5" s="2">
        <v>0.0</v>
      </c>
      <c r="AD5" s="2">
        <v>0.0</v>
      </c>
      <c r="AE5" s="2">
        <v>0.0</v>
      </c>
      <c r="AF5" s="2">
        <v>0.0</v>
      </c>
      <c r="AG5" s="2">
        <v>0.0</v>
      </c>
      <c r="AH5" s="2">
        <v>0.0</v>
      </c>
      <c r="AI5" s="2">
        <v>0.0</v>
      </c>
      <c r="AJ5" s="2">
        <v>0.0</v>
      </c>
      <c r="AK5" s="2">
        <v>0.0</v>
      </c>
      <c r="AL5" s="2">
        <v>0.0</v>
      </c>
      <c r="AM5" s="2">
        <v>0.0</v>
      </c>
      <c r="AN5" s="2">
        <v>0.0</v>
      </c>
      <c r="AO5" s="2">
        <v>0.0</v>
      </c>
      <c r="AP5" s="2">
        <v>0.0</v>
      </c>
      <c r="AQ5" s="2">
        <v>0.0</v>
      </c>
      <c r="AR5" s="2">
        <v>0.0</v>
      </c>
      <c r="AS5" s="2">
        <v>1.0</v>
      </c>
      <c r="AT5" s="2">
        <v>100.0</v>
      </c>
      <c r="AU5" s="2">
        <v>0.0</v>
      </c>
      <c r="AV5" s="2">
        <v>0.0</v>
      </c>
      <c r="AW5" s="2">
        <v>0.0</v>
      </c>
      <c r="AX5" s="2">
        <v>0.0</v>
      </c>
      <c r="AY5" s="2">
        <v>1.0</v>
      </c>
      <c r="AZ5" s="2">
        <v>100.0</v>
      </c>
      <c r="BA5" s="2">
        <v>0.0</v>
      </c>
      <c r="BB5" s="2">
        <v>0.0</v>
      </c>
      <c r="BC5" s="2">
        <v>1.0</v>
      </c>
      <c r="BD5" s="2">
        <v>100.0</v>
      </c>
      <c r="BE5" s="2">
        <v>0.0</v>
      </c>
      <c r="BF5" s="2">
        <v>0.0</v>
      </c>
      <c r="BG5" s="2">
        <v>0.0</v>
      </c>
      <c r="BH5" s="2">
        <v>0.0</v>
      </c>
      <c r="BI5" s="2">
        <v>0.0</v>
      </c>
      <c r="BJ5" s="2">
        <v>0.0</v>
      </c>
      <c r="BK5" s="2">
        <v>0.0</v>
      </c>
      <c r="BL5" s="2">
        <v>0.0</v>
      </c>
      <c r="BM5" s="2">
        <v>0.0</v>
      </c>
      <c r="BN5" s="2">
        <v>0.0</v>
      </c>
    </row>
    <row r="6">
      <c r="A6" s="2" t="s">
        <v>307</v>
      </c>
      <c r="B6" s="2">
        <v>1.0</v>
      </c>
      <c r="C6" s="2">
        <v>32.0</v>
      </c>
      <c r="D6" s="2">
        <v>32.0</v>
      </c>
      <c r="E6" s="2">
        <v>0.0</v>
      </c>
      <c r="F6" s="2">
        <v>0.0</v>
      </c>
      <c r="G6" s="2">
        <v>0.0</v>
      </c>
      <c r="H6" s="2">
        <v>0.0</v>
      </c>
      <c r="I6" s="2">
        <v>0.0</v>
      </c>
      <c r="J6" s="2">
        <v>0.0</v>
      </c>
      <c r="K6" s="2">
        <v>0.0</v>
      </c>
      <c r="L6" s="2">
        <v>0.0</v>
      </c>
      <c r="M6" s="2">
        <v>0.0</v>
      </c>
      <c r="N6" s="2">
        <v>0.0</v>
      </c>
      <c r="O6" s="2">
        <v>0.0</v>
      </c>
      <c r="P6" s="2">
        <v>0.0</v>
      </c>
      <c r="Q6" s="2">
        <v>0.0</v>
      </c>
      <c r="R6" s="2">
        <v>0.0</v>
      </c>
      <c r="S6" s="2">
        <v>0.0</v>
      </c>
      <c r="T6" s="2">
        <v>0.0</v>
      </c>
      <c r="U6" s="2">
        <v>0.0</v>
      </c>
      <c r="V6" s="2">
        <v>0.0</v>
      </c>
      <c r="W6" s="2">
        <v>0.0</v>
      </c>
      <c r="X6" s="2">
        <v>0.0</v>
      </c>
      <c r="Y6" s="2">
        <v>0.0</v>
      </c>
      <c r="Z6" s="2">
        <v>0.0</v>
      </c>
      <c r="AA6" s="2">
        <v>0.0</v>
      </c>
      <c r="AB6" s="2">
        <v>0.0</v>
      </c>
      <c r="AC6" s="2">
        <v>0.0</v>
      </c>
      <c r="AD6" s="2">
        <v>0.0</v>
      </c>
      <c r="AE6" s="2">
        <v>0.0</v>
      </c>
      <c r="AF6" s="2">
        <v>0.0</v>
      </c>
      <c r="AG6" s="2">
        <v>0.0</v>
      </c>
      <c r="AH6" s="2">
        <v>0.0</v>
      </c>
      <c r="AI6" s="2">
        <v>0.0</v>
      </c>
      <c r="AJ6" s="2">
        <v>0.0</v>
      </c>
      <c r="AK6" s="2">
        <v>0.0</v>
      </c>
      <c r="AL6" s="2">
        <v>0.0</v>
      </c>
      <c r="AM6" s="2">
        <v>0.0</v>
      </c>
      <c r="AN6" s="2">
        <v>0.0</v>
      </c>
      <c r="AO6" s="2">
        <v>0.0</v>
      </c>
      <c r="AP6" s="2">
        <v>0.0</v>
      </c>
      <c r="AQ6" s="2">
        <v>0.0</v>
      </c>
      <c r="AR6" s="2">
        <v>0.0</v>
      </c>
      <c r="AS6" s="2">
        <v>0.0</v>
      </c>
      <c r="AT6" s="2">
        <v>0.0</v>
      </c>
      <c r="AU6" s="2">
        <v>0.0</v>
      </c>
      <c r="AV6" s="2">
        <v>0.0</v>
      </c>
      <c r="AW6" s="2">
        <v>0.0</v>
      </c>
      <c r="AX6" s="2">
        <v>0.0</v>
      </c>
      <c r="AY6" s="2">
        <v>0.0</v>
      </c>
      <c r="AZ6" s="2">
        <v>0.0</v>
      </c>
      <c r="BA6" s="2">
        <v>1.0</v>
      </c>
      <c r="BB6" s="2">
        <v>32.0</v>
      </c>
      <c r="BC6" s="2">
        <v>0.0</v>
      </c>
      <c r="BD6" s="2">
        <v>0.0</v>
      </c>
      <c r="BE6" s="2">
        <v>0.0</v>
      </c>
      <c r="BF6" s="2">
        <v>0.0</v>
      </c>
      <c r="BG6" s="2">
        <v>0.0</v>
      </c>
      <c r="BH6" s="2">
        <v>0.0</v>
      </c>
      <c r="BI6" s="2">
        <v>0.0</v>
      </c>
      <c r="BJ6" s="2">
        <v>0.0</v>
      </c>
      <c r="BK6" s="2">
        <v>0.0</v>
      </c>
      <c r="BL6" s="2">
        <v>0.0</v>
      </c>
      <c r="BM6" s="2">
        <v>0.0</v>
      </c>
      <c r="BN6" s="2">
        <v>0.0</v>
      </c>
    </row>
    <row r="7">
      <c r="A7" s="2" t="s">
        <v>312</v>
      </c>
      <c r="B7" s="2">
        <v>5.0</v>
      </c>
      <c r="C7" s="2">
        <v>190.0</v>
      </c>
      <c r="D7" s="2">
        <v>38.0</v>
      </c>
      <c r="E7" s="2">
        <v>0.0</v>
      </c>
      <c r="F7" s="2">
        <v>0.0</v>
      </c>
      <c r="G7" s="2">
        <v>0.0</v>
      </c>
      <c r="H7" s="2">
        <v>0.0</v>
      </c>
      <c r="I7" s="2">
        <v>0.0</v>
      </c>
      <c r="J7" s="2">
        <v>0.0</v>
      </c>
      <c r="K7" s="2">
        <v>0.0</v>
      </c>
      <c r="L7" s="2">
        <v>0.0</v>
      </c>
      <c r="M7" s="2">
        <v>0.0</v>
      </c>
      <c r="N7" s="2">
        <v>0.0</v>
      </c>
      <c r="O7" s="2">
        <v>0.0</v>
      </c>
      <c r="P7" s="2">
        <v>0.0</v>
      </c>
      <c r="Q7" s="2">
        <v>0.0</v>
      </c>
      <c r="R7" s="2">
        <v>0.0</v>
      </c>
      <c r="S7" s="2">
        <v>0.0</v>
      </c>
      <c r="T7" s="2">
        <v>0.0</v>
      </c>
      <c r="U7" s="2">
        <v>0.0</v>
      </c>
      <c r="V7" s="2">
        <v>0.0</v>
      </c>
      <c r="W7" s="2">
        <v>0.0</v>
      </c>
      <c r="X7" s="2">
        <v>0.0</v>
      </c>
      <c r="Y7" s="2">
        <v>0.0</v>
      </c>
      <c r="Z7" s="2">
        <v>0.0</v>
      </c>
      <c r="AA7" s="2">
        <v>0.0</v>
      </c>
      <c r="AB7" s="2">
        <v>0.0</v>
      </c>
      <c r="AC7" s="2">
        <v>0.0</v>
      </c>
      <c r="AD7" s="2">
        <v>0.0</v>
      </c>
      <c r="AE7" s="2">
        <v>0.0</v>
      </c>
      <c r="AF7" s="2">
        <v>0.0</v>
      </c>
      <c r="AG7" s="2">
        <v>0.0</v>
      </c>
      <c r="AH7" s="2">
        <v>0.0</v>
      </c>
      <c r="AI7" s="2">
        <v>1.0</v>
      </c>
      <c r="AJ7" s="2">
        <v>38.0</v>
      </c>
      <c r="AK7" s="2">
        <v>0.0</v>
      </c>
      <c r="AL7" s="2">
        <v>0.0</v>
      </c>
      <c r="AM7" s="2">
        <v>0.0</v>
      </c>
      <c r="AN7" s="2">
        <v>0.0</v>
      </c>
      <c r="AO7" s="2">
        <v>2.0</v>
      </c>
      <c r="AP7" s="2">
        <v>76.0</v>
      </c>
      <c r="AQ7" s="2">
        <v>0.0</v>
      </c>
      <c r="AR7" s="2">
        <v>0.0</v>
      </c>
      <c r="AS7" s="2">
        <v>0.0</v>
      </c>
      <c r="AT7" s="2">
        <v>0.0</v>
      </c>
      <c r="AU7" s="2">
        <v>0.0</v>
      </c>
      <c r="AV7" s="2">
        <v>0.0</v>
      </c>
      <c r="AW7" s="2">
        <v>0.0</v>
      </c>
      <c r="AX7" s="2">
        <v>0.0</v>
      </c>
      <c r="AY7" s="2">
        <v>1.0</v>
      </c>
      <c r="AZ7" s="2">
        <v>38.0</v>
      </c>
      <c r="BA7" s="2">
        <v>0.0</v>
      </c>
      <c r="BB7" s="2">
        <v>0.0</v>
      </c>
      <c r="BC7" s="2">
        <v>1.0</v>
      </c>
      <c r="BD7" s="2">
        <v>38.0</v>
      </c>
      <c r="BE7" s="2">
        <v>0.0</v>
      </c>
      <c r="BF7" s="2">
        <v>0.0</v>
      </c>
      <c r="BG7" s="2">
        <v>0.0</v>
      </c>
      <c r="BH7" s="2">
        <v>0.0</v>
      </c>
      <c r="BI7" s="2">
        <v>0.0</v>
      </c>
      <c r="BJ7" s="2">
        <v>0.0</v>
      </c>
      <c r="BK7" s="2">
        <v>0.0</v>
      </c>
      <c r="BL7" s="2">
        <v>0.0</v>
      </c>
      <c r="BM7" s="2">
        <v>0.0</v>
      </c>
      <c r="BN7" s="2">
        <v>0.0</v>
      </c>
    </row>
    <row r="8">
      <c r="A8" s="2" t="s">
        <v>317</v>
      </c>
      <c r="B8" s="2">
        <v>45.0</v>
      </c>
      <c r="C8" s="2">
        <v>1625.0</v>
      </c>
      <c r="D8" s="2">
        <v>36.11</v>
      </c>
      <c r="E8" s="2">
        <v>1.0</v>
      </c>
      <c r="F8" s="2">
        <v>40.0</v>
      </c>
      <c r="G8" s="2">
        <v>4.0</v>
      </c>
      <c r="H8" s="2">
        <v>145.0</v>
      </c>
      <c r="I8" s="2">
        <v>5.0</v>
      </c>
      <c r="J8" s="2">
        <v>120.0</v>
      </c>
      <c r="K8" s="2">
        <v>1.0</v>
      </c>
      <c r="L8" s="2">
        <v>40.0</v>
      </c>
      <c r="M8" s="2">
        <v>1.0</v>
      </c>
      <c r="N8" s="2">
        <v>40.0</v>
      </c>
      <c r="O8" s="2">
        <v>1.0</v>
      </c>
      <c r="P8" s="2">
        <v>40.0</v>
      </c>
      <c r="Q8" s="2">
        <v>0.0</v>
      </c>
      <c r="R8" s="2">
        <v>0.0</v>
      </c>
      <c r="S8" s="2">
        <v>0.0</v>
      </c>
      <c r="T8" s="2">
        <v>0.0</v>
      </c>
      <c r="U8" s="2">
        <v>2.0</v>
      </c>
      <c r="V8" s="2">
        <v>80.0</v>
      </c>
      <c r="W8" s="2">
        <v>0.0</v>
      </c>
      <c r="X8" s="2">
        <v>0.0</v>
      </c>
      <c r="Y8" s="2">
        <v>0.0</v>
      </c>
      <c r="Z8" s="2">
        <v>0.0</v>
      </c>
      <c r="AA8" s="2">
        <v>5.0</v>
      </c>
      <c r="AB8" s="2">
        <v>200.0</v>
      </c>
      <c r="AC8" s="2">
        <v>3.0</v>
      </c>
      <c r="AD8" s="2">
        <v>120.0</v>
      </c>
      <c r="AE8" s="2">
        <v>0.0</v>
      </c>
      <c r="AF8" s="2">
        <v>0.0</v>
      </c>
      <c r="AG8" s="2">
        <v>1.0</v>
      </c>
      <c r="AH8" s="2">
        <v>40.0</v>
      </c>
      <c r="AI8" s="2">
        <v>1.0</v>
      </c>
      <c r="AJ8" s="2">
        <v>40.0</v>
      </c>
      <c r="AK8" s="2">
        <v>5.0</v>
      </c>
      <c r="AL8" s="2">
        <v>200.0</v>
      </c>
      <c r="AM8" s="2">
        <v>0.0</v>
      </c>
      <c r="AN8" s="2">
        <v>0.0</v>
      </c>
      <c r="AO8" s="2">
        <v>2.0</v>
      </c>
      <c r="AP8" s="2">
        <v>80.0</v>
      </c>
      <c r="AQ8" s="2">
        <v>5.0</v>
      </c>
      <c r="AR8" s="2">
        <v>200.0</v>
      </c>
      <c r="AS8" s="2">
        <v>1.0</v>
      </c>
      <c r="AT8" s="2">
        <v>40.0</v>
      </c>
      <c r="AU8" s="2">
        <v>0.0</v>
      </c>
      <c r="AV8" s="2">
        <v>0.0</v>
      </c>
      <c r="AW8" s="2">
        <v>0.0</v>
      </c>
      <c r="AX8" s="2">
        <v>0.0</v>
      </c>
      <c r="AY8" s="2">
        <v>1.0</v>
      </c>
      <c r="AZ8" s="2">
        <v>40.0</v>
      </c>
      <c r="BA8" s="2">
        <v>2.0</v>
      </c>
      <c r="BB8" s="2">
        <v>80.0</v>
      </c>
      <c r="BC8" s="2">
        <v>2.0</v>
      </c>
      <c r="BD8" s="2">
        <v>80.0</v>
      </c>
      <c r="BE8" s="2">
        <v>1.0</v>
      </c>
      <c r="BF8" s="2">
        <v>-40.0</v>
      </c>
      <c r="BG8" s="2">
        <v>1.0</v>
      </c>
      <c r="BH8" s="2">
        <v>40.0</v>
      </c>
      <c r="BI8" s="2">
        <v>0.0</v>
      </c>
      <c r="BJ8" s="2">
        <v>0.0</v>
      </c>
      <c r="BK8" s="2">
        <v>0.0</v>
      </c>
      <c r="BL8" s="2">
        <v>0.0</v>
      </c>
      <c r="BM8" s="2">
        <v>0.0</v>
      </c>
      <c r="BN8" s="2">
        <v>0.0</v>
      </c>
    </row>
    <row r="9">
      <c r="A9" s="2" t="s">
        <v>326</v>
      </c>
      <c r="B9" s="2">
        <v>8.0</v>
      </c>
      <c r="C9" s="2">
        <v>300.0</v>
      </c>
      <c r="D9" s="2">
        <v>37.5</v>
      </c>
      <c r="E9" s="2">
        <v>1.0</v>
      </c>
      <c r="F9" s="2">
        <v>100.0</v>
      </c>
      <c r="G9" s="2">
        <v>0.0</v>
      </c>
      <c r="H9" s="2">
        <v>0.0</v>
      </c>
      <c r="I9" s="2">
        <v>1.0</v>
      </c>
      <c r="J9" s="2">
        <v>50.0</v>
      </c>
      <c r="K9" s="2">
        <v>0.0</v>
      </c>
      <c r="L9" s="2">
        <v>0.0</v>
      </c>
      <c r="M9" s="2">
        <v>0.0</v>
      </c>
      <c r="N9" s="2">
        <v>0.0</v>
      </c>
      <c r="O9" s="2">
        <v>0.0</v>
      </c>
      <c r="P9" s="2">
        <v>0.0</v>
      </c>
      <c r="Q9" s="2">
        <v>0.0</v>
      </c>
      <c r="R9" s="2">
        <v>0.0</v>
      </c>
      <c r="S9" s="2">
        <v>0.0</v>
      </c>
      <c r="T9" s="2">
        <v>0.0</v>
      </c>
      <c r="U9" s="2">
        <v>0.0</v>
      </c>
      <c r="V9" s="2">
        <v>0.0</v>
      </c>
      <c r="W9" s="2">
        <v>2.0</v>
      </c>
      <c r="X9" s="2">
        <v>150.0</v>
      </c>
      <c r="Y9" s="2">
        <v>0.0</v>
      </c>
      <c r="Z9" s="2">
        <v>0.0</v>
      </c>
      <c r="AA9" s="2">
        <v>2.0</v>
      </c>
      <c r="AB9" s="2">
        <v>50.0</v>
      </c>
      <c r="AC9" s="2">
        <v>1.0</v>
      </c>
      <c r="AD9" s="2">
        <v>-100.0</v>
      </c>
      <c r="AE9" s="2">
        <v>0.0</v>
      </c>
      <c r="AF9" s="2">
        <v>0.0</v>
      </c>
      <c r="AG9" s="2">
        <v>0.0</v>
      </c>
      <c r="AH9" s="2">
        <v>0.0</v>
      </c>
      <c r="AI9" s="2">
        <v>0.0</v>
      </c>
      <c r="AJ9" s="2">
        <v>0.0</v>
      </c>
      <c r="AK9" s="2">
        <v>0.0</v>
      </c>
      <c r="AL9" s="2">
        <v>0.0</v>
      </c>
      <c r="AM9" s="2">
        <v>0.0</v>
      </c>
      <c r="AN9" s="2">
        <v>0.0</v>
      </c>
      <c r="AO9" s="2">
        <v>0.0</v>
      </c>
      <c r="AP9" s="2">
        <v>0.0</v>
      </c>
      <c r="AQ9" s="2">
        <v>0.0</v>
      </c>
      <c r="AR9" s="2">
        <v>0.0</v>
      </c>
      <c r="AS9" s="2">
        <v>0.0</v>
      </c>
      <c r="AT9" s="2">
        <v>0.0</v>
      </c>
      <c r="AU9" s="2">
        <v>0.0</v>
      </c>
      <c r="AV9" s="2">
        <v>0.0</v>
      </c>
      <c r="AW9" s="2">
        <v>0.0</v>
      </c>
      <c r="AX9" s="2">
        <v>0.0</v>
      </c>
      <c r="AY9" s="2">
        <v>0.0</v>
      </c>
      <c r="AZ9" s="2">
        <v>0.0</v>
      </c>
      <c r="BA9" s="2">
        <v>0.0</v>
      </c>
      <c r="BB9" s="2">
        <v>0.0</v>
      </c>
      <c r="BC9" s="2">
        <v>1.0</v>
      </c>
      <c r="BD9" s="2">
        <v>50.0</v>
      </c>
      <c r="BE9" s="2">
        <v>0.0</v>
      </c>
      <c r="BF9" s="2">
        <v>0.0</v>
      </c>
      <c r="BG9" s="2">
        <v>0.0</v>
      </c>
      <c r="BH9" s="2">
        <v>0.0</v>
      </c>
      <c r="BI9" s="2">
        <v>0.0</v>
      </c>
      <c r="BJ9" s="2">
        <v>0.0</v>
      </c>
      <c r="BK9" s="2">
        <v>0.0</v>
      </c>
      <c r="BL9" s="2">
        <v>0.0</v>
      </c>
      <c r="BM9" s="2">
        <v>0.0</v>
      </c>
      <c r="BN9" s="2">
        <v>0.0</v>
      </c>
    </row>
    <row r="10">
      <c r="A10" s="2" t="s">
        <v>335</v>
      </c>
      <c r="B10" s="2">
        <v>2.0</v>
      </c>
      <c r="C10" s="2">
        <v>170.0</v>
      </c>
      <c r="D10" s="2">
        <v>85.0</v>
      </c>
      <c r="E10" s="2">
        <v>0.0</v>
      </c>
      <c r="F10" s="2">
        <v>0.0</v>
      </c>
      <c r="G10" s="2">
        <v>1.0</v>
      </c>
      <c r="H10" s="2">
        <v>85.0</v>
      </c>
      <c r="I10" s="2">
        <v>0.0</v>
      </c>
      <c r="J10" s="2">
        <v>0.0</v>
      </c>
      <c r="K10" s="2">
        <v>0.0</v>
      </c>
      <c r="L10" s="2">
        <v>0.0</v>
      </c>
      <c r="M10" s="2">
        <v>0.0</v>
      </c>
      <c r="N10" s="2">
        <v>0.0</v>
      </c>
      <c r="O10" s="2">
        <v>0.0</v>
      </c>
      <c r="P10" s="2">
        <v>0.0</v>
      </c>
      <c r="Q10" s="2">
        <v>0.0</v>
      </c>
      <c r="R10" s="2">
        <v>0.0</v>
      </c>
      <c r="S10" s="2">
        <v>0.0</v>
      </c>
      <c r="T10" s="2">
        <v>0.0</v>
      </c>
      <c r="U10" s="2">
        <v>0.0</v>
      </c>
      <c r="V10" s="2">
        <v>0.0</v>
      </c>
      <c r="W10" s="2">
        <v>0.0</v>
      </c>
      <c r="X10" s="2">
        <v>0.0</v>
      </c>
      <c r="Y10" s="2">
        <v>0.0</v>
      </c>
      <c r="Z10" s="2">
        <v>0.0</v>
      </c>
      <c r="AA10" s="2">
        <v>0.0</v>
      </c>
      <c r="AB10" s="2">
        <v>0.0</v>
      </c>
      <c r="AC10" s="2">
        <v>0.0</v>
      </c>
      <c r="AD10" s="2">
        <v>0.0</v>
      </c>
      <c r="AE10" s="2">
        <v>0.0</v>
      </c>
      <c r="AF10" s="2">
        <v>0.0</v>
      </c>
      <c r="AG10" s="2">
        <v>0.0</v>
      </c>
      <c r="AH10" s="2">
        <v>0.0</v>
      </c>
      <c r="AI10" s="2">
        <v>0.0</v>
      </c>
      <c r="AJ10" s="2">
        <v>0.0</v>
      </c>
      <c r="AK10" s="2">
        <v>0.0</v>
      </c>
      <c r="AL10" s="2">
        <v>0.0</v>
      </c>
      <c r="AM10" s="2">
        <v>0.0</v>
      </c>
      <c r="AN10" s="2">
        <v>0.0</v>
      </c>
      <c r="AO10" s="2">
        <v>0.0</v>
      </c>
      <c r="AP10" s="2">
        <v>0.0</v>
      </c>
      <c r="AQ10" s="2">
        <v>0.0</v>
      </c>
      <c r="AR10" s="2">
        <v>0.0</v>
      </c>
      <c r="AS10" s="2">
        <v>0.0</v>
      </c>
      <c r="AT10" s="2">
        <v>0.0</v>
      </c>
      <c r="AU10" s="2">
        <v>0.0</v>
      </c>
      <c r="AV10" s="2">
        <v>0.0</v>
      </c>
      <c r="AW10" s="2">
        <v>0.0</v>
      </c>
      <c r="AX10" s="2">
        <v>0.0</v>
      </c>
      <c r="AY10" s="2">
        <v>0.0</v>
      </c>
      <c r="AZ10" s="2">
        <v>0.0</v>
      </c>
      <c r="BA10" s="2">
        <v>1.0</v>
      </c>
      <c r="BB10" s="2">
        <v>85.0</v>
      </c>
      <c r="BC10" s="2">
        <v>0.0</v>
      </c>
      <c r="BD10" s="2">
        <v>0.0</v>
      </c>
      <c r="BE10" s="2">
        <v>0.0</v>
      </c>
      <c r="BF10" s="2">
        <v>0.0</v>
      </c>
      <c r="BG10" s="2">
        <v>0.0</v>
      </c>
      <c r="BH10" s="2">
        <v>0.0</v>
      </c>
      <c r="BI10" s="2">
        <v>0.0</v>
      </c>
      <c r="BJ10" s="2">
        <v>0.0</v>
      </c>
      <c r="BK10" s="2">
        <v>0.0</v>
      </c>
      <c r="BL10" s="2">
        <v>0.0</v>
      </c>
      <c r="BM10" s="2">
        <v>0.0</v>
      </c>
      <c r="BN10" s="2">
        <v>0.0</v>
      </c>
    </row>
    <row r="11">
      <c r="A11" s="2" t="s">
        <v>348</v>
      </c>
      <c r="B11" s="2">
        <v>7.0</v>
      </c>
      <c r="C11" s="2">
        <v>347.95</v>
      </c>
      <c r="D11" s="2">
        <v>49.71</v>
      </c>
      <c r="E11" s="2">
        <v>0.0</v>
      </c>
      <c r="F11" s="2">
        <v>0.0</v>
      </c>
      <c r="G11" s="2">
        <v>0.0</v>
      </c>
      <c r="H11" s="2">
        <v>0.0</v>
      </c>
      <c r="I11" s="2">
        <v>0.0</v>
      </c>
      <c r="J11" s="2">
        <v>0.0</v>
      </c>
      <c r="K11" s="2">
        <v>0.0</v>
      </c>
      <c r="L11" s="2">
        <v>0.0</v>
      </c>
      <c r="M11" s="2">
        <v>0.0</v>
      </c>
      <c r="N11" s="2">
        <v>0.0</v>
      </c>
      <c r="O11" s="2">
        <v>0.0</v>
      </c>
      <c r="P11" s="2">
        <v>0.0</v>
      </c>
      <c r="Q11" s="2">
        <v>0.0</v>
      </c>
      <c r="R11" s="2">
        <v>0.0</v>
      </c>
      <c r="S11" s="2">
        <v>0.0</v>
      </c>
      <c r="T11" s="2">
        <v>0.0</v>
      </c>
      <c r="U11" s="2">
        <v>0.0</v>
      </c>
      <c r="V11" s="2">
        <v>0.0</v>
      </c>
      <c r="W11" s="2">
        <v>0.0</v>
      </c>
      <c r="X11" s="2">
        <v>0.0</v>
      </c>
      <c r="Y11" s="2">
        <v>0.0</v>
      </c>
      <c r="Z11" s="2">
        <v>0.0</v>
      </c>
      <c r="AA11" s="2">
        <v>0.0</v>
      </c>
      <c r="AB11" s="2">
        <v>0.0</v>
      </c>
      <c r="AC11" s="2">
        <v>0.0</v>
      </c>
      <c r="AD11" s="2">
        <v>0.0</v>
      </c>
      <c r="AE11" s="2">
        <v>0.0</v>
      </c>
      <c r="AF11" s="2">
        <v>0.0</v>
      </c>
      <c r="AG11" s="2">
        <v>0.0</v>
      </c>
      <c r="AH11" s="2">
        <v>0.0</v>
      </c>
      <c r="AI11" s="2">
        <v>0.0</v>
      </c>
      <c r="AJ11" s="2">
        <v>0.0</v>
      </c>
      <c r="AK11" s="2">
        <v>0.0</v>
      </c>
      <c r="AL11" s="2">
        <v>0.0</v>
      </c>
      <c r="AM11" s="2">
        <v>0.0</v>
      </c>
      <c r="AN11" s="2">
        <v>0.0</v>
      </c>
      <c r="AO11" s="2">
        <v>0.0</v>
      </c>
      <c r="AP11" s="2">
        <v>0.0</v>
      </c>
      <c r="AQ11" s="2">
        <v>0.0</v>
      </c>
      <c r="AR11" s="2">
        <v>0.0</v>
      </c>
      <c r="AS11" s="2">
        <v>0.0</v>
      </c>
      <c r="AT11" s="2">
        <v>0.0</v>
      </c>
      <c r="AU11" s="2">
        <v>0.0</v>
      </c>
      <c r="AV11" s="2">
        <v>0.0</v>
      </c>
      <c r="AW11" s="2">
        <v>0.0</v>
      </c>
      <c r="AX11" s="2">
        <v>0.0</v>
      </c>
      <c r="AY11" s="2">
        <v>0.0</v>
      </c>
      <c r="AZ11" s="2">
        <v>0.0</v>
      </c>
      <c r="BA11" s="2">
        <v>0.0</v>
      </c>
      <c r="BB11" s="2">
        <v>0.0</v>
      </c>
      <c r="BC11" s="2">
        <v>0.0</v>
      </c>
      <c r="BD11" s="2">
        <v>0.0</v>
      </c>
      <c r="BE11" s="2">
        <v>0.0</v>
      </c>
      <c r="BF11" s="2">
        <v>0.0</v>
      </c>
      <c r="BG11" s="2">
        <v>0.0</v>
      </c>
      <c r="BH11" s="2">
        <v>0.0</v>
      </c>
      <c r="BI11" s="2">
        <v>2.0</v>
      </c>
      <c r="BJ11" s="2">
        <v>96.0</v>
      </c>
      <c r="BK11" s="2">
        <v>3.0</v>
      </c>
      <c r="BL11" s="2">
        <v>155.95</v>
      </c>
      <c r="BM11" s="2">
        <v>2.0</v>
      </c>
      <c r="BN11" s="2">
        <v>96.0</v>
      </c>
    </row>
    <row r="12">
      <c r="A12" s="2" t="s">
        <v>357</v>
      </c>
      <c r="B12" s="2">
        <v>33.0</v>
      </c>
      <c r="C12" s="2">
        <v>0.0</v>
      </c>
      <c r="D12" s="2">
        <v>0.0</v>
      </c>
      <c r="E12" s="2">
        <v>0.0</v>
      </c>
      <c r="F12" s="2">
        <v>0.0</v>
      </c>
      <c r="G12" s="2">
        <v>1.0</v>
      </c>
      <c r="H12" s="2">
        <v>0.0</v>
      </c>
      <c r="I12" s="2">
        <v>1.0</v>
      </c>
      <c r="J12" s="2">
        <v>0.0</v>
      </c>
      <c r="K12" s="2">
        <v>1.0</v>
      </c>
      <c r="L12" s="2">
        <v>0.0</v>
      </c>
      <c r="M12" s="2">
        <v>0.0</v>
      </c>
      <c r="N12" s="2">
        <v>0.0</v>
      </c>
      <c r="O12" s="2">
        <v>0.0</v>
      </c>
      <c r="P12" s="2">
        <v>0.0</v>
      </c>
      <c r="Q12" s="2">
        <v>0.0</v>
      </c>
      <c r="R12" s="2">
        <v>0.0</v>
      </c>
      <c r="S12" s="2">
        <v>0.0</v>
      </c>
      <c r="T12" s="2">
        <v>0.0</v>
      </c>
      <c r="U12" s="2">
        <v>0.0</v>
      </c>
      <c r="V12" s="2">
        <v>0.0</v>
      </c>
      <c r="W12" s="2">
        <v>2.0</v>
      </c>
      <c r="X12" s="2">
        <v>0.0</v>
      </c>
      <c r="Y12" s="2">
        <v>2.0</v>
      </c>
      <c r="Z12" s="2">
        <v>0.0</v>
      </c>
      <c r="AA12" s="2">
        <v>2.0</v>
      </c>
      <c r="AB12" s="2">
        <v>0.0</v>
      </c>
      <c r="AC12" s="2">
        <v>1.0</v>
      </c>
      <c r="AD12" s="2">
        <v>0.0</v>
      </c>
      <c r="AE12" s="2">
        <v>1.0</v>
      </c>
      <c r="AF12" s="2">
        <v>0.0</v>
      </c>
      <c r="AG12" s="2">
        <v>1.0</v>
      </c>
      <c r="AH12" s="2">
        <v>0.0</v>
      </c>
      <c r="AI12" s="2">
        <v>2.0</v>
      </c>
      <c r="AJ12" s="2">
        <v>0.0</v>
      </c>
      <c r="AK12" s="2">
        <v>3.0</v>
      </c>
      <c r="AL12" s="2">
        <v>0.0</v>
      </c>
      <c r="AM12" s="2">
        <v>5.0</v>
      </c>
      <c r="AN12" s="2">
        <v>0.0</v>
      </c>
      <c r="AO12" s="2">
        <v>4.0</v>
      </c>
      <c r="AP12" s="2">
        <v>0.0</v>
      </c>
      <c r="AQ12" s="2">
        <v>0.0</v>
      </c>
      <c r="AR12" s="2">
        <v>0.0</v>
      </c>
      <c r="AS12" s="2">
        <v>0.0</v>
      </c>
      <c r="AT12" s="2">
        <v>0.0</v>
      </c>
      <c r="AU12" s="2">
        <v>0.0</v>
      </c>
      <c r="AV12" s="2">
        <v>0.0</v>
      </c>
      <c r="AW12" s="2">
        <v>0.0</v>
      </c>
      <c r="AX12" s="2">
        <v>0.0</v>
      </c>
      <c r="AY12" s="2">
        <v>1.0</v>
      </c>
      <c r="AZ12" s="2">
        <v>0.0</v>
      </c>
      <c r="BA12" s="2">
        <v>1.0</v>
      </c>
      <c r="BB12" s="2">
        <v>0.0</v>
      </c>
      <c r="BC12" s="2">
        <v>0.0</v>
      </c>
      <c r="BD12" s="2">
        <v>0.0</v>
      </c>
      <c r="BE12" s="2">
        <v>0.0</v>
      </c>
      <c r="BF12" s="2">
        <v>0.0</v>
      </c>
      <c r="BG12" s="2">
        <v>0.0</v>
      </c>
      <c r="BH12" s="2">
        <v>0.0</v>
      </c>
      <c r="BI12" s="2">
        <v>2.0</v>
      </c>
      <c r="BJ12" s="2">
        <v>0.0</v>
      </c>
      <c r="BK12" s="2">
        <v>2.0</v>
      </c>
      <c r="BL12" s="2">
        <v>0.0</v>
      </c>
      <c r="BM12" s="2">
        <v>1.0</v>
      </c>
      <c r="BN12" s="2">
        <v>0.0</v>
      </c>
    </row>
    <row r="13">
      <c r="A13" s="2" t="s">
        <v>228</v>
      </c>
      <c r="B13" s="2">
        <v>70.0</v>
      </c>
      <c r="C13" s="2">
        <v>4050.0</v>
      </c>
      <c r="D13" s="2">
        <v>57.86</v>
      </c>
      <c r="E13" s="2">
        <v>1.0</v>
      </c>
      <c r="F13" s="2">
        <v>75.0</v>
      </c>
      <c r="G13" s="2">
        <v>2.0</v>
      </c>
      <c r="H13" s="2">
        <v>150.0</v>
      </c>
      <c r="I13" s="2">
        <v>4.0</v>
      </c>
      <c r="J13" s="2">
        <v>300.0</v>
      </c>
      <c r="K13" s="2">
        <v>3.0</v>
      </c>
      <c r="L13" s="2">
        <v>-75.0</v>
      </c>
      <c r="M13" s="2">
        <v>0.0</v>
      </c>
      <c r="N13" s="2">
        <v>0.0</v>
      </c>
      <c r="O13" s="2">
        <v>1.0</v>
      </c>
      <c r="P13" s="2">
        <v>75.0</v>
      </c>
      <c r="Q13" s="2">
        <v>1.0</v>
      </c>
      <c r="R13" s="2">
        <v>75.0</v>
      </c>
      <c r="S13" s="2">
        <v>5.0</v>
      </c>
      <c r="T13" s="2">
        <v>375.0</v>
      </c>
      <c r="U13" s="2">
        <v>1.0</v>
      </c>
      <c r="V13" s="2">
        <v>75.0</v>
      </c>
      <c r="W13" s="2">
        <v>1.0</v>
      </c>
      <c r="X13" s="2">
        <v>75.0</v>
      </c>
      <c r="Y13" s="2">
        <v>2.0</v>
      </c>
      <c r="Z13" s="2">
        <v>150.0</v>
      </c>
      <c r="AA13" s="2">
        <v>5.0</v>
      </c>
      <c r="AB13" s="2">
        <v>375.0</v>
      </c>
      <c r="AC13" s="2">
        <v>4.0</v>
      </c>
      <c r="AD13" s="2">
        <v>300.0</v>
      </c>
      <c r="AE13" s="2">
        <v>3.0</v>
      </c>
      <c r="AF13" s="2">
        <v>225.0</v>
      </c>
      <c r="AG13" s="2">
        <v>0.0</v>
      </c>
      <c r="AH13" s="2">
        <v>0.0</v>
      </c>
      <c r="AI13" s="2">
        <v>1.0</v>
      </c>
      <c r="AJ13" s="2">
        <v>75.0</v>
      </c>
      <c r="AK13" s="2">
        <v>2.0</v>
      </c>
      <c r="AL13" s="2">
        <v>150.0</v>
      </c>
      <c r="AM13" s="2">
        <v>2.0</v>
      </c>
      <c r="AN13" s="2">
        <v>150.0</v>
      </c>
      <c r="AO13" s="2">
        <v>1.0</v>
      </c>
      <c r="AP13" s="2">
        <v>75.0</v>
      </c>
      <c r="AQ13" s="2">
        <v>0.0</v>
      </c>
      <c r="AR13" s="2">
        <v>0.0</v>
      </c>
      <c r="AS13" s="2">
        <v>0.0</v>
      </c>
      <c r="AT13" s="2">
        <v>0.0</v>
      </c>
      <c r="AU13" s="2">
        <v>3.0</v>
      </c>
      <c r="AV13" s="2">
        <v>225.0</v>
      </c>
      <c r="AW13" s="2">
        <v>3.0</v>
      </c>
      <c r="AX13" s="2">
        <v>225.0</v>
      </c>
      <c r="AY13" s="2">
        <v>3.0</v>
      </c>
      <c r="AZ13" s="2">
        <v>225.0</v>
      </c>
      <c r="BA13" s="2">
        <v>3.0</v>
      </c>
      <c r="BB13" s="2">
        <v>225.0</v>
      </c>
      <c r="BC13" s="2">
        <v>1.0</v>
      </c>
      <c r="BD13" s="2">
        <v>75.0</v>
      </c>
      <c r="BE13" s="2">
        <v>3.0</v>
      </c>
      <c r="BF13" s="2">
        <v>225.0</v>
      </c>
      <c r="BG13" s="2">
        <v>3.0</v>
      </c>
      <c r="BH13" s="2">
        <v>225.0</v>
      </c>
      <c r="BI13" s="2">
        <v>2.0</v>
      </c>
      <c r="BJ13" s="2">
        <v>150.0</v>
      </c>
      <c r="BK13" s="2">
        <v>2.0</v>
      </c>
      <c r="BL13" s="2">
        <v>150.0</v>
      </c>
      <c r="BM13" s="2">
        <v>8.0</v>
      </c>
      <c r="BN13" s="2">
        <v>-300.0</v>
      </c>
    </row>
    <row r="14">
      <c r="A14" s="2" t="s">
        <v>366</v>
      </c>
      <c r="B14" s="2">
        <v>1.0</v>
      </c>
      <c r="C14" s="2">
        <v>40.0</v>
      </c>
      <c r="D14" s="2">
        <v>40.0</v>
      </c>
      <c r="E14" s="2">
        <v>0.0</v>
      </c>
      <c r="F14" s="2">
        <v>0.0</v>
      </c>
      <c r="G14" s="2">
        <v>0.0</v>
      </c>
      <c r="H14" s="2">
        <v>0.0</v>
      </c>
      <c r="I14" s="2">
        <v>0.0</v>
      </c>
      <c r="J14" s="2">
        <v>0.0</v>
      </c>
      <c r="K14" s="2">
        <v>0.0</v>
      </c>
      <c r="L14" s="2">
        <v>0.0</v>
      </c>
      <c r="M14" s="2">
        <v>0.0</v>
      </c>
      <c r="N14" s="2">
        <v>0.0</v>
      </c>
      <c r="O14" s="2">
        <v>0.0</v>
      </c>
      <c r="P14" s="2">
        <v>0.0</v>
      </c>
      <c r="Q14" s="2">
        <v>0.0</v>
      </c>
      <c r="R14" s="2">
        <v>0.0</v>
      </c>
      <c r="S14" s="2">
        <v>0.0</v>
      </c>
      <c r="T14" s="2">
        <v>0.0</v>
      </c>
      <c r="U14" s="2">
        <v>0.0</v>
      </c>
      <c r="V14" s="2">
        <v>0.0</v>
      </c>
      <c r="W14" s="2">
        <v>0.0</v>
      </c>
      <c r="X14" s="2">
        <v>0.0</v>
      </c>
      <c r="Y14" s="2">
        <v>0.0</v>
      </c>
      <c r="Z14" s="2">
        <v>0.0</v>
      </c>
      <c r="AA14" s="2">
        <v>0.0</v>
      </c>
      <c r="AB14" s="2">
        <v>0.0</v>
      </c>
      <c r="AC14" s="2">
        <v>0.0</v>
      </c>
      <c r="AD14" s="2">
        <v>0.0</v>
      </c>
      <c r="AE14" s="2">
        <v>0.0</v>
      </c>
      <c r="AF14" s="2">
        <v>0.0</v>
      </c>
      <c r="AG14" s="2">
        <v>0.0</v>
      </c>
      <c r="AH14" s="2">
        <v>0.0</v>
      </c>
      <c r="AI14" s="2">
        <v>1.0</v>
      </c>
      <c r="AJ14" s="2">
        <v>40.0</v>
      </c>
      <c r="AK14" s="2">
        <v>0.0</v>
      </c>
      <c r="AL14" s="2">
        <v>0.0</v>
      </c>
      <c r="AM14" s="2">
        <v>0.0</v>
      </c>
      <c r="AN14" s="2">
        <v>0.0</v>
      </c>
      <c r="AO14" s="2">
        <v>0.0</v>
      </c>
      <c r="AP14" s="2">
        <v>0.0</v>
      </c>
      <c r="AQ14" s="2">
        <v>0.0</v>
      </c>
      <c r="AR14" s="2">
        <v>0.0</v>
      </c>
      <c r="AS14" s="2">
        <v>0.0</v>
      </c>
      <c r="AT14" s="2">
        <v>0.0</v>
      </c>
      <c r="AU14" s="2">
        <v>0.0</v>
      </c>
      <c r="AV14" s="2">
        <v>0.0</v>
      </c>
      <c r="AW14" s="2">
        <v>0.0</v>
      </c>
      <c r="AX14" s="2">
        <v>0.0</v>
      </c>
      <c r="AY14" s="2">
        <v>0.0</v>
      </c>
      <c r="AZ14" s="2">
        <v>0.0</v>
      </c>
      <c r="BA14" s="2">
        <v>0.0</v>
      </c>
      <c r="BB14" s="2">
        <v>0.0</v>
      </c>
      <c r="BC14" s="2">
        <v>0.0</v>
      </c>
      <c r="BD14" s="2">
        <v>0.0</v>
      </c>
      <c r="BE14" s="2">
        <v>0.0</v>
      </c>
      <c r="BF14" s="2">
        <v>0.0</v>
      </c>
      <c r="BG14" s="2">
        <v>0.0</v>
      </c>
      <c r="BH14" s="2">
        <v>0.0</v>
      </c>
      <c r="BI14" s="2">
        <v>0.0</v>
      </c>
      <c r="BJ14" s="2">
        <v>0.0</v>
      </c>
      <c r="BK14" s="2">
        <v>0.0</v>
      </c>
      <c r="BL14" s="2">
        <v>0.0</v>
      </c>
      <c r="BM14" s="2">
        <v>0.0</v>
      </c>
      <c r="BN14" s="2">
        <v>0.0</v>
      </c>
    </row>
    <row r="15">
      <c r="A15" s="2" t="s">
        <v>378</v>
      </c>
      <c r="B15" s="2">
        <v>31.0</v>
      </c>
      <c r="C15" s="2">
        <v>1015.0</v>
      </c>
      <c r="D15" s="2">
        <v>32.74</v>
      </c>
      <c r="E15" s="2">
        <v>0.0</v>
      </c>
      <c r="F15" s="2">
        <v>0.0</v>
      </c>
      <c r="G15" s="2">
        <v>4.0</v>
      </c>
      <c r="H15" s="2">
        <v>140.0</v>
      </c>
      <c r="I15" s="2">
        <v>0.0</v>
      </c>
      <c r="J15" s="2">
        <v>0.0</v>
      </c>
      <c r="K15" s="2">
        <v>0.0</v>
      </c>
      <c r="L15" s="2">
        <v>0.0</v>
      </c>
      <c r="M15" s="2">
        <v>1.0</v>
      </c>
      <c r="N15" s="2">
        <v>35.0</v>
      </c>
      <c r="O15" s="2">
        <v>0.0</v>
      </c>
      <c r="P15" s="2">
        <v>0.0</v>
      </c>
      <c r="Q15" s="2">
        <v>1.0</v>
      </c>
      <c r="R15" s="2">
        <v>35.0</v>
      </c>
      <c r="S15" s="2">
        <v>2.0</v>
      </c>
      <c r="T15" s="2">
        <v>70.0</v>
      </c>
      <c r="U15" s="2">
        <v>1.0</v>
      </c>
      <c r="V15" s="2">
        <v>35.0</v>
      </c>
      <c r="W15" s="2">
        <v>0.0</v>
      </c>
      <c r="X15" s="2">
        <v>0.0</v>
      </c>
      <c r="Y15" s="2">
        <v>2.0</v>
      </c>
      <c r="Z15" s="2">
        <v>70.0</v>
      </c>
      <c r="AA15" s="2">
        <v>3.0</v>
      </c>
      <c r="AB15" s="2">
        <v>105.0</v>
      </c>
      <c r="AC15" s="2">
        <v>0.0</v>
      </c>
      <c r="AD15" s="2">
        <v>0.0</v>
      </c>
      <c r="AE15" s="2">
        <v>0.0</v>
      </c>
      <c r="AF15" s="2">
        <v>0.0</v>
      </c>
      <c r="AG15" s="2">
        <v>0.0</v>
      </c>
      <c r="AH15" s="2">
        <v>0.0</v>
      </c>
      <c r="AI15" s="2">
        <v>0.0</v>
      </c>
      <c r="AJ15" s="2">
        <v>0.0</v>
      </c>
      <c r="AK15" s="2">
        <v>4.0</v>
      </c>
      <c r="AL15" s="2">
        <v>140.0</v>
      </c>
      <c r="AM15" s="2">
        <v>1.0</v>
      </c>
      <c r="AN15" s="2">
        <v>-35.0</v>
      </c>
      <c r="AO15" s="2">
        <v>2.0</v>
      </c>
      <c r="AP15" s="2">
        <v>70.0</v>
      </c>
      <c r="AQ15" s="2">
        <v>1.0</v>
      </c>
      <c r="AR15" s="2">
        <v>35.0</v>
      </c>
      <c r="AS15" s="2">
        <v>0.0</v>
      </c>
      <c r="AT15" s="2">
        <v>0.0</v>
      </c>
      <c r="AU15" s="2">
        <v>0.0</v>
      </c>
      <c r="AV15" s="2">
        <v>0.0</v>
      </c>
      <c r="AW15" s="2">
        <v>3.0</v>
      </c>
      <c r="AX15" s="2">
        <v>105.0</v>
      </c>
      <c r="AY15" s="2">
        <v>2.0</v>
      </c>
      <c r="AZ15" s="2">
        <v>70.0</v>
      </c>
      <c r="BA15" s="2">
        <v>1.0</v>
      </c>
      <c r="BB15" s="2">
        <v>35.0</v>
      </c>
      <c r="BC15" s="2">
        <v>2.0</v>
      </c>
      <c r="BD15" s="2">
        <v>70.0</v>
      </c>
      <c r="BE15" s="2">
        <v>0.0</v>
      </c>
      <c r="BF15" s="2">
        <v>0.0</v>
      </c>
      <c r="BG15" s="2">
        <v>0.0</v>
      </c>
      <c r="BH15" s="2">
        <v>0.0</v>
      </c>
      <c r="BI15" s="2">
        <v>0.0</v>
      </c>
      <c r="BJ15" s="2">
        <v>0.0</v>
      </c>
      <c r="BK15" s="2">
        <v>0.0</v>
      </c>
      <c r="BL15" s="2">
        <v>0.0</v>
      </c>
      <c r="BM15" s="2">
        <v>1.0</v>
      </c>
      <c r="BN15" s="2">
        <v>35.0</v>
      </c>
    </row>
    <row r="16">
      <c r="A16" s="2" t="s">
        <v>385</v>
      </c>
      <c r="B16" s="2">
        <v>38.0</v>
      </c>
      <c r="C16" s="2">
        <v>2239.0</v>
      </c>
      <c r="D16" s="2">
        <v>58.92</v>
      </c>
      <c r="E16" s="2">
        <v>0.0</v>
      </c>
      <c r="F16" s="2">
        <v>0.0</v>
      </c>
      <c r="G16" s="2">
        <v>1.0</v>
      </c>
      <c r="H16" s="2">
        <v>75.0</v>
      </c>
      <c r="I16" s="2">
        <v>2.0</v>
      </c>
      <c r="J16" s="2">
        <v>150.0</v>
      </c>
      <c r="K16" s="2">
        <v>2.0</v>
      </c>
      <c r="L16" s="2">
        <v>0.0</v>
      </c>
      <c r="M16" s="2">
        <v>0.0</v>
      </c>
      <c r="N16" s="2">
        <v>0.0</v>
      </c>
      <c r="O16" s="2">
        <v>1.0</v>
      </c>
      <c r="P16" s="2">
        <v>75.0</v>
      </c>
      <c r="Q16" s="2">
        <v>1.0</v>
      </c>
      <c r="R16" s="2">
        <v>75.0</v>
      </c>
      <c r="S16" s="2">
        <v>3.0</v>
      </c>
      <c r="T16" s="2">
        <v>250.0</v>
      </c>
      <c r="U16" s="2">
        <v>1.0</v>
      </c>
      <c r="V16" s="2">
        <v>-100.0</v>
      </c>
      <c r="W16" s="2">
        <v>1.0</v>
      </c>
      <c r="X16" s="2">
        <v>75.0</v>
      </c>
      <c r="Y16" s="2">
        <v>3.0</v>
      </c>
      <c r="Z16" s="2">
        <v>225.0</v>
      </c>
      <c r="AA16" s="2">
        <v>4.0</v>
      </c>
      <c r="AB16" s="2">
        <v>150.0</v>
      </c>
      <c r="AC16" s="2">
        <v>0.0</v>
      </c>
      <c r="AD16" s="2">
        <v>0.0</v>
      </c>
      <c r="AE16" s="2">
        <v>2.0</v>
      </c>
      <c r="AF16" s="2">
        <v>175.0</v>
      </c>
      <c r="AG16" s="2">
        <v>0.0</v>
      </c>
      <c r="AH16" s="2">
        <v>0.0</v>
      </c>
      <c r="AI16" s="2">
        <v>0.0</v>
      </c>
      <c r="AJ16" s="2">
        <v>0.0</v>
      </c>
      <c r="AK16" s="2">
        <v>1.0</v>
      </c>
      <c r="AL16" s="2">
        <v>75.0</v>
      </c>
      <c r="AM16" s="2">
        <v>1.0</v>
      </c>
      <c r="AN16" s="2">
        <v>75.0</v>
      </c>
      <c r="AO16" s="2">
        <v>3.0</v>
      </c>
      <c r="AP16" s="2">
        <v>225.0</v>
      </c>
      <c r="AQ16" s="2">
        <v>0.0</v>
      </c>
      <c r="AR16" s="2">
        <v>0.0</v>
      </c>
      <c r="AS16" s="2">
        <v>1.0</v>
      </c>
      <c r="AT16" s="2">
        <v>100.0</v>
      </c>
      <c r="AU16" s="2">
        <v>1.0</v>
      </c>
      <c r="AV16" s="2">
        <v>-100.0</v>
      </c>
      <c r="AW16" s="2">
        <v>2.0</v>
      </c>
      <c r="AX16" s="2">
        <v>150.0</v>
      </c>
      <c r="AY16" s="2">
        <v>0.0</v>
      </c>
      <c r="AZ16" s="2">
        <v>0.0</v>
      </c>
      <c r="BA16" s="2">
        <v>3.0</v>
      </c>
      <c r="BB16" s="2">
        <v>225.0</v>
      </c>
      <c r="BC16" s="2">
        <v>1.0</v>
      </c>
      <c r="BD16" s="2">
        <v>-75.0</v>
      </c>
      <c r="BE16" s="2">
        <v>1.0</v>
      </c>
      <c r="BF16" s="2">
        <v>189.0</v>
      </c>
      <c r="BG16" s="2">
        <v>0.0</v>
      </c>
      <c r="BH16" s="2">
        <v>0.0</v>
      </c>
      <c r="BI16" s="2">
        <v>0.0</v>
      </c>
      <c r="BJ16" s="2">
        <v>0.0</v>
      </c>
      <c r="BK16" s="2">
        <v>0.0</v>
      </c>
      <c r="BL16" s="2">
        <v>0.0</v>
      </c>
      <c r="BM16" s="2">
        <v>3.0</v>
      </c>
      <c r="BN16" s="2">
        <v>225.0</v>
      </c>
    </row>
    <row r="17">
      <c r="A17" s="2" t="s">
        <v>395</v>
      </c>
      <c r="B17" s="2">
        <v>109.0</v>
      </c>
      <c r="C17" s="2">
        <v>875.0</v>
      </c>
      <c r="D17" s="2">
        <v>8.03</v>
      </c>
      <c r="E17" s="2">
        <v>0.0</v>
      </c>
      <c r="F17" s="2">
        <v>0.0</v>
      </c>
      <c r="G17" s="2">
        <v>6.0</v>
      </c>
      <c r="H17" s="2">
        <v>150.0</v>
      </c>
      <c r="I17" s="2">
        <v>7.0</v>
      </c>
      <c r="J17" s="2">
        <v>175.0</v>
      </c>
      <c r="K17" s="2">
        <v>5.0</v>
      </c>
      <c r="L17" s="2">
        <v>-75.0</v>
      </c>
      <c r="M17" s="2">
        <v>2.0</v>
      </c>
      <c r="N17" s="2">
        <v>50.0</v>
      </c>
      <c r="O17" s="2">
        <v>1.0</v>
      </c>
      <c r="P17" s="2">
        <v>25.0</v>
      </c>
      <c r="Q17" s="2">
        <v>0.0</v>
      </c>
      <c r="R17" s="2">
        <v>0.0</v>
      </c>
      <c r="S17" s="2">
        <v>0.0</v>
      </c>
      <c r="T17" s="2">
        <v>0.0</v>
      </c>
      <c r="U17" s="2">
        <v>6.0</v>
      </c>
      <c r="V17" s="2">
        <v>150.0</v>
      </c>
      <c r="W17" s="2">
        <v>4.0</v>
      </c>
      <c r="X17" s="2">
        <v>50.0</v>
      </c>
      <c r="Y17" s="2">
        <v>1.0</v>
      </c>
      <c r="Z17" s="2">
        <v>25.0</v>
      </c>
      <c r="AA17" s="2">
        <v>1.0</v>
      </c>
      <c r="AB17" s="2">
        <v>25.0</v>
      </c>
      <c r="AC17" s="2">
        <v>0.0</v>
      </c>
      <c r="AD17" s="2">
        <v>0.0</v>
      </c>
      <c r="AE17" s="2">
        <v>0.0</v>
      </c>
      <c r="AF17" s="2">
        <v>0.0</v>
      </c>
      <c r="AG17" s="2">
        <v>0.0</v>
      </c>
      <c r="AH17" s="2">
        <v>0.0</v>
      </c>
      <c r="AI17" s="2">
        <v>0.0</v>
      </c>
      <c r="AJ17" s="2">
        <v>0.0</v>
      </c>
      <c r="AK17" s="2">
        <v>1.0</v>
      </c>
      <c r="AL17" s="2">
        <v>25.0</v>
      </c>
      <c r="AM17" s="2">
        <v>6.0</v>
      </c>
      <c r="AN17" s="2">
        <v>150.0</v>
      </c>
      <c r="AO17" s="2">
        <v>6.0</v>
      </c>
      <c r="AP17" s="2">
        <v>100.0</v>
      </c>
      <c r="AQ17" s="2">
        <v>9.0</v>
      </c>
      <c r="AR17" s="2">
        <v>225.0</v>
      </c>
      <c r="AS17" s="2">
        <v>5.0</v>
      </c>
      <c r="AT17" s="2">
        <v>125.0</v>
      </c>
      <c r="AU17" s="2">
        <v>4.0</v>
      </c>
      <c r="AV17" s="2">
        <v>100.0</v>
      </c>
      <c r="AW17" s="2">
        <v>4.0</v>
      </c>
      <c r="AX17" s="2">
        <v>100.0</v>
      </c>
      <c r="AY17" s="2">
        <v>7.0</v>
      </c>
      <c r="AZ17" s="2">
        <v>-175.0</v>
      </c>
      <c r="BA17" s="2">
        <v>2.0</v>
      </c>
      <c r="BB17" s="2">
        <v>50.0</v>
      </c>
      <c r="BC17" s="2">
        <v>1.0</v>
      </c>
      <c r="BD17" s="2">
        <v>25.0</v>
      </c>
      <c r="BE17" s="2">
        <v>1.0</v>
      </c>
      <c r="BF17" s="2">
        <v>25.0</v>
      </c>
      <c r="BG17" s="2">
        <v>25.0</v>
      </c>
      <c r="BH17" s="2">
        <v>-575.0</v>
      </c>
      <c r="BI17" s="2">
        <v>1.0</v>
      </c>
      <c r="BJ17" s="2">
        <v>25.0</v>
      </c>
      <c r="BK17" s="2">
        <v>1.0</v>
      </c>
      <c r="BL17" s="2">
        <v>25.0</v>
      </c>
      <c r="BM17" s="2">
        <v>3.0</v>
      </c>
      <c r="BN17" s="2">
        <v>75.0</v>
      </c>
    </row>
    <row r="18">
      <c r="A18" s="2" t="s">
        <v>407</v>
      </c>
      <c r="B18" s="2">
        <v>9.0</v>
      </c>
      <c r="C18" s="2">
        <v>1170.0</v>
      </c>
      <c r="D18" s="2">
        <v>130.0</v>
      </c>
      <c r="E18" s="2">
        <v>1.0</v>
      </c>
      <c r="F18" s="2">
        <v>130.0</v>
      </c>
      <c r="G18" s="2">
        <v>0.0</v>
      </c>
      <c r="H18" s="2">
        <v>0.0</v>
      </c>
      <c r="I18" s="2">
        <v>1.0</v>
      </c>
      <c r="J18" s="2">
        <v>130.0</v>
      </c>
      <c r="K18" s="2">
        <v>0.0</v>
      </c>
      <c r="L18" s="2">
        <v>0.0</v>
      </c>
      <c r="M18" s="2">
        <v>1.0</v>
      </c>
      <c r="N18" s="2">
        <v>130.0</v>
      </c>
      <c r="O18" s="2">
        <v>0.0</v>
      </c>
      <c r="P18" s="2">
        <v>0.0</v>
      </c>
      <c r="Q18" s="2">
        <v>0.0</v>
      </c>
      <c r="R18" s="2">
        <v>0.0</v>
      </c>
      <c r="S18" s="2">
        <v>1.0</v>
      </c>
      <c r="T18" s="2">
        <v>130.0</v>
      </c>
      <c r="U18" s="2">
        <v>0.0</v>
      </c>
      <c r="V18" s="2">
        <v>0.0</v>
      </c>
      <c r="W18" s="2">
        <v>0.0</v>
      </c>
      <c r="X18" s="2">
        <v>0.0</v>
      </c>
      <c r="Y18" s="2">
        <v>1.0</v>
      </c>
      <c r="Z18" s="2">
        <v>130.0</v>
      </c>
      <c r="AA18" s="2">
        <v>0.0</v>
      </c>
      <c r="AB18" s="2">
        <v>0.0</v>
      </c>
      <c r="AC18" s="2">
        <v>0.0</v>
      </c>
      <c r="AD18" s="2">
        <v>0.0</v>
      </c>
      <c r="AE18" s="2">
        <v>0.0</v>
      </c>
      <c r="AF18" s="2">
        <v>0.0</v>
      </c>
      <c r="AG18" s="2">
        <v>0.0</v>
      </c>
      <c r="AH18" s="2">
        <v>0.0</v>
      </c>
      <c r="AI18" s="2">
        <v>0.0</v>
      </c>
      <c r="AJ18" s="2">
        <v>0.0</v>
      </c>
      <c r="AK18" s="2">
        <v>0.0</v>
      </c>
      <c r="AL18" s="2">
        <v>0.0</v>
      </c>
      <c r="AM18" s="2">
        <v>0.0</v>
      </c>
      <c r="AN18" s="2">
        <v>0.0</v>
      </c>
      <c r="AO18" s="2">
        <v>0.0</v>
      </c>
      <c r="AP18" s="2">
        <v>0.0</v>
      </c>
      <c r="AQ18" s="2">
        <v>0.0</v>
      </c>
      <c r="AR18" s="2">
        <v>0.0</v>
      </c>
      <c r="AS18" s="2">
        <v>0.0</v>
      </c>
      <c r="AT18" s="2">
        <v>0.0</v>
      </c>
      <c r="AU18" s="2">
        <v>0.0</v>
      </c>
      <c r="AV18" s="2">
        <v>0.0</v>
      </c>
      <c r="AW18" s="2">
        <v>0.0</v>
      </c>
      <c r="AX18" s="2">
        <v>0.0</v>
      </c>
      <c r="AY18" s="2">
        <v>2.0</v>
      </c>
      <c r="AZ18" s="2">
        <v>260.0</v>
      </c>
      <c r="BA18" s="2">
        <v>1.0</v>
      </c>
      <c r="BB18" s="2">
        <v>130.0</v>
      </c>
      <c r="BC18" s="2">
        <v>0.0</v>
      </c>
      <c r="BD18" s="2">
        <v>0.0</v>
      </c>
      <c r="BE18" s="2">
        <v>0.0</v>
      </c>
      <c r="BF18" s="2">
        <v>0.0</v>
      </c>
      <c r="BG18" s="2">
        <v>0.0</v>
      </c>
      <c r="BH18" s="2">
        <v>0.0</v>
      </c>
      <c r="BI18" s="2">
        <v>0.0</v>
      </c>
      <c r="BJ18" s="2">
        <v>0.0</v>
      </c>
      <c r="BK18" s="2">
        <v>0.0</v>
      </c>
      <c r="BL18" s="2">
        <v>0.0</v>
      </c>
      <c r="BM18" s="2">
        <v>1.0</v>
      </c>
      <c r="BN18" s="2">
        <v>130.0</v>
      </c>
    </row>
    <row r="19">
      <c r="A19" s="2" t="s">
        <v>415</v>
      </c>
      <c r="B19" s="2">
        <v>2.0</v>
      </c>
      <c r="C19" s="2">
        <v>230.0</v>
      </c>
      <c r="D19" s="2">
        <v>115.0</v>
      </c>
      <c r="E19" s="2">
        <v>0.0</v>
      </c>
      <c r="F19" s="2">
        <v>0.0</v>
      </c>
      <c r="G19" s="2">
        <v>0.0</v>
      </c>
      <c r="H19" s="2">
        <v>0.0</v>
      </c>
      <c r="I19" s="2">
        <v>0.0</v>
      </c>
      <c r="J19" s="2">
        <v>0.0</v>
      </c>
      <c r="K19" s="2">
        <v>0.0</v>
      </c>
      <c r="L19" s="2">
        <v>0.0</v>
      </c>
      <c r="M19" s="2">
        <v>0.0</v>
      </c>
      <c r="N19" s="2">
        <v>0.0</v>
      </c>
      <c r="O19" s="2">
        <v>0.0</v>
      </c>
      <c r="P19" s="2">
        <v>0.0</v>
      </c>
      <c r="Q19" s="2">
        <v>0.0</v>
      </c>
      <c r="R19" s="2">
        <v>0.0</v>
      </c>
      <c r="S19" s="2">
        <v>0.0</v>
      </c>
      <c r="T19" s="2">
        <v>0.0</v>
      </c>
      <c r="U19" s="2">
        <v>0.0</v>
      </c>
      <c r="V19" s="2">
        <v>0.0</v>
      </c>
      <c r="W19" s="2">
        <v>0.0</v>
      </c>
      <c r="X19" s="2">
        <v>0.0</v>
      </c>
      <c r="Y19" s="2">
        <v>0.0</v>
      </c>
      <c r="Z19" s="2">
        <v>0.0</v>
      </c>
      <c r="AA19" s="2">
        <v>0.0</v>
      </c>
      <c r="AB19" s="2">
        <v>0.0</v>
      </c>
      <c r="AC19" s="2">
        <v>0.0</v>
      </c>
      <c r="AD19" s="2">
        <v>0.0</v>
      </c>
      <c r="AE19" s="2">
        <v>0.0</v>
      </c>
      <c r="AF19" s="2">
        <v>0.0</v>
      </c>
      <c r="AG19" s="2">
        <v>0.0</v>
      </c>
      <c r="AH19" s="2">
        <v>0.0</v>
      </c>
      <c r="AI19" s="2">
        <v>0.0</v>
      </c>
      <c r="AJ19" s="2">
        <v>0.0</v>
      </c>
      <c r="AK19" s="2">
        <v>0.0</v>
      </c>
      <c r="AL19" s="2">
        <v>0.0</v>
      </c>
      <c r="AM19" s="2">
        <v>1.0</v>
      </c>
      <c r="AN19" s="2">
        <v>100.0</v>
      </c>
      <c r="AO19" s="2">
        <v>0.0</v>
      </c>
      <c r="AP19" s="2">
        <v>0.0</v>
      </c>
      <c r="AQ19" s="2">
        <v>0.0</v>
      </c>
      <c r="AR19" s="2">
        <v>0.0</v>
      </c>
      <c r="AS19" s="2">
        <v>0.0</v>
      </c>
      <c r="AT19" s="2">
        <v>0.0</v>
      </c>
      <c r="AU19" s="2">
        <v>0.0</v>
      </c>
      <c r="AV19" s="2">
        <v>0.0</v>
      </c>
      <c r="AW19" s="2">
        <v>0.0</v>
      </c>
      <c r="AX19" s="2">
        <v>0.0</v>
      </c>
      <c r="AY19" s="2">
        <v>1.0</v>
      </c>
      <c r="AZ19" s="2">
        <v>130.0</v>
      </c>
      <c r="BA19" s="2">
        <v>0.0</v>
      </c>
      <c r="BB19" s="2">
        <v>0.0</v>
      </c>
      <c r="BC19" s="2">
        <v>0.0</v>
      </c>
      <c r="BD19" s="2">
        <v>0.0</v>
      </c>
      <c r="BE19" s="2">
        <v>0.0</v>
      </c>
      <c r="BF19" s="2">
        <v>0.0</v>
      </c>
      <c r="BG19" s="2">
        <v>0.0</v>
      </c>
      <c r="BH19" s="2">
        <v>0.0</v>
      </c>
      <c r="BI19" s="2">
        <v>0.0</v>
      </c>
      <c r="BJ19" s="2">
        <v>0.0</v>
      </c>
      <c r="BK19" s="2">
        <v>0.0</v>
      </c>
      <c r="BL19" s="2">
        <v>0.0</v>
      </c>
      <c r="BM19" s="2">
        <v>0.0</v>
      </c>
      <c r="BN19" s="2">
        <v>0.0</v>
      </c>
    </row>
    <row r="20">
      <c r="A20" s="2" t="s">
        <v>426</v>
      </c>
      <c r="B20" s="2">
        <v>12.0</v>
      </c>
      <c r="C20" s="2">
        <v>2030.0</v>
      </c>
      <c r="D20" s="2">
        <v>169.17</v>
      </c>
      <c r="E20" s="2">
        <v>0.0</v>
      </c>
      <c r="F20" s="2">
        <v>0.0</v>
      </c>
      <c r="G20" s="2">
        <v>0.0</v>
      </c>
      <c r="H20" s="2">
        <v>0.0</v>
      </c>
      <c r="I20" s="2">
        <v>0.0</v>
      </c>
      <c r="J20" s="2">
        <v>0.0</v>
      </c>
      <c r="K20" s="2">
        <v>0.0</v>
      </c>
      <c r="L20" s="2">
        <v>0.0</v>
      </c>
      <c r="M20" s="2">
        <v>1.0</v>
      </c>
      <c r="N20" s="2">
        <v>100.0</v>
      </c>
      <c r="O20" s="2">
        <v>0.0</v>
      </c>
      <c r="P20" s="2">
        <v>0.0</v>
      </c>
      <c r="Q20" s="2">
        <v>1.0</v>
      </c>
      <c r="R20" s="2">
        <v>125.0</v>
      </c>
      <c r="S20" s="2">
        <v>0.0</v>
      </c>
      <c r="T20" s="2">
        <v>0.0</v>
      </c>
      <c r="U20" s="2">
        <v>0.0</v>
      </c>
      <c r="V20" s="2">
        <v>0.0</v>
      </c>
      <c r="W20" s="2">
        <v>2.0</v>
      </c>
      <c r="X20" s="2">
        <v>300.0</v>
      </c>
      <c r="Y20" s="2">
        <v>2.0</v>
      </c>
      <c r="Z20" s="2">
        <v>300.0</v>
      </c>
      <c r="AA20" s="2">
        <v>1.0</v>
      </c>
      <c r="AB20" s="2">
        <v>80.0</v>
      </c>
      <c r="AC20" s="2">
        <v>0.0</v>
      </c>
      <c r="AD20" s="2">
        <v>0.0</v>
      </c>
      <c r="AE20" s="2">
        <v>0.0</v>
      </c>
      <c r="AF20" s="2">
        <v>0.0</v>
      </c>
      <c r="AG20" s="2">
        <v>0.0</v>
      </c>
      <c r="AH20" s="2">
        <v>0.0</v>
      </c>
      <c r="AI20" s="2">
        <v>0.0</v>
      </c>
      <c r="AJ20" s="2">
        <v>0.0</v>
      </c>
      <c r="AK20" s="2">
        <v>0.0</v>
      </c>
      <c r="AL20" s="2">
        <v>0.0</v>
      </c>
      <c r="AM20" s="2">
        <v>0.0</v>
      </c>
      <c r="AN20" s="2">
        <v>0.0</v>
      </c>
      <c r="AO20" s="2">
        <v>0.0</v>
      </c>
      <c r="AP20" s="2">
        <v>0.0</v>
      </c>
      <c r="AQ20" s="2">
        <v>0.0</v>
      </c>
      <c r="AR20" s="2">
        <v>0.0</v>
      </c>
      <c r="AS20" s="2">
        <v>0.0</v>
      </c>
      <c r="AT20" s="2">
        <v>0.0</v>
      </c>
      <c r="AU20" s="2">
        <v>0.0</v>
      </c>
      <c r="AV20" s="2">
        <v>0.0</v>
      </c>
      <c r="AW20" s="2">
        <v>0.0</v>
      </c>
      <c r="AX20" s="2">
        <v>0.0</v>
      </c>
      <c r="AY20" s="2">
        <v>0.0</v>
      </c>
      <c r="AZ20" s="2">
        <v>0.0</v>
      </c>
      <c r="BA20" s="2">
        <v>0.0</v>
      </c>
      <c r="BB20" s="2">
        <v>0.0</v>
      </c>
      <c r="BC20" s="2">
        <v>0.0</v>
      </c>
      <c r="BD20" s="2">
        <v>0.0</v>
      </c>
      <c r="BE20" s="2">
        <v>1.0</v>
      </c>
      <c r="BF20" s="2">
        <v>225.0</v>
      </c>
      <c r="BG20" s="2">
        <v>1.0</v>
      </c>
      <c r="BH20" s="2">
        <v>225.0</v>
      </c>
      <c r="BI20" s="2">
        <v>1.0</v>
      </c>
      <c r="BJ20" s="2">
        <v>225.0</v>
      </c>
      <c r="BK20" s="2">
        <v>1.0</v>
      </c>
      <c r="BL20" s="2">
        <v>225.0</v>
      </c>
      <c r="BM20" s="2">
        <v>1.0</v>
      </c>
      <c r="BN20" s="2">
        <v>225.0</v>
      </c>
    </row>
    <row r="21">
      <c r="A21" s="2" t="s">
        <v>433</v>
      </c>
      <c r="B21" s="2">
        <v>9.0</v>
      </c>
      <c r="C21" s="2">
        <v>415.0</v>
      </c>
      <c r="D21" s="2">
        <v>46.11</v>
      </c>
      <c r="E21" s="2">
        <v>1.0</v>
      </c>
      <c r="F21" s="2">
        <v>50.0</v>
      </c>
      <c r="G21" s="2">
        <v>1.0</v>
      </c>
      <c r="H21" s="2">
        <v>50.0</v>
      </c>
      <c r="I21" s="2">
        <v>0.0</v>
      </c>
      <c r="J21" s="2">
        <v>0.0</v>
      </c>
      <c r="K21" s="2">
        <v>0.0</v>
      </c>
      <c r="L21" s="2">
        <v>0.0</v>
      </c>
      <c r="M21" s="2">
        <v>0.0</v>
      </c>
      <c r="N21" s="2">
        <v>0.0</v>
      </c>
      <c r="O21" s="2">
        <v>0.0</v>
      </c>
      <c r="P21" s="2">
        <v>0.0</v>
      </c>
      <c r="Q21" s="2">
        <v>0.0</v>
      </c>
      <c r="R21" s="2">
        <v>0.0</v>
      </c>
      <c r="S21" s="2">
        <v>0.0</v>
      </c>
      <c r="T21" s="2">
        <v>0.0</v>
      </c>
      <c r="U21" s="2">
        <v>0.0</v>
      </c>
      <c r="V21" s="2">
        <v>0.0</v>
      </c>
      <c r="W21" s="2">
        <v>0.0</v>
      </c>
      <c r="X21" s="2">
        <v>0.0</v>
      </c>
      <c r="Y21" s="2">
        <v>0.0</v>
      </c>
      <c r="Z21" s="2">
        <v>0.0</v>
      </c>
      <c r="AA21" s="2">
        <v>0.0</v>
      </c>
      <c r="AB21" s="2">
        <v>0.0</v>
      </c>
      <c r="AC21" s="2">
        <v>0.0</v>
      </c>
      <c r="AD21" s="2">
        <v>0.0</v>
      </c>
      <c r="AE21" s="2">
        <v>0.0</v>
      </c>
      <c r="AF21" s="2">
        <v>0.0</v>
      </c>
      <c r="AG21" s="2">
        <v>0.0</v>
      </c>
      <c r="AH21" s="2">
        <v>0.0</v>
      </c>
      <c r="AI21" s="2">
        <v>0.0</v>
      </c>
      <c r="AJ21" s="2">
        <v>0.0</v>
      </c>
      <c r="AK21" s="2">
        <v>0.0</v>
      </c>
      <c r="AL21" s="2">
        <v>0.0</v>
      </c>
      <c r="AM21" s="2">
        <v>0.0</v>
      </c>
      <c r="AN21" s="2">
        <v>0.0</v>
      </c>
      <c r="AO21" s="2">
        <v>0.0</v>
      </c>
      <c r="AP21" s="2">
        <v>0.0</v>
      </c>
      <c r="AQ21" s="2">
        <v>1.0</v>
      </c>
      <c r="AR21" s="2">
        <v>45.0</v>
      </c>
      <c r="AS21" s="2">
        <v>1.0</v>
      </c>
      <c r="AT21" s="2">
        <v>45.0</v>
      </c>
      <c r="AU21" s="2">
        <v>1.0</v>
      </c>
      <c r="AV21" s="2">
        <v>45.0</v>
      </c>
      <c r="AW21" s="2">
        <v>1.0</v>
      </c>
      <c r="AX21" s="2">
        <v>45.0</v>
      </c>
      <c r="AY21" s="2">
        <v>1.0</v>
      </c>
      <c r="AZ21" s="2">
        <v>45.0</v>
      </c>
      <c r="BA21" s="2">
        <v>1.0</v>
      </c>
      <c r="BB21" s="2">
        <v>45.0</v>
      </c>
      <c r="BC21" s="2">
        <v>1.0</v>
      </c>
      <c r="BD21" s="2">
        <v>45.0</v>
      </c>
      <c r="BE21" s="2">
        <v>0.0</v>
      </c>
      <c r="BF21" s="2">
        <v>0.0</v>
      </c>
      <c r="BG21" s="2">
        <v>0.0</v>
      </c>
      <c r="BH21" s="2">
        <v>0.0</v>
      </c>
      <c r="BI21" s="2">
        <v>0.0</v>
      </c>
      <c r="BJ21" s="2">
        <v>0.0</v>
      </c>
      <c r="BK21" s="2">
        <v>0.0</v>
      </c>
      <c r="BL21" s="2">
        <v>0.0</v>
      </c>
      <c r="BM21" s="2">
        <v>0.0</v>
      </c>
      <c r="BN21" s="2">
        <v>0.0</v>
      </c>
    </row>
    <row r="22">
      <c r="A22" s="2" t="s">
        <v>437</v>
      </c>
      <c r="B22" s="2">
        <v>8.0</v>
      </c>
      <c r="C22" s="2">
        <v>392.0</v>
      </c>
      <c r="D22" s="2">
        <v>49.0</v>
      </c>
      <c r="E22" s="2">
        <v>0.0</v>
      </c>
      <c r="F22" s="2">
        <v>0.0</v>
      </c>
      <c r="G22" s="2">
        <v>0.0</v>
      </c>
      <c r="H22" s="2">
        <v>0.0</v>
      </c>
      <c r="I22" s="2">
        <v>0.0</v>
      </c>
      <c r="J22" s="2">
        <v>0.0</v>
      </c>
      <c r="K22" s="2">
        <v>0.0</v>
      </c>
      <c r="L22" s="2">
        <v>0.0</v>
      </c>
      <c r="M22" s="2">
        <v>0.0</v>
      </c>
      <c r="N22" s="2">
        <v>0.0</v>
      </c>
      <c r="O22" s="2">
        <v>0.0</v>
      </c>
      <c r="P22" s="2">
        <v>0.0</v>
      </c>
      <c r="Q22" s="2">
        <v>0.0</v>
      </c>
      <c r="R22" s="2">
        <v>0.0</v>
      </c>
      <c r="S22" s="2">
        <v>0.0</v>
      </c>
      <c r="T22" s="2">
        <v>0.0</v>
      </c>
      <c r="U22" s="2">
        <v>0.0</v>
      </c>
      <c r="V22" s="2">
        <v>0.0</v>
      </c>
      <c r="W22" s="2">
        <v>0.0</v>
      </c>
      <c r="X22" s="2">
        <v>0.0</v>
      </c>
      <c r="Y22" s="2">
        <v>0.0</v>
      </c>
      <c r="Z22" s="2">
        <v>0.0</v>
      </c>
      <c r="AA22" s="2">
        <v>0.0</v>
      </c>
      <c r="AB22" s="2">
        <v>0.0</v>
      </c>
      <c r="AC22" s="2">
        <v>0.0</v>
      </c>
      <c r="AD22" s="2">
        <v>0.0</v>
      </c>
      <c r="AE22" s="2">
        <v>0.0</v>
      </c>
      <c r="AF22" s="2">
        <v>0.0</v>
      </c>
      <c r="AG22" s="2">
        <v>0.0</v>
      </c>
      <c r="AH22" s="2">
        <v>0.0</v>
      </c>
      <c r="AI22" s="2">
        <v>0.0</v>
      </c>
      <c r="AJ22" s="2">
        <v>0.0</v>
      </c>
      <c r="AK22" s="2">
        <v>0.0</v>
      </c>
      <c r="AL22" s="2">
        <v>0.0</v>
      </c>
      <c r="AM22" s="2">
        <v>0.0</v>
      </c>
      <c r="AN22" s="2">
        <v>0.0</v>
      </c>
      <c r="AO22" s="2">
        <v>0.0</v>
      </c>
      <c r="AP22" s="2">
        <v>0.0</v>
      </c>
      <c r="AQ22" s="2">
        <v>0.0</v>
      </c>
      <c r="AR22" s="2">
        <v>0.0</v>
      </c>
      <c r="AS22" s="2">
        <v>0.0</v>
      </c>
      <c r="AT22" s="2">
        <v>0.0</v>
      </c>
      <c r="AU22" s="2">
        <v>0.0</v>
      </c>
      <c r="AV22" s="2">
        <v>0.0</v>
      </c>
      <c r="AW22" s="2">
        <v>1.0</v>
      </c>
      <c r="AX22" s="2">
        <v>49.0</v>
      </c>
      <c r="AY22" s="2">
        <v>0.0</v>
      </c>
      <c r="AZ22" s="2">
        <v>0.0</v>
      </c>
      <c r="BA22" s="2">
        <v>5.0</v>
      </c>
      <c r="BB22" s="2">
        <v>245.0</v>
      </c>
      <c r="BC22" s="2">
        <v>1.0</v>
      </c>
      <c r="BD22" s="2">
        <v>49.0</v>
      </c>
      <c r="BE22" s="2">
        <v>0.0</v>
      </c>
      <c r="BF22" s="2">
        <v>0.0</v>
      </c>
      <c r="BG22" s="2">
        <v>0.0</v>
      </c>
      <c r="BH22" s="2">
        <v>0.0</v>
      </c>
      <c r="BI22" s="2">
        <v>1.0</v>
      </c>
      <c r="BJ22" s="2">
        <v>49.0</v>
      </c>
      <c r="BK22" s="2">
        <v>0.0</v>
      </c>
      <c r="BL22" s="2">
        <v>0.0</v>
      </c>
      <c r="BM22" s="2">
        <v>0.0</v>
      </c>
      <c r="BN22" s="2">
        <v>0.0</v>
      </c>
    </row>
    <row r="23">
      <c r="A23" s="2" t="s">
        <v>453</v>
      </c>
      <c r="B23" s="2">
        <v>653.0</v>
      </c>
      <c r="C23" s="2">
        <v>-39010.22</v>
      </c>
      <c r="D23" s="2">
        <v>-59.74</v>
      </c>
      <c r="E23" s="2">
        <v>15.0</v>
      </c>
      <c r="F23" s="2">
        <v>-896.1</v>
      </c>
      <c r="G23" s="2">
        <v>5.0</v>
      </c>
      <c r="H23" s="2">
        <v>-298.7</v>
      </c>
      <c r="I23" s="2">
        <v>1.0</v>
      </c>
      <c r="J23" s="2">
        <v>-59.74</v>
      </c>
      <c r="K23" s="2">
        <v>6.0</v>
      </c>
      <c r="L23" s="2">
        <v>-358.44</v>
      </c>
      <c r="M23" s="2">
        <v>37.0</v>
      </c>
      <c r="N23" s="2">
        <v>-2210.38</v>
      </c>
      <c r="O23" s="2">
        <v>64.0</v>
      </c>
      <c r="P23" s="2">
        <v>-3823.36</v>
      </c>
      <c r="Q23" s="2">
        <v>45.0</v>
      </c>
      <c r="R23" s="2">
        <v>-2688.3</v>
      </c>
      <c r="S23" s="2">
        <v>31.0</v>
      </c>
      <c r="T23" s="2">
        <v>-1851.94</v>
      </c>
      <c r="U23" s="2">
        <v>18.0</v>
      </c>
      <c r="V23" s="2">
        <v>-1075.32</v>
      </c>
      <c r="W23" s="2">
        <v>3.0</v>
      </c>
      <c r="X23" s="2">
        <v>-179.22</v>
      </c>
      <c r="Y23" s="2">
        <v>1.0</v>
      </c>
      <c r="Z23" s="2">
        <v>-59.74</v>
      </c>
      <c r="AA23" s="2">
        <v>6.0</v>
      </c>
      <c r="AB23" s="2">
        <v>-358.44</v>
      </c>
      <c r="AC23" s="2">
        <v>13.0</v>
      </c>
      <c r="AD23" s="2">
        <v>-776.62</v>
      </c>
      <c r="AE23" s="2">
        <v>5.0</v>
      </c>
      <c r="AF23" s="2">
        <v>-298.7</v>
      </c>
      <c r="AG23" s="2">
        <v>8.0</v>
      </c>
      <c r="AH23" s="2">
        <v>-477.92</v>
      </c>
      <c r="AI23" s="2">
        <v>3.0</v>
      </c>
      <c r="AJ23" s="2">
        <v>-179.22</v>
      </c>
      <c r="AK23" s="2">
        <v>3.0</v>
      </c>
      <c r="AL23" s="2">
        <v>-179.22</v>
      </c>
      <c r="AM23" s="2">
        <v>23.0</v>
      </c>
      <c r="AN23" s="2">
        <v>-1374.02</v>
      </c>
      <c r="AO23" s="2">
        <v>34.0</v>
      </c>
      <c r="AP23" s="2">
        <v>-2031.16</v>
      </c>
      <c r="AQ23" s="2">
        <v>49.0</v>
      </c>
      <c r="AR23" s="2">
        <v>-2927.26</v>
      </c>
      <c r="AS23" s="2">
        <v>31.0</v>
      </c>
      <c r="AT23" s="2">
        <v>-1851.94</v>
      </c>
      <c r="AU23" s="2">
        <v>39.0</v>
      </c>
      <c r="AV23" s="2">
        <v>-2329.86</v>
      </c>
      <c r="AW23" s="2">
        <v>30.0</v>
      </c>
      <c r="AX23" s="2">
        <v>-1792.2</v>
      </c>
      <c r="AY23" s="2">
        <v>4.0</v>
      </c>
      <c r="AZ23" s="2">
        <v>-238.96</v>
      </c>
      <c r="BA23" s="2">
        <v>4.0</v>
      </c>
      <c r="BB23" s="2">
        <v>-238.96</v>
      </c>
      <c r="BC23" s="2">
        <v>5.0</v>
      </c>
      <c r="BD23" s="2">
        <v>-298.7</v>
      </c>
      <c r="BE23" s="2">
        <v>42.0</v>
      </c>
      <c r="BF23" s="2">
        <v>-2509.08</v>
      </c>
      <c r="BG23" s="2">
        <v>44.0</v>
      </c>
      <c r="BH23" s="2">
        <v>-2628.56</v>
      </c>
      <c r="BI23" s="2">
        <v>49.0</v>
      </c>
      <c r="BJ23" s="2">
        <v>-2927.26</v>
      </c>
      <c r="BK23" s="2">
        <v>34.0</v>
      </c>
      <c r="BL23" s="2">
        <v>-2031.16</v>
      </c>
      <c r="BM23" s="2">
        <v>1.0</v>
      </c>
      <c r="BN23" s="2">
        <v>-59.74</v>
      </c>
    </row>
    <row r="24">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row>
  </sheetData>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c r="B1" s="2" t="s">
        <v>3</v>
      </c>
      <c r="C1" s="2" t="s">
        <v>4</v>
      </c>
      <c r="D1" s="2" t="s">
        <v>5</v>
      </c>
      <c r="E1" s="2" t="s">
        <v>6</v>
      </c>
      <c r="F1" s="2" t="s">
        <v>7</v>
      </c>
      <c r="G1" s="2" t="s">
        <v>8</v>
      </c>
      <c r="H1" s="2" t="s">
        <v>9</v>
      </c>
      <c r="I1" s="2" t="s">
        <v>10</v>
      </c>
      <c r="J1" s="2" t="s">
        <v>11</v>
      </c>
      <c r="K1" s="2" t="s">
        <v>13</v>
      </c>
      <c r="L1" s="2" t="s">
        <v>14</v>
      </c>
    </row>
    <row r="2">
      <c r="A2" s="29">
        <v>46204.0</v>
      </c>
      <c r="B2" s="2" t="s">
        <v>31</v>
      </c>
      <c r="C2" s="2" t="s">
        <v>16</v>
      </c>
      <c r="D2" s="2" t="s">
        <v>320</v>
      </c>
      <c r="E2" s="2" t="s">
        <v>52</v>
      </c>
      <c r="F2" s="2">
        <v>2.0</v>
      </c>
      <c r="G2" s="2" t="s">
        <v>34</v>
      </c>
      <c r="H2" s="2">
        <v>3.0</v>
      </c>
      <c r="I2" s="2">
        <v>449.25</v>
      </c>
      <c r="J2" s="2">
        <v>0.0</v>
      </c>
      <c r="K2" s="2">
        <v>2.0</v>
      </c>
      <c r="L2" s="2">
        <v>0.0</v>
      </c>
    </row>
    <row r="3">
      <c r="A3" s="29">
        <v>46204.0</v>
      </c>
      <c r="B3" s="2" t="s">
        <v>31</v>
      </c>
      <c r="C3" s="2" t="s">
        <v>16</v>
      </c>
      <c r="D3" s="2" t="s">
        <v>324</v>
      </c>
      <c r="E3" s="2" t="s">
        <v>52</v>
      </c>
      <c r="F3" s="2">
        <v>2.0</v>
      </c>
      <c r="G3" s="2" t="s">
        <v>34</v>
      </c>
      <c r="H3" s="2">
        <v>3.0</v>
      </c>
      <c r="I3" s="2">
        <v>449.0</v>
      </c>
      <c r="J3" s="2">
        <v>0.0</v>
      </c>
      <c r="K3" s="2">
        <v>1.0</v>
      </c>
      <c r="L3" s="2">
        <v>0.0</v>
      </c>
    </row>
    <row r="4">
      <c r="A4" s="29">
        <v>46204.0</v>
      </c>
      <c r="B4" s="2"/>
      <c r="C4" s="2" t="s">
        <v>39</v>
      </c>
      <c r="D4" s="2" t="s">
        <v>327</v>
      </c>
      <c r="E4" s="2" t="s">
        <v>328</v>
      </c>
      <c r="F4" s="2">
        <v>1.0</v>
      </c>
      <c r="G4" s="2" t="s">
        <v>25</v>
      </c>
      <c r="H4" s="2">
        <v>3.0</v>
      </c>
      <c r="I4" s="2">
        <v>521.1</v>
      </c>
      <c r="J4" s="2">
        <v>100.0</v>
      </c>
      <c r="K4" s="2">
        <v>1.0</v>
      </c>
      <c r="L4" s="2">
        <v>100.0</v>
      </c>
    </row>
    <row r="5">
      <c r="A5" s="29">
        <v>46204.0</v>
      </c>
      <c r="B5" s="2" t="s">
        <v>31</v>
      </c>
      <c r="C5" s="2" t="s">
        <v>16</v>
      </c>
      <c r="D5" s="2" t="s">
        <v>330</v>
      </c>
      <c r="E5" s="2" t="s">
        <v>223</v>
      </c>
      <c r="F5" s="2">
        <v>1.0</v>
      </c>
      <c r="G5" s="2" t="s">
        <v>34</v>
      </c>
      <c r="H5" s="2">
        <v>3.0</v>
      </c>
      <c r="I5" s="2">
        <v>659.25</v>
      </c>
      <c r="J5" s="2">
        <v>0.0</v>
      </c>
      <c r="K5" s="2">
        <v>4.0</v>
      </c>
      <c r="L5" s="2">
        <v>0.0</v>
      </c>
    </row>
    <row r="6">
      <c r="A6" s="29">
        <v>46204.0</v>
      </c>
      <c r="B6" s="2" t="s">
        <v>31</v>
      </c>
      <c r="C6" s="2" t="s">
        <v>16</v>
      </c>
      <c r="D6" s="2" t="s">
        <v>324</v>
      </c>
      <c r="E6" s="2" t="s">
        <v>223</v>
      </c>
      <c r="F6" s="2">
        <v>1.0</v>
      </c>
      <c r="G6" s="2" t="s">
        <v>52</v>
      </c>
      <c r="H6" s="2">
        <v>2.0</v>
      </c>
      <c r="I6" s="2">
        <v>449.0</v>
      </c>
      <c r="J6" s="2">
        <v>0.0</v>
      </c>
      <c r="K6" s="2">
        <v>1.0</v>
      </c>
      <c r="L6" s="2">
        <v>0.0</v>
      </c>
    </row>
    <row r="7">
      <c r="A7" s="29">
        <v>46204.0</v>
      </c>
      <c r="B7" s="2" t="s">
        <v>31</v>
      </c>
      <c r="C7" s="2" t="s">
        <v>16</v>
      </c>
      <c r="D7" s="2" t="s">
        <v>333</v>
      </c>
      <c r="E7" s="2" t="s">
        <v>52</v>
      </c>
      <c r="F7" s="2">
        <v>2.0</v>
      </c>
      <c r="G7" s="2" t="s">
        <v>34</v>
      </c>
      <c r="H7" s="2">
        <v>3.0</v>
      </c>
      <c r="I7" s="2">
        <v>250.0</v>
      </c>
      <c r="J7" s="2">
        <v>0.0</v>
      </c>
      <c r="K7" s="2">
        <v>2.0</v>
      </c>
      <c r="L7" s="2">
        <v>0.0</v>
      </c>
    </row>
    <row r="8">
      <c r="A8" s="29">
        <v>46204.0</v>
      </c>
      <c r="B8" s="2" t="s">
        <v>251</v>
      </c>
      <c r="C8" s="2" t="s">
        <v>16</v>
      </c>
      <c r="D8" s="2" t="s">
        <v>336</v>
      </c>
      <c r="E8" s="2" t="s">
        <v>328</v>
      </c>
      <c r="F8" s="2">
        <v>1.0</v>
      </c>
      <c r="G8" s="2" t="s">
        <v>41</v>
      </c>
      <c r="H8" s="2">
        <v>3.0</v>
      </c>
      <c r="I8" s="2">
        <v>342.77</v>
      </c>
      <c r="J8" s="2">
        <v>0.0</v>
      </c>
      <c r="K8" s="2">
        <v>1.0</v>
      </c>
      <c r="L8" s="2">
        <v>0.0</v>
      </c>
    </row>
    <row r="9">
      <c r="A9" s="29">
        <v>46204.0</v>
      </c>
      <c r="B9" s="2" t="s">
        <v>31</v>
      </c>
      <c r="C9" s="2" t="s">
        <v>16</v>
      </c>
      <c r="D9" s="2" t="s">
        <v>338</v>
      </c>
      <c r="E9" s="2" t="s">
        <v>18</v>
      </c>
      <c r="F9" s="2">
        <v>1.0</v>
      </c>
      <c r="G9" s="2" t="s">
        <v>52</v>
      </c>
      <c r="H9" s="2">
        <v>2.0</v>
      </c>
      <c r="I9" s="2">
        <v>220.36</v>
      </c>
      <c r="J9" s="2">
        <v>0.0</v>
      </c>
      <c r="K9" s="2">
        <v>1.0</v>
      </c>
      <c r="L9" s="2">
        <v>0.0</v>
      </c>
    </row>
    <row r="10">
      <c r="A10" s="29">
        <v>46204.0</v>
      </c>
      <c r="B10" s="2" t="s">
        <v>152</v>
      </c>
      <c r="C10" s="2" t="s">
        <v>16</v>
      </c>
      <c r="D10" s="2" t="s">
        <v>341</v>
      </c>
      <c r="E10" s="2" t="s">
        <v>22</v>
      </c>
      <c r="F10" s="2">
        <v>1.0</v>
      </c>
      <c r="G10" s="2" t="s">
        <v>88</v>
      </c>
      <c r="H10" s="2">
        <v>3.0</v>
      </c>
      <c r="I10" s="2">
        <v>283.57</v>
      </c>
      <c r="J10" s="2">
        <v>0.0</v>
      </c>
      <c r="K10" s="2">
        <v>1.0</v>
      </c>
      <c r="L10" s="2">
        <v>0.0</v>
      </c>
    </row>
    <row r="11">
      <c r="A11" s="29">
        <v>46204.0</v>
      </c>
      <c r="B11" s="2" t="s">
        <v>152</v>
      </c>
      <c r="C11" s="2" t="s">
        <v>16</v>
      </c>
      <c r="D11" s="2" t="s">
        <v>346</v>
      </c>
      <c r="E11" s="2" t="s">
        <v>22</v>
      </c>
      <c r="F11" s="2">
        <v>1.0</v>
      </c>
      <c r="G11" s="2" t="s">
        <v>34</v>
      </c>
      <c r="H11" s="2">
        <v>3.0</v>
      </c>
      <c r="I11" s="2">
        <v>468.52</v>
      </c>
      <c r="J11" s="2">
        <v>0.0</v>
      </c>
      <c r="K11" s="2">
        <v>2.0</v>
      </c>
      <c r="L11" s="2">
        <v>0.0</v>
      </c>
    </row>
    <row r="12">
      <c r="A12" s="29">
        <v>46204.0</v>
      </c>
      <c r="B12" s="2"/>
      <c r="C12" s="2" t="s">
        <v>174</v>
      </c>
      <c r="D12" s="2" t="s">
        <v>349</v>
      </c>
      <c r="E12" s="2" t="s">
        <v>19</v>
      </c>
      <c r="F12" s="2">
        <v>2.0</v>
      </c>
      <c r="G12" s="2" t="s">
        <v>28</v>
      </c>
      <c r="H12" s="2">
        <v>3.0</v>
      </c>
      <c r="I12" s="2">
        <v>419.3</v>
      </c>
      <c r="J12" s="2">
        <v>50.0</v>
      </c>
      <c r="K12" s="2">
        <v>1.0</v>
      </c>
      <c r="L12" s="2">
        <v>50.0</v>
      </c>
    </row>
    <row r="13">
      <c r="A13" s="29">
        <v>46204.0</v>
      </c>
      <c r="B13" s="2" t="s">
        <v>152</v>
      </c>
      <c r="C13" s="2" t="s">
        <v>16</v>
      </c>
      <c r="D13" s="2" t="s">
        <v>350</v>
      </c>
      <c r="E13" s="2" t="s">
        <v>223</v>
      </c>
      <c r="F13" s="2">
        <v>1.0</v>
      </c>
      <c r="G13" s="2" t="s">
        <v>88</v>
      </c>
      <c r="H13" s="2">
        <v>3.0</v>
      </c>
      <c r="I13" s="2">
        <v>272.9</v>
      </c>
      <c r="J13" s="2">
        <v>0.0</v>
      </c>
      <c r="K13" s="2">
        <v>1.0</v>
      </c>
      <c r="L13" s="2">
        <v>0.0</v>
      </c>
    </row>
    <row r="14">
      <c r="A14" s="29">
        <v>46204.0</v>
      </c>
      <c r="B14" s="2" t="s">
        <v>354</v>
      </c>
      <c r="C14" s="2" t="s">
        <v>16</v>
      </c>
      <c r="D14" s="2" t="s">
        <v>355</v>
      </c>
      <c r="E14" s="2" t="s">
        <v>22</v>
      </c>
      <c r="F14" s="2">
        <v>1.0</v>
      </c>
      <c r="G14" s="2" t="s">
        <v>52</v>
      </c>
      <c r="H14" s="2">
        <v>2.0</v>
      </c>
      <c r="I14" s="2">
        <v>189.0</v>
      </c>
      <c r="J14" s="2">
        <v>0.0</v>
      </c>
      <c r="K14" s="2">
        <v>1.0</v>
      </c>
      <c r="L14" s="2">
        <v>0.0</v>
      </c>
    </row>
    <row r="15">
      <c r="A15" s="29">
        <v>46204.0</v>
      </c>
      <c r="B15" s="2" t="s">
        <v>354</v>
      </c>
      <c r="C15" s="2" t="s">
        <v>16</v>
      </c>
      <c r="D15" s="2" t="s">
        <v>358</v>
      </c>
      <c r="E15" s="2" t="s">
        <v>22</v>
      </c>
      <c r="F15" s="2">
        <v>1.0</v>
      </c>
      <c r="G15" s="2" t="s">
        <v>19</v>
      </c>
      <c r="H15" s="2">
        <v>2.0</v>
      </c>
      <c r="I15" s="2">
        <v>189.0</v>
      </c>
      <c r="J15" s="2">
        <v>0.0</v>
      </c>
      <c r="K15" s="2">
        <v>1.0</v>
      </c>
      <c r="L15" s="2">
        <v>0.0</v>
      </c>
    </row>
    <row r="16">
      <c r="A16" s="29">
        <v>46204.0</v>
      </c>
      <c r="B16" s="2" t="s">
        <v>354</v>
      </c>
      <c r="C16" s="2" t="s">
        <v>16</v>
      </c>
      <c r="D16" s="2" t="s">
        <v>359</v>
      </c>
      <c r="E16" s="2" t="s">
        <v>22</v>
      </c>
      <c r="F16" s="2">
        <v>1.0</v>
      </c>
      <c r="G16" s="2" t="s">
        <v>19</v>
      </c>
      <c r="H16" s="2">
        <v>2.0</v>
      </c>
      <c r="I16" s="2">
        <v>189.0</v>
      </c>
      <c r="J16" s="2">
        <v>0.0</v>
      </c>
      <c r="K16" s="2">
        <v>1.0</v>
      </c>
      <c r="L16" s="2">
        <v>0.0</v>
      </c>
    </row>
    <row r="17">
      <c r="A17" s="29">
        <v>46204.0</v>
      </c>
      <c r="B17" s="2" t="s">
        <v>354</v>
      </c>
      <c r="C17" s="2" t="s">
        <v>16</v>
      </c>
      <c r="D17" s="2" t="s">
        <v>361</v>
      </c>
      <c r="E17" s="2" t="s">
        <v>22</v>
      </c>
      <c r="F17" s="2">
        <v>1.0</v>
      </c>
      <c r="G17" s="2" t="s">
        <v>19</v>
      </c>
      <c r="H17" s="2">
        <v>2.0</v>
      </c>
      <c r="I17" s="2">
        <v>189.0</v>
      </c>
      <c r="J17" s="2">
        <v>0.0</v>
      </c>
      <c r="K17" s="2">
        <v>1.0</v>
      </c>
      <c r="L17" s="2">
        <v>0.0</v>
      </c>
    </row>
    <row r="18">
      <c r="A18" s="29">
        <v>46204.0</v>
      </c>
      <c r="B18" s="2" t="s">
        <v>354</v>
      </c>
      <c r="C18" s="2" t="s">
        <v>16</v>
      </c>
      <c r="D18" s="2" t="s">
        <v>362</v>
      </c>
      <c r="E18" s="2" t="s">
        <v>22</v>
      </c>
      <c r="F18" s="2">
        <v>1.0</v>
      </c>
      <c r="G18" s="2" t="s">
        <v>19</v>
      </c>
      <c r="H18" s="2">
        <v>2.0</v>
      </c>
      <c r="I18" s="2">
        <v>189.0</v>
      </c>
      <c r="J18" s="2">
        <v>0.0</v>
      </c>
      <c r="K18" s="2">
        <v>1.0</v>
      </c>
      <c r="L18" s="2">
        <v>0.0</v>
      </c>
    </row>
    <row r="19">
      <c r="A19" s="29">
        <v>46204.0</v>
      </c>
      <c r="B19" s="2" t="s">
        <v>354</v>
      </c>
      <c r="C19" s="2" t="s">
        <v>16</v>
      </c>
      <c r="D19" s="2" t="s">
        <v>365</v>
      </c>
      <c r="E19" s="2" t="s">
        <v>22</v>
      </c>
      <c r="F19" s="2">
        <v>1.0</v>
      </c>
      <c r="G19" s="2" t="s">
        <v>19</v>
      </c>
      <c r="H19" s="2">
        <v>2.0</v>
      </c>
      <c r="I19" s="2">
        <v>189.0</v>
      </c>
      <c r="J19" s="2">
        <v>0.0</v>
      </c>
      <c r="K19" s="2">
        <v>1.0</v>
      </c>
      <c r="L19" s="2">
        <v>0.0</v>
      </c>
    </row>
    <row r="20">
      <c r="A20" s="29">
        <v>46205.0</v>
      </c>
      <c r="B20" s="2" t="s">
        <v>152</v>
      </c>
      <c r="C20" s="2" t="s">
        <v>16</v>
      </c>
      <c r="D20" s="2" t="s">
        <v>367</v>
      </c>
      <c r="E20" s="2" t="s">
        <v>38</v>
      </c>
      <c r="F20" s="2">
        <v>1.0</v>
      </c>
      <c r="G20" s="2" t="s">
        <v>34</v>
      </c>
      <c r="H20" s="2">
        <v>3.0</v>
      </c>
      <c r="I20" s="2">
        <v>322.11</v>
      </c>
      <c r="J20" s="2">
        <v>0.0</v>
      </c>
      <c r="K20" s="2">
        <v>1.0</v>
      </c>
      <c r="L20" s="2">
        <v>0.0</v>
      </c>
    </row>
    <row r="21">
      <c r="A21" s="29">
        <v>46205.0</v>
      </c>
      <c r="B21" s="2" t="s">
        <v>78</v>
      </c>
      <c r="C21" s="2" t="s">
        <v>16</v>
      </c>
      <c r="D21" s="2" t="s">
        <v>369</v>
      </c>
      <c r="E21" s="2" t="s">
        <v>22</v>
      </c>
      <c r="F21" s="2">
        <v>1.0</v>
      </c>
      <c r="G21" s="2" t="s">
        <v>19</v>
      </c>
      <c r="H21" s="2">
        <v>2.0</v>
      </c>
      <c r="I21" s="2">
        <v>258.62</v>
      </c>
      <c r="J21" s="2">
        <v>0.0</v>
      </c>
      <c r="K21" s="2">
        <v>1.0</v>
      </c>
      <c r="L21" s="2">
        <v>0.0</v>
      </c>
    </row>
    <row r="22">
      <c r="A22" s="29">
        <v>46208.0</v>
      </c>
      <c r="B22" s="2"/>
      <c r="C22" s="2" t="s">
        <v>39</v>
      </c>
      <c r="D22" s="2" t="s">
        <v>372</v>
      </c>
      <c r="E22" s="2" t="s">
        <v>38</v>
      </c>
      <c r="F22" s="2">
        <v>1.0</v>
      </c>
      <c r="G22" s="2" t="s">
        <v>19</v>
      </c>
      <c r="H22" s="2">
        <v>2.0</v>
      </c>
      <c r="I22" s="2">
        <v>475.15</v>
      </c>
      <c r="J22" s="2">
        <v>50.0</v>
      </c>
      <c r="K22" s="2">
        <v>1.0</v>
      </c>
      <c r="L22" s="2">
        <v>50.0</v>
      </c>
    </row>
    <row r="23">
      <c r="A23" s="29">
        <v>46208.0</v>
      </c>
      <c r="B23" s="2" t="s">
        <v>237</v>
      </c>
      <c r="C23" s="2" t="s">
        <v>16</v>
      </c>
      <c r="D23" s="2" t="s">
        <v>374</v>
      </c>
      <c r="E23" s="2" t="s">
        <v>22</v>
      </c>
      <c r="F23" s="2">
        <v>1.0</v>
      </c>
      <c r="G23" s="2" t="s">
        <v>52</v>
      </c>
      <c r="H23" s="2">
        <v>2.0</v>
      </c>
      <c r="I23" s="2">
        <v>238.9</v>
      </c>
      <c r="J23" s="2">
        <v>0.0</v>
      </c>
      <c r="K23" s="2">
        <v>1.0</v>
      </c>
      <c r="L23" s="2">
        <v>0.0</v>
      </c>
    </row>
    <row r="24">
      <c r="A24" s="29">
        <v>46208.0</v>
      </c>
      <c r="B24" s="2" t="s">
        <v>375</v>
      </c>
      <c r="C24" s="2" t="s">
        <v>16</v>
      </c>
      <c r="D24" s="2" t="s">
        <v>377</v>
      </c>
      <c r="E24" s="2" t="s">
        <v>52</v>
      </c>
      <c r="F24" s="2">
        <v>2.0</v>
      </c>
      <c r="G24" s="2" t="s">
        <v>77</v>
      </c>
      <c r="H24" s="2">
        <v>3.0</v>
      </c>
      <c r="I24" s="2">
        <v>433.07</v>
      </c>
      <c r="J24" s="2">
        <v>50.0</v>
      </c>
      <c r="K24" s="2">
        <v>1.0</v>
      </c>
      <c r="L24" s="2">
        <v>50.0</v>
      </c>
    </row>
    <row r="25">
      <c r="A25" s="29">
        <v>46208.0</v>
      </c>
      <c r="B25" s="2" t="s">
        <v>354</v>
      </c>
      <c r="C25" s="2" t="s">
        <v>16</v>
      </c>
      <c r="D25" s="2" t="s">
        <v>381</v>
      </c>
      <c r="E25" s="2" t="s">
        <v>19</v>
      </c>
      <c r="F25" s="2">
        <v>2.0</v>
      </c>
      <c r="G25" s="2" t="s">
        <v>88</v>
      </c>
      <c r="H25" s="2">
        <v>3.0</v>
      </c>
      <c r="I25" s="2">
        <v>189.0</v>
      </c>
      <c r="J25" s="2">
        <v>0.0</v>
      </c>
      <c r="K25" s="2">
        <v>1.0</v>
      </c>
      <c r="L25" s="2">
        <v>0.0</v>
      </c>
    </row>
    <row r="26">
      <c r="A26" s="29">
        <v>46208.0</v>
      </c>
      <c r="B26" s="2" t="s">
        <v>354</v>
      </c>
      <c r="C26" s="2" t="s">
        <v>16</v>
      </c>
      <c r="D26" s="2" t="s">
        <v>383</v>
      </c>
      <c r="E26" s="2" t="s">
        <v>328</v>
      </c>
      <c r="F26" s="2">
        <v>1.0</v>
      </c>
      <c r="G26" s="2" t="s">
        <v>88</v>
      </c>
      <c r="H26" s="2">
        <v>3.0</v>
      </c>
      <c r="I26" s="2">
        <v>189.0</v>
      </c>
      <c r="J26" s="2">
        <v>0.0</v>
      </c>
      <c r="K26" s="2">
        <v>1.0</v>
      </c>
      <c r="L26" s="2">
        <v>0.0</v>
      </c>
    </row>
    <row r="27">
      <c r="A27" s="29">
        <v>46209.0</v>
      </c>
      <c r="B27" s="2" t="s">
        <v>209</v>
      </c>
      <c r="C27" s="2" t="s">
        <v>16</v>
      </c>
      <c r="D27" s="2" t="s">
        <v>384</v>
      </c>
      <c r="E27" s="2" t="s">
        <v>22</v>
      </c>
      <c r="F27" s="2">
        <v>1.0</v>
      </c>
      <c r="G27" s="2" t="s">
        <v>19</v>
      </c>
      <c r="H27" s="2">
        <v>2.0</v>
      </c>
      <c r="I27" s="2">
        <v>252.43</v>
      </c>
      <c r="J27" s="2">
        <v>0.0</v>
      </c>
      <c r="K27" s="2">
        <v>3.0</v>
      </c>
      <c r="L27" s="2">
        <v>0.0</v>
      </c>
    </row>
    <row r="28">
      <c r="A28" s="29">
        <v>46209.0</v>
      </c>
      <c r="B28" s="2" t="s">
        <v>31</v>
      </c>
      <c r="C28" s="2" t="s">
        <v>16</v>
      </c>
      <c r="D28" s="2" t="s">
        <v>386</v>
      </c>
      <c r="E28" s="2" t="s">
        <v>52</v>
      </c>
      <c r="F28" s="2">
        <v>2.0</v>
      </c>
      <c r="G28" s="2" t="s">
        <v>77</v>
      </c>
      <c r="H28" s="2">
        <v>3.0</v>
      </c>
      <c r="I28" s="2">
        <v>339.0</v>
      </c>
      <c r="J28" s="2">
        <v>0.0</v>
      </c>
      <c r="K28" s="2">
        <v>1.0</v>
      </c>
      <c r="L28" s="2">
        <v>0.0</v>
      </c>
    </row>
    <row r="29">
      <c r="A29" s="29">
        <v>46209.0</v>
      </c>
      <c r="B29" s="2" t="s">
        <v>31</v>
      </c>
      <c r="C29" s="2" t="s">
        <v>16</v>
      </c>
      <c r="D29" s="2" t="s">
        <v>389</v>
      </c>
      <c r="E29" s="2" t="s">
        <v>22</v>
      </c>
      <c r="F29" s="2">
        <v>1.0</v>
      </c>
      <c r="G29" s="2" t="s">
        <v>19</v>
      </c>
      <c r="H29" s="2">
        <v>2.0</v>
      </c>
      <c r="I29" s="2">
        <v>399.0</v>
      </c>
      <c r="J29" s="2">
        <v>0.0</v>
      </c>
      <c r="K29" s="2">
        <v>1.0</v>
      </c>
      <c r="L29" s="2">
        <v>0.0</v>
      </c>
    </row>
    <row r="30">
      <c r="A30" s="29">
        <v>46209.0</v>
      </c>
      <c r="B30" s="2" t="s">
        <v>31</v>
      </c>
      <c r="C30" s="2" t="s">
        <v>16</v>
      </c>
      <c r="D30" s="2" t="s">
        <v>390</v>
      </c>
      <c r="E30" s="2" t="s">
        <v>38</v>
      </c>
      <c r="F30" s="2">
        <v>1.0</v>
      </c>
      <c r="G30" s="2" t="s">
        <v>52</v>
      </c>
      <c r="H30" s="2">
        <v>2.0</v>
      </c>
      <c r="I30" s="2">
        <v>189.0</v>
      </c>
      <c r="J30" s="2">
        <v>0.0</v>
      </c>
      <c r="K30" s="2">
        <v>1.0</v>
      </c>
      <c r="L30" s="2">
        <v>0.0</v>
      </c>
    </row>
    <row r="31">
      <c r="A31" s="29">
        <v>46209.0</v>
      </c>
      <c r="B31" s="2" t="s">
        <v>391</v>
      </c>
      <c r="C31" s="2" t="s">
        <v>16</v>
      </c>
      <c r="D31" s="2" t="s">
        <v>392</v>
      </c>
      <c r="E31" s="2" t="s">
        <v>18</v>
      </c>
      <c r="F31" s="2">
        <v>1.0</v>
      </c>
      <c r="G31" s="2" t="s">
        <v>88</v>
      </c>
      <c r="H31" s="2">
        <v>3.0</v>
      </c>
      <c r="I31" s="2">
        <v>285.9</v>
      </c>
      <c r="J31" s="2">
        <v>0.0</v>
      </c>
      <c r="K31" s="2">
        <v>1.0</v>
      </c>
      <c r="L31" s="2">
        <v>0.0</v>
      </c>
    </row>
    <row r="32">
      <c r="A32" s="29">
        <v>46209.0</v>
      </c>
      <c r="B32" s="2" t="s">
        <v>391</v>
      </c>
      <c r="C32" s="2" t="s">
        <v>16</v>
      </c>
      <c r="D32" s="2" t="s">
        <v>394</v>
      </c>
      <c r="E32" s="2" t="s">
        <v>22</v>
      </c>
      <c r="F32" s="2">
        <v>1.0</v>
      </c>
      <c r="G32" s="2" t="s">
        <v>77</v>
      </c>
      <c r="H32" s="2">
        <v>3.0</v>
      </c>
      <c r="I32" s="2">
        <v>189.0</v>
      </c>
      <c r="J32" s="2">
        <v>0.0</v>
      </c>
      <c r="K32" s="2">
        <v>1.0</v>
      </c>
      <c r="L32" s="2">
        <v>0.0</v>
      </c>
    </row>
    <row r="33">
      <c r="A33" s="29">
        <v>46210.0</v>
      </c>
      <c r="B33" s="2" t="s">
        <v>31</v>
      </c>
      <c r="C33" s="2" t="s">
        <v>16</v>
      </c>
      <c r="D33" s="2" t="s">
        <v>396</v>
      </c>
      <c r="E33" s="2" t="s">
        <v>22</v>
      </c>
      <c r="F33" s="2">
        <v>1.0</v>
      </c>
      <c r="G33" s="2" t="s">
        <v>52</v>
      </c>
      <c r="H33" s="2">
        <v>2.0</v>
      </c>
      <c r="I33" s="2">
        <v>401.97</v>
      </c>
      <c r="J33" s="2">
        <v>0.0</v>
      </c>
      <c r="K33" s="2">
        <v>3.0</v>
      </c>
      <c r="L33" s="2">
        <v>0.0</v>
      </c>
    </row>
    <row r="34">
      <c r="A34" s="29">
        <v>46210.0</v>
      </c>
      <c r="B34" s="2" t="s">
        <v>31</v>
      </c>
      <c r="C34" s="2" t="s">
        <v>16</v>
      </c>
      <c r="D34" s="2" t="s">
        <v>398</v>
      </c>
      <c r="E34" s="2" t="s">
        <v>52</v>
      </c>
      <c r="F34" s="2">
        <v>2.0</v>
      </c>
      <c r="G34" s="2" t="s">
        <v>85</v>
      </c>
      <c r="H34" s="2">
        <v>3.0</v>
      </c>
      <c r="I34" s="2">
        <v>483.2</v>
      </c>
      <c r="J34" s="2">
        <v>0.0</v>
      </c>
      <c r="K34" s="2">
        <v>1.0</v>
      </c>
      <c r="L34" s="2">
        <v>0.0</v>
      </c>
    </row>
    <row r="35">
      <c r="A35" s="29">
        <v>46210.0</v>
      </c>
      <c r="B35" s="2" t="s">
        <v>31</v>
      </c>
      <c r="C35" s="2" t="s">
        <v>16</v>
      </c>
      <c r="D35" s="2" t="s">
        <v>400</v>
      </c>
      <c r="E35" s="2" t="s">
        <v>18</v>
      </c>
      <c r="F35" s="2">
        <v>1.0</v>
      </c>
      <c r="G35" s="2" t="s">
        <v>77</v>
      </c>
      <c r="H35" s="2">
        <v>3.0</v>
      </c>
      <c r="I35" s="2">
        <v>289.0</v>
      </c>
      <c r="J35" s="2">
        <v>0.0</v>
      </c>
      <c r="K35" s="2">
        <v>3.0</v>
      </c>
      <c r="L35" s="2">
        <v>0.0</v>
      </c>
    </row>
    <row r="36">
      <c r="A36" s="29">
        <v>46210.0</v>
      </c>
      <c r="B36" s="2" t="s">
        <v>15</v>
      </c>
      <c r="C36" s="2" t="s">
        <v>16</v>
      </c>
      <c r="D36" s="2" t="s">
        <v>402</v>
      </c>
      <c r="E36" s="2" t="s">
        <v>22</v>
      </c>
      <c r="F36" s="2">
        <v>1.0</v>
      </c>
      <c r="G36" s="2" t="s">
        <v>52</v>
      </c>
      <c r="H36" s="2">
        <v>2.0</v>
      </c>
      <c r="I36" s="2">
        <v>189.0</v>
      </c>
      <c r="J36" s="2">
        <v>0.0</v>
      </c>
      <c r="K36" s="2">
        <v>1.0</v>
      </c>
      <c r="L36" s="2">
        <v>0.0</v>
      </c>
    </row>
    <row r="37">
      <c r="A37" s="29">
        <v>46210.0</v>
      </c>
      <c r="B37" s="2" t="s">
        <v>15</v>
      </c>
      <c r="C37" s="2" t="s">
        <v>16</v>
      </c>
      <c r="D37" s="2" t="s">
        <v>405</v>
      </c>
      <c r="E37" s="2" t="s">
        <v>22</v>
      </c>
      <c r="F37" s="2">
        <v>1.0</v>
      </c>
      <c r="G37" s="2" t="s">
        <v>19</v>
      </c>
      <c r="H37" s="2">
        <v>2.0</v>
      </c>
      <c r="I37" s="2">
        <v>189.0</v>
      </c>
      <c r="J37" s="2">
        <v>0.0</v>
      </c>
      <c r="K37" s="2">
        <v>1.0</v>
      </c>
      <c r="L37" s="2">
        <v>0.0</v>
      </c>
    </row>
    <row r="38">
      <c r="A38" s="29">
        <v>46210.0</v>
      </c>
      <c r="B38" s="2" t="s">
        <v>15</v>
      </c>
      <c r="C38" s="2" t="s">
        <v>16</v>
      </c>
      <c r="D38" s="2" t="s">
        <v>406</v>
      </c>
      <c r="E38" s="2" t="s">
        <v>22</v>
      </c>
      <c r="F38" s="2">
        <v>1.0</v>
      </c>
      <c r="G38" s="2" t="s">
        <v>19</v>
      </c>
      <c r="H38" s="2">
        <v>2.0</v>
      </c>
      <c r="I38" s="2">
        <v>189.0</v>
      </c>
      <c r="J38" s="2">
        <v>0.0</v>
      </c>
      <c r="K38" s="2">
        <v>1.0</v>
      </c>
      <c r="L38" s="2">
        <v>0.0</v>
      </c>
    </row>
    <row r="39">
      <c r="A39" s="29">
        <v>46210.0</v>
      </c>
      <c r="B39" s="2" t="s">
        <v>15</v>
      </c>
      <c r="C39" s="2" t="s">
        <v>16</v>
      </c>
      <c r="D39" s="2" t="s">
        <v>409</v>
      </c>
      <c r="E39" s="2" t="s">
        <v>22</v>
      </c>
      <c r="F39" s="2">
        <v>1.0</v>
      </c>
      <c r="G39" s="2" t="s">
        <v>88</v>
      </c>
      <c r="H39" s="2">
        <v>3.0</v>
      </c>
      <c r="I39" s="2">
        <v>189.0</v>
      </c>
      <c r="J39" s="2">
        <v>0.0</v>
      </c>
      <c r="K39" s="2">
        <v>1.0</v>
      </c>
      <c r="L39" s="2">
        <v>0.0</v>
      </c>
    </row>
    <row r="40">
      <c r="A40" s="29">
        <v>46210.0</v>
      </c>
      <c r="B40" s="2" t="s">
        <v>15</v>
      </c>
      <c r="C40" s="2" t="s">
        <v>16</v>
      </c>
      <c r="D40" s="2" t="s">
        <v>411</v>
      </c>
      <c r="E40" s="2" t="s">
        <v>22</v>
      </c>
      <c r="F40" s="2">
        <v>1.0</v>
      </c>
      <c r="G40" s="2" t="s">
        <v>34</v>
      </c>
      <c r="H40" s="2">
        <v>3.0</v>
      </c>
      <c r="I40" s="2">
        <v>189.0</v>
      </c>
      <c r="J40" s="2">
        <v>0.0</v>
      </c>
      <c r="K40" s="2">
        <v>1.0</v>
      </c>
      <c r="L40" s="2">
        <v>0.0</v>
      </c>
    </row>
    <row r="41">
      <c r="A41" s="29">
        <v>46210.0</v>
      </c>
      <c r="B41" s="2" t="s">
        <v>15</v>
      </c>
      <c r="C41" s="2" t="s">
        <v>16</v>
      </c>
      <c r="D41" s="2" t="s">
        <v>412</v>
      </c>
      <c r="E41" s="2" t="s">
        <v>22</v>
      </c>
      <c r="F41" s="2">
        <v>1.0</v>
      </c>
      <c r="G41" s="2" t="s">
        <v>77</v>
      </c>
      <c r="H41" s="2">
        <v>3.0</v>
      </c>
      <c r="I41" s="2">
        <v>189.0</v>
      </c>
      <c r="J41" s="2">
        <v>0.0</v>
      </c>
      <c r="K41" s="2">
        <v>1.0</v>
      </c>
      <c r="L41" s="2">
        <v>0.0</v>
      </c>
    </row>
    <row r="42">
      <c r="A42" s="29">
        <v>46210.0</v>
      </c>
      <c r="B42" s="2" t="s">
        <v>15</v>
      </c>
      <c r="C42" s="2" t="s">
        <v>16</v>
      </c>
      <c r="D42" s="2" t="s">
        <v>414</v>
      </c>
      <c r="E42" s="2" t="s">
        <v>22</v>
      </c>
      <c r="F42" s="2">
        <v>1.0</v>
      </c>
      <c r="G42" s="2" t="s">
        <v>77</v>
      </c>
      <c r="H42" s="2">
        <v>3.0</v>
      </c>
      <c r="I42" s="2">
        <v>189.0</v>
      </c>
      <c r="J42" s="2">
        <v>0.0</v>
      </c>
      <c r="K42" s="2">
        <v>1.0</v>
      </c>
      <c r="L42" s="2">
        <v>0.0</v>
      </c>
    </row>
    <row r="43">
      <c r="A43" s="29">
        <v>46210.0</v>
      </c>
      <c r="B43" s="2" t="s">
        <v>15</v>
      </c>
      <c r="C43" s="2" t="s">
        <v>16</v>
      </c>
      <c r="D43" s="2" t="s">
        <v>416</v>
      </c>
      <c r="E43" s="2" t="s">
        <v>22</v>
      </c>
      <c r="F43" s="2">
        <v>1.0</v>
      </c>
      <c r="G43" s="2" t="s">
        <v>34</v>
      </c>
      <c r="H43" s="2">
        <v>3.0</v>
      </c>
      <c r="I43" s="2">
        <v>189.0</v>
      </c>
      <c r="J43" s="2">
        <v>0.0</v>
      </c>
      <c r="K43" s="2">
        <v>1.0</v>
      </c>
      <c r="L43" s="2">
        <v>0.0</v>
      </c>
    </row>
    <row r="44">
      <c r="A44" s="29">
        <v>46210.0</v>
      </c>
      <c r="B44" s="2" t="s">
        <v>15</v>
      </c>
      <c r="C44" s="2" t="s">
        <v>16</v>
      </c>
      <c r="D44" s="2" t="s">
        <v>418</v>
      </c>
      <c r="E44" s="2" t="s">
        <v>22</v>
      </c>
      <c r="F44" s="2">
        <v>1.0</v>
      </c>
      <c r="G44" s="2" t="s">
        <v>34</v>
      </c>
      <c r="H44" s="2">
        <v>3.0</v>
      </c>
      <c r="I44" s="2">
        <v>189.0</v>
      </c>
      <c r="J44" s="2">
        <v>0.0</v>
      </c>
      <c r="K44" s="2">
        <v>1.0</v>
      </c>
      <c r="L44" s="2">
        <v>0.0</v>
      </c>
    </row>
    <row r="45">
      <c r="A45" s="29">
        <v>46210.0</v>
      </c>
      <c r="B45" s="2" t="s">
        <v>15</v>
      </c>
      <c r="C45" s="2" t="s">
        <v>16</v>
      </c>
      <c r="D45" s="2" t="s">
        <v>420</v>
      </c>
      <c r="E45" s="2" t="s">
        <v>22</v>
      </c>
      <c r="F45" s="2">
        <v>1.0</v>
      </c>
      <c r="G45" s="2" t="s">
        <v>34</v>
      </c>
      <c r="H45" s="2">
        <v>3.0</v>
      </c>
      <c r="I45" s="2">
        <v>189.0</v>
      </c>
      <c r="J45" s="2">
        <v>0.0</v>
      </c>
      <c r="K45" s="2">
        <v>1.0</v>
      </c>
      <c r="L45" s="2">
        <v>0.0</v>
      </c>
    </row>
    <row r="46">
      <c r="A46" s="29">
        <v>46210.0</v>
      </c>
      <c r="B46" s="2" t="s">
        <v>15</v>
      </c>
      <c r="C46" s="2" t="s">
        <v>16</v>
      </c>
      <c r="D46" s="2" t="s">
        <v>421</v>
      </c>
      <c r="E46" s="2" t="s">
        <v>22</v>
      </c>
      <c r="F46" s="2">
        <v>1.0</v>
      </c>
      <c r="G46" s="2" t="s">
        <v>34</v>
      </c>
      <c r="H46" s="2">
        <v>3.0</v>
      </c>
      <c r="I46" s="2">
        <v>189.0</v>
      </c>
      <c r="J46" s="2">
        <v>0.0</v>
      </c>
      <c r="K46" s="2">
        <v>1.0</v>
      </c>
      <c r="L46" s="2">
        <v>0.0</v>
      </c>
    </row>
    <row r="47">
      <c r="A47" s="29">
        <v>46210.0</v>
      </c>
      <c r="B47" s="2" t="s">
        <v>15</v>
      </c>
      <c r="C47" s="2" t="s">
        <v>16</v>
      </c>
      <c r="D47" s="2" t="s">
        <v>425</v>
      </c>
      <c r="E47" s="2" t="s">
        <v>22</v>
      </c>
      <c r="F47" s="2">
        <v>1.0</v>
      </c>
      <c r="G47" s="2" t="s">
        <v>77</v>
      </c>
      <c r="H47" s="2">
        <v>3.0</v>
      </c>
      <c r="I47" s="2">
        <v>189.0</v>
      </c>
      <c r="J47" s="2">
        <v>0.0</v>
      </c>
      <c r="K47" s="2">
        <v>1.0</v>
      </c>
      <c r="L47" s="2">
        <v>0.0</v>
      </c>
    </row>
    <row r="48">
      <c r="A48" s="29">
        <v>46210.0</v>
      </c>
      <c r="B48" s="2" t="s">
        <v>15</v>
      </c>
      <c r="C48" s="2" t="s">
        <v>16</v>
      </c>
      <c r="D48" s="2" t="s">
        <v>427</v>
      </c>
      <c r="E48" s="2" t="s">
        <v>22</v>
      </c>
      <c r="F48" s="2">
        <v>1.0</v>
      </c>
      <c r="G48" s="2" t="s">
        <v>25</v>
      </c>
      <c r="H48" s="2">
        <v>3.0</v>
      </c>
      <c r="I48" s="2">
        <v>189.0</v>
      </c>
      <c r="J48" s="2">
        <v>0.0</v>
      </c>
      <c r="K48" s="2">
        <v>1.0</v>
      </c>
      <c r="L48" s="2">
        <v>0.0</v>
      </c>
    </row>
    <row r="49">
      <c r="A49" s="29">
        <v>46210.0</v>
      </c>
      <c r="B49" s="2" t="s">
        <v>354</v>
      </c>
      <c r="C49" s="2" t="s">
        <v>16</v>
      </c>
      <c r="D49" s="2" t="s">
        <v>429</v>
      </c>
      <c r="E49" s="2" t="s">
        <v>328</v>
      </c>
      <c r="F49" s="2">
        <v>1.0</v>
      </c>
      <c r="G49" s="2" t="s">
        <v>77</v>
      </c>
      <c r="H49" s="2">
        <v>3.0</v>
      </c>
      <c r="I49" s="2">
        <v>189.0</v>
      </c>
      <c r="J49" s="2">
        <v>0.0</v>
      </c>
      <c r="K49" s="2">
        <v>1.0</v>
      </c>
      <c r="L49" s="2">
        <v>0.0</v>
      </c>
    </row>
    <row r="50">
      <c r="A50" s="29">
        <v>46211.0</v>
      </c>
      <c r="B50" s="2" t="s">
        <v>430</v>
      </c>
      <c r="C50" s="2" t="s">
        <v>16</v>
      </c>
      <c r="D50" s="2" t="s">
        <v>431</v>
      </c>
      <c r="E50" s="2" t="s">
        <v>432</v>
      </c>
      <c r="F50" s="2">
        <v>1.0</v>
      </c>
      <c r="G50" s="2" t="s">
        <v>88</v>
      </c>
      <c r="H50" s="2">
        <v>3.0</v>
      </c>
      <c r="I50" s="2">
        <v>899.1</v>
      </c>
      <c r="J50" s="2">
        <v>0.0</v>
      </c>
      <c r="K50" s="2">
        <v>2.0</v>
      </c>
      <c r="L50" s="2">
        <v>0.0</v>
      </c>
    </row>
    <row r="51">
      <c r="A51" s="29">
        <v>46211.0</v>
      </c>
      <c r="B51" s="2" t="s">
        <v>15</v>
      </c>
      <c r="C51" s="2" t="s">
        <v>16</v>
      </c>
      <c r="D51" s="2" t="s">
        <v>235</v>
      </c>
      <c r="E51" s="2" t="s">
        <v>259</v>
      </c>
      <c r="F51" s="2">
        <v>1.0</v>
      </c>
      <c r="G51" s="2" t="s">
        <v>52</v>
      </c>
      <c r="H51" s="2">
        <v>2.0</v>
      </c>
      <c r="I51" s="2">
        <v>0.0</v>
      </c>
      <c r="J51" s="2">
        <v>0.0</v>
      </c>
      <c r="K51" s="2">
        <v>1.0</v>
      </c>
      <c r="L51" s="2">
        <v>0.0</v>
      </c>
    </row>
    <row r="52">
      <c r="A52" s="29">
        <v>46212.0</v>
      </c>
      <c r="B52" s="2" t="s">
        <v>251</v>
      </c>
      <c r="C52" s="2" t="s">
        <v>16</v>
      </c>
      <c r="D52" s="2" t="s">
        <v>435</v>
      </c>
      <c r="E52" s="2" t="s">
        <v>22</v>
      </c>
      <c r="F52" s="2">
        <v>1.0</v>
      </c>
      <c r="G52" s="2" t="s">
        <v>19</v>
      </c>
      <c r="H52" s="2">
        <v>2.0</v>
      </c>
      <c r="I52" s="2">
        <v>399.0</v>
      </c>
      <c r="J52" s="2">
        <v>0.0</v>
      </c>
      <c r="K52" s="2">
        <v>1.0</v>
      </c>
      <c r="L52" s="2">
        <v>0.0</v>
      </c>
    </row>
    <row r="53">
      <c r="A53" s="29">
        <v>46212.0</v>
      </c>
      <c r="B53" s="2" t="s">
        <v>237</v>
      </c>
      <c r="C53" s="2" t="s">
        <v>16</v>
      </c>
      <c r="D53" s="2" t="s">
        <v>438</v>
      </c>
      <c r="E53" s="2" t="s">
        <v>22</v>
      </c>
      <c r="F53" s="2">
        <v>1.0</v>
      </c>
      <c r="G53" s="2" t="s">
        <v>52</v>
      </c>
      <c r="H53" s="2">
        <v>2.0</v>
      </c>
      <c r="I53" s="2">
        <v>443.41</v>
      </c>
      <c r="J53" s="2">
        <v>0.0</v>
      </c>
      <c r="K53" s="2">
        <v>1.0</v>
      </c>
      <c r="L53" s="2">
        <v>0.0</v>
      </c>
    </row>
    <row r="54">
      <c r="A54" s="29">
        <v>46212.0</v>
      </c>
      <c r="B54" s="2" t="s">
        <v>251</v>
      </c>
      <c r="C54" s="2" t="s">
        <v>16</v>
      </c>
      <c r="D54" s="2" t="s">
        <v>440</v>
      </c>
      <c r="E54" s="2" t="s">
        <v>38</v>
      </c>
      <c r="F54" s="2">
        <v>1.0</v>
      </c>
      <c r="G54" s="2" t="s">
        <v>19</v>
      </c>
      <c r="H54" s="2">
        <v>2.0</v>
      </c>
      <c r="I54" s="2">
        <v>399.0</v>
      </c>
      <c r="J54" s="2">
        <v>0.0</v>
      </c>
      <c r="K54" s="2">
        <v>1.0</v>
      </c>
      <c r="L54" s="2">
        <v>0.0</v>
      </c>
    </row>
    <row r="55">
      <c r="A55" s="29">
        <v>46212.0</v>
      </c>
      <c r="B55" s="2" t="s">
        <v>251</v>
      </c>
      <c r="C55" s="2" t="s">
        <v>16</v>
      </c>
      <c r="D55" s="2" t="s">
        <v>441</v>
      </c>
      <c r="E55" s="2" t="s">
        <v>188</v>
      </c>
      <c r="F55" s="2">
        <v>1.0</v>
      </c>
      <c r="G55" s="2" t="s">
        <v>19</v>
      </c>
      <c r="H55" s="2">
        <v>2.0</v>
      </c>
      <c r="I55" s="2">
        <v>399.0</v>
      </c>
      <c r="J55" s="2">
        <v>0.0</v>
      </c>
      <c r="K55" s="2">
        <v>1.0</v>
      </c>
      <c r="L55" s="2">
        <v>0.0</v>
      </c>
    </row>
    <row r="56">
      <c r="A56" s="29">
        <v>46212.0</v>
      </c>
      <c r="B56" s="2" t="s">
        <v>251</v>
      </c>
      <c r="C56" s="2" t="s">
        <v>16</v>
      </c>
      <c r="D56" s="2" t="s">
        <v>442</v>
      </c>
      <c r="E56" s="2" t="s">
        <v>223</v>
      </c>
      <c r="F56" s="2">
        <v>1.0</v>
      </c>
      <c r="G56" s="2" t="s">
        <v>19</v>
      </c>
      <c r="H56" s="2">
        <v>2.0</v>
      </c>
      <c r="I56" s="2">
        <v>399.0</v>
      </c>
      <c r="J56" s="2">
        <v>0.0</v>
      </c>
      <c r="K56" s="2">
        <v>1.0</v>
      </c>
      <c r="L56" s="2">
        <v>0.0</v>
      </c>
    </row>
    <row r="57">
      <c r="A57" s="29">
        <v>46212.0</v>
      </c>
      <c r="B57" s="2" t="s">
        <v>251</v>
      </c>
      <c r="C57" s="2" t="s">
        <v>16</v>
      </c>
      <c r="D57" s="2" t="s">
        <v>443</v>
      </c>
      <c r="E57" s="2" t="s">
        <v>22</v>
      </c>
      <c r="F57" s="2">
        <v>1.0</v>
      </c>
      <c r="G57" s="2" t="s">
        <v>19</v>
      </c>
      <c r="H57" s="2">
        <v>2.0</v>
      </c>
      <c r="I57" s="2">
        <v>399.0</v>
      </c>
      <c r="J57" s="2">
        <v>0.0</v>
      </c>
      <c r="K57" s="2">
        <v>1.0</v>
      </c>
      <c r="L57" s="2">
        <v>0.0</v>
      </c>
    </row>
    <row r="58">
      <c r="A58" s="29">
        <v>46212.0</v>
      </c>
      <c r="B58" s="2" t="s">
        <v>31</v>
      </c>
      <c r="C58" s="2" t="s">
        <v>16</v>
      </c>
      <c r="D58" s="2" t="s">
        <v>444</v>
      </c>
      <c r="E58" s="2" t="s">
        <v>19</v>
      </c>
      <c r="F58" s="2">
        <v>2.0</v>
      </c>
      <c r="G58" s="2" t="s">
        <v>28</v>
      </c>
      <c r="H58" s="2">
        <v>3.0</v>
      </c>
      <c r="I58" s="2">
        <v>309.0</v>
      </c>
      <c r="J58" s="2">
        <v>0.0</v>
      </c>
      <c r="K58" s="2">
        <v>2.0</v>
      </c>
      <c r="L58" s="2">
        <v>0.0</v>
      </c>
    </row>
    <row r="59">
      <c r="A59" s="29">
        <v>46212.0</v>
      </c>
      <c r="B59" s="2" t="s">
        <v>31</v>
      </c>
      <c r="C59" s="2" t="s">
        <v>16</v>
      </c>
      <c r="D59" s="2" t="s">
        <v>445</v>
      </c>
      <c r="E59" s="2" t="s">
        <v>432</v>
      </c>
      <c r="F59" s="2">
        <v>1.0</v>
      </c>
      <c r="G59" s="2" t="s">
        <v>77</v>
      </c>
      <c r="H59" s="2">
        <v>3.0</v>
      </c>
      <c r="I59" s="2">
        <v>650.25</v>
      </c>
      <c r="J59" s="2">
        <v>0.0</v>
      </c>
      <c r="K59" s="2">
        <v>1.0</v>
      </c>
      <c r="L59" s="2">
        <v>0.0</v>
      </c>
    </row>
    <row r="60">
      <c r="A60" s="29">
        <v>46212.0</v>
      </c>
      <c r="B60" s="2" t="s">
        <v>237</v>
      </c>
      <c r="C60" s="2" t="s">
        <v>16</v>
      </c>
      <c r="D60" s="2" t="s">
        <v>446</v>
      </c>
      <c r="E60" s="2" t="s">
        <v>48</v>
      </c>
      <c r="F60" s="2">
        <v>1.0</v>
      </c>
      <c r="G60" s="2" t="s">
        <v>34</v>
      </c>
      <c r="H60" s="2">
        <v>3.0</v>
      </c>
      <c r="I60" s="2">
        <v>711.11</v>
      </c>
      <c r="J60" s="2">
        <v>0.0</v>
      </c>
      <c r="K60" s="2">
        <v>9.0</v>
      </c>
      <c r="L60" s="2">
        <v>0.0</v>
      </c>
    </row>
    <row r="61">
      <c r="A61" s="29">
        <v>46213.0</v>
      </c>
      <c r="B61" s="2" t="s">
        <v>31</v>
      </c>
      <c r="C61" s="2" t="s">
        <v>16</v>
      </c>
      <c r="D61" s="2" t="s">
        <v>447</v>
      </c>
      <c r="E61" s="2" t="s">
        <v>188</v>
      </c>
      <c r="F61" s="2">
        <v>1.0</v>
      </c>
      <c r="G61" s="2" t="s">
        <v>49</v>
      </c>
      <c r="H61" s="2">
        <v>2.0</v>
      </c>
      <c r="I61" s="2">
        <v>413.1</v>
      </c>
      <c r="J61" s="2">
        <v>0.0</v>
      </c>
      <c r="K61" s="2">
        <v>3.0</v>
      </c>
      <c r="L61" s="2">
        <v>0.0</v>
      </c>
    </row>
    <row r="62">
      <c r="A62" s="29">
        <v>46213.0</v>
      </c>
      <c r="B62" s="2" t="s">
        <v>31</v>
      </c>
      <c r="C62" s="2" t="s">
        <v>16</v>
      </c>
      <c r="D62" s="2" t="s">
        <v>449</v>
      </c>
      <c r="E62" s="2" t="s">
        <v>223</v>
      </c>
      <c r="F62" s="2">
        <v>1.0</v>
      </c>
      <c r="G62" s="2" t="s">
        <v>25</v>
      </c>
      <c r="H62" s="2">
        <v>3.0</v>
      </c>
      <c r="I62" s="2">
        <v>336.68</v>
      </c>
      <c r="J62" s="2">
        <v>0.0</v>
      </c>
      <c r="K62" s="2">
        <v>3.0</v>
      </c>
      <c r="L62" s="2">
        <v>0.0</v>
      </c>
    </row>
    <row r="63">
      <c r="A63" s="29">
        <v>46213.0</v>
      </c>
      <c r="B63" s="2" t="s">
        <v>31</v>
      </c>
      <c r="C63" s="2" t="s">
        <v>16</v>
      </c>
      <c r="D63" s="2" t="s">
        <v>450</v>
      </c>
      <c r="E63" s="2" t="s">
        <v>52</v>
      </c>
      <c r="F63" s="2">
        <v>2.0</v>
      </c>
      <c r="G63" s="2" t="s">
        <v>77</v>
      </c>
      <c r="H63" s="2">
        <v>3.0</v>
      </c>
      <c r="I63" s="2">
        <v>129.0</v>
      </c>
      <c r="J63" s="2">
        <v>0.0</v>
      </c>
      <c r="K63" s="2">
        <v>3.0</v>
      </c>
      <c r="L63" s="2">
        <v>0.0</v>
      </c>
    </row>
    <row r="64">
      <c r="A64" s="29">
        <v>46213.0</v>
      </c>
      <c r="B64" s="2" t="s">
        <v>31</v>
      </c>
      <c r="C64" s="2" t="s">
        <v>16</v>
      </c>
      <c r="D64" s="2" t="s">
        <v>452</v>
      </c>
      <c r="E64" s="2" t="s">
        <v>125</v>
      </c>
      <c r="F64" s="2">
        <v>1.0</v>
      </c>
      <c r="G64" s="2" t="s">
        <v>19</v>
      </c>
      <c r="H64" s="2">
        <v>2.0</v>
      </c>
      <c r="I64" s="2">
        <v>299.0</v>
      </c>
      <c r="J64" s="2">
        <v>0.0</v>
      </c>
      <c r="K64" s="2">
        <v>1.0</v>
      </c>
      <c r="L64" s="2">
        <v>0.0</v>
      </c>
    </row>
    <row r="65">
      <c r="A65" s="29">
        <v>46213.0</v>
      </c>
      <c r="B65" s="2" t="s">
        <v>31</v>
      </c>
      <c r="C65" s="2" t="s">
        <v>16</v>
      </c>
      <c r="D65" s="2" t="s">
        <v>455</v>
      </c>
      <c r="E65" s="2" t="s">
        <v>125</v>
      </c>
      <c r="F65" s="2">
        <v>1.0</v>
      </c>
      <c r="G65" s="2" t="s">
        <v>19</v>
      </c>
      <c r="H65" s="2">
        <v>2.0</v>
      </c>
      <c r="I65" s="2">
        <v>299.0</v>
      </c>
      <c r="J65" s="2">
        <v>0.0</v>
      </c>
      <c r="K65" s="2">
        <v>1.0</v>
      </c>
      <c r="L65" s="2">
        <v>0.0</v>
      </c>
    </row>
    <row r="66">
      <c r="A66" s="29">
        <v>46213.0</v>
      </c>
      <c r="B66" s="2" t="s">
        <v>31</v>
      </c>
      <c r="C66" s="2" t="s">
        <v>16</v>
      </c>
      <c r="D66" s="2" t="s">
        <v>457</v>
      </c>
      <c r="E66" s="2" t="s">
        <v>18</v>
      </c>
      <c r="F66" s="2">
        <v>1.0</v>
      </c>
      <c r="G66" s="2" t="s">
        <v>52</v>
      </c>
      <c r="H66" s="2">
        <v>2.0</v>
      </c>
      <c r="I66" s="2">
        <v>299.0</v>
      </c>
      <c r="J66" s="2">
        <v>0.0</v>
      </c>
      <c r="K66" s="2">
        <v>1.0</v>
      </c>
      <c r="L66" s="2">
        <v>0.0</v>
      </c>
    </row>
    <row r="67">
      <c r="A67" s="29">
        <v>46213.0</v>
      </c>
      <c r="B67" s="2" t="s">
        <v>152</v>
      </c>
      <c r="C67" s="2" t="s">
        <v>16</v>
      </c>
      <c r="D67" s="2" t="s">
        <v>458</v>
      </c>
      <c r="E67" s="2" t="s">
        <v>22</v>
      </c>
      <c r="F67" s="2">
        <v>1.0</v>
      </c>
      <c r="G67" s="2" t="s">
        <v>52</v>
      </c>
      <c r="H67" s="2">
        <v>2.0</v>
      </c>
      <c r="I67" s="2">
        <v>129.0</v>
      </c>
      <c r="J67" s="2">
        <v>0.0</v>
      </c>
      <c r="K67" s="2">
        <v>1.0</v>
      </c>
      <c r="L67" s="2">
        <v>0.0</v>
      </c>
    </row>
    <row r="68">
      <c r="A68" s="29">
        <v>46213.0</v>
      </c>
      <c r="B68" s="2" t="s">
        <v>237</v>
      </c>
      <c r="C68" s="2" t="s">
        <v>16</v>
      </c>
      <c r="D68" s="2" t="s">
        <v>459</v>
      </c>
      <c r="E68" s="2" t="s">
        <v>432</v>
      </c>
      <c r="F68" s="2">
        <v>1.0</v>
      </c>
      <c r="G68" s="2" t="s">
        <v>25</v>
      </c>
      <c r="H68" s="2">
        <v>3.0</v>
      </c>
      <c r="I68" s="2">
        <v>0.0</v>
      </c>
      <c r="J68" s="2">
        <v>0.0</v>
      </c>
      <c r="K68" s="2">
        <v>1.0</v>
      </c>
      <c r="L68" s="2">
        <v>0.0</v>
      </c>
    </row>
    <row r="69">
      <c r="A69" s="29">
        <v>46213.0</v>
      </c>
      <c r="B69" s="2" t="s">
        <v>237</v>
      </c>
      <c r="C69" s="2" t="s">
        <v>16</v>
      </c>
      <c r="D69" s="2" t="s">
        <v>460</v>
      </c>
      <c r="E69" s="2" t="s">
        <v>38</v>
      </c>
      <c r="F69" s="2">
        <v>1.0</v>
      </c>
      <c r="G69" s="2" t="s">
        <v>25</v>
      </c>
      <c r="H69" s="2">
        <v>3.0</v>
      </c>
      <c r="I69" s="2">
        <v>0.0</v>
      </c>
      <c r="J69" s="2">
        <v>0.0</v>
      </c>
      <c r="K69" s="2">
        <v>1.0</v>
      </c>
      <c r="L69" s="2">
        <v>0.0</v>
      </c>
    </row>
    <row r="70">
      <c r="A70" s="29">
        <v>46213.0</v>
      </c>
      <c r="B70" s="2" t="s">
        <v>237</v>
      </c>
      <c r="C70" s="2" t="s">
        <v>16</v>
      </c>
      <c r="D70" s="2" t="s">
        <v>460</v>
      </c>
      <c r="E70" s="2" t="s">
        <v>432</v>
      </c>
      <c r="F70" s="2">
        <v>1.0</v>
      </c>
      <c r="G70" s="2" t="s">
        <v>88</v>
      </c>
      <c r="H70" s="2">
        <v>3.0</v>
      </c>
      <c r="I70" s="2">
        <v>0.0</v>
      </c>
      <c r="J70" s="2">
        <v>0.0</v>
      </c>
      <c r="K70" s="2">
        <v>1.0</v>
      </c>
      <c r="L70" s="2">
        <v>0.0</v>
      </c>
    </row>
    <row r="71">
      <c r="A71" s="29">
        <v>46213.0</v>
      </c>
      <c r="B71" s="2" t="s">
        <v>152</v>
      </c>
      <c r="C71" s="2" t="s">
        <v>16</v>
      </c>
      <c r="D71" s="2" t="s">
        <v>446</v>
      </c>
      <c r="E71" s="2" t="s">
        <v>48</v>
      </c>
      <c r="F71" s="2">
        <v>1.0</v>
      </c>
      <c r="G71" s="2" t="s">
        <v>77</v>
      </c>
      <c r="H71" s="2">
        <v>3.0</v>
      </c>
      <c r="I71" s="2">
        <v>711.11</v>
      </c>
      <c r="J71" s="2">
        <v>0.0</v>
      </c>
      <c r="K71" s="2">
        <v>20.0</v>
      </c>
      <c r="L71" s="2">
        <v>0.0</v>
      </c>
    </row>
    <row r="72">
      <c r="A72" s="29">
        <v>46213.0</v>
      </c>
      <c r="B72" s="2" t="s">
        <v>152</v>
      </c>
      <c r="C72" s="2" t="s">
        <v>16</v>
      </c>
      <c r="D72" s="2" t="s">
        <v>466</v>
      </c>
      <c r="E72" s="2" t="s">
        <v>22</v>
      </c>
      <c r="F72" s="2">
        <v>1.0</v>
      </c>
      <c r="G72" s="2" t="s">
        <v>52</v>
      </c>
      <c r="H72" s="2">
        <v>2.0</v>
      </c>
      <c r="I72" s="2">
        <v>164.0</v>
      </c>
      <c r="J72" s="2">
        <v>0.0</v>
      </c>
      <c r="K72" s="2">
        <v>3.0</v>
      </c>
      <c r="L72" s="2">
        <v>0.0</v>
      </c>
    </row>
    <row r="73">
      <c r="A73" s="29">
        <v>46213.0</v>
      </c>
      <c r="B73" s="2" t="s">
        <v>209</v>
      </c>
      <c r="C73" s="2" t="s">
        <v>16</v>
      </c>
      <c r="D73" s="2" t="s">
        <v>467</v>
      </c>
      <c r="E73" s="2" t="s">
        <v>48</v>
      </c>
      <c r="F73" s="2">
        <v>1.0</v>
      </c>
      <c r="G73" s="2" t="s">
        <v>52</v>
      </c>
      <c r="H73" s="2">
        <v>2.0</v>
      </c>
      <c r="I73" s="2">
        <v>129.0</v>
      </c>
      <c r="J73" s="2">
        <v>0.0</v>
      </c>
      <c r="K73" s="2">
        <v>1.0</v>
      </c>
      <c r="L73" s="2">
        <v>0.0</v>
      </c>
    </row>
    <row r="74">
      <c r="A74" s="29">
        <v>46213.0</v>
      </c>
      <c r="B74" s="2" t="s">
        <v>152</v>
      </c>
      <c r="C74" s="2" t="s">
        <v>16</v>
      </c>
      <c r="D74" s="2" t="s">
        <v>468</v>
      </c>
      <c r="E74" s="2" t="s">
        <v>48</v>
      </c>
      <c r="F74" s="2">
        <v>1.0</v>
      </c>
      <c r="G74" s="2" t="s">
        <v>52</v>
      </c>
      <c r="H74" s="2">
        <v>2.0</v>
      </c>
      <c r="I74" s="2">
        <v>443.41</v>
      </c>
      <c r="J74" s="2">
        <v>0.0</v>
      </c>
      <c r="K74" s="2">
        <v>1.0</v>
      </c>
      <c r="L74" s="2">
        <v>0.0</v>
      </c>
    </row>
    <row r="75">
      <c r="A75" s="29">
        <v>46214.0</v>
      </c>
      <c r="B75" s="2" t="s">
        <v>237</v>
      </c>
      <c r="C75" s="2" t="s">
        <v>16</v>
      </c>
      <c r="D75" s="2" t="s">
        <v>469</v>
      </c>
      <c r="E75" s="2" t="s">
        <v>328</v>
      </c>
      <c r="F75" s="2">
        <v>1.0</v>
      </c>
      <c r="G75" s="2" t="s">
        <v>52</v>
      </c>
      <c r="H75" s="2">
        <v>2.0</v>
      </c>
      <c r="I75" s="2">
        <v>517.65</v>
      </c>
      <c r="J75" s="2">
        <v>0.0</v>
      </c>
      <c r="K75" s="2">
        <v>1.0</v>
      </c>
      <c r="L75" s="2">
        <v>0.0</v>
      </c>
    </row>
    <row r="76">
      <c r="A76" s="29">
        <v>46214.0</v>
      </c>
      <c r="B76" s="2" t="s">
        <v>237</v>
      </c>
      <c r="C76" s="2" t="s">
        <v>16</v>
      </c>
      <c r="D76" s="2" t="s">
        <v>469</v>
      </c>
      <c r="E76" s="2" t="s">
        <v>52</v>
      </c>
      <c r="F76" s="2">
        <v>2.0</v>
      </c>
      <c r="G76" s="2" t="s">
        <v>77</v>
      </c>
      <c r="H76" s="2">
        <v>3.0</v>
      </c>
      <c r="I76" s="2">
        <v>0.0</v>
      </c>
      <c r="J76" s="2">
        <v>0.0</v>
      </c>
      <c r="K76" s="2">
        <v>1.0</v>
      </c>
      <c r="L76" s="2">
        <v>0.0</v>
      </c>
    </row>
    <row r="77">
      <c r="A77" s="29">
        <v>46214.0</v>
      </c>
      <c r="B77" s="2" t="s">
        <v>209</v>
      </c>
      <c r="C77" s="2" t="s">
        <v>16</v>
      </c>
      <c r="D77" s="2" t="s">
        <v>471</v>
      </c>
      <c r="E77" s="2" t="s">
        <v>432</v>
      </c>
      <c r="F77" s="2">
        <v>1.0</v>
      </c>
      <c r="G77" s="2" t="s">
        <v>88</v>
      </c>
      <c r="H77" s="2">
        <v>3.0</v>
      </c>
      <c r="I77" s="2">
        <v>869.0</v>
      </c>
      <c r="J77" s="2">
        <v>0.0</v>
      </c>
      <c r="K77" s="2">
        <v>4.0</v>
      </c>
      <c r="L77" s="2">
        <v>0.0</v>
      </c>
    </row>
    <row r="78">
      <c r="A78" s="29">
        <v>46215.0</v>
      </c>
      <c r="B78" s="2" t="s">
        <v>152</v>
      </c>
      <c r="C78" s="2" t="s">
        <v>16</v>
      </c>
      <c r="D78" s="2" t="s">
        <v>472</v>
      </c>
      <c r="E78" s="2" t="s">
        <v>432</v>
      </c>
      <c r="F78" s="2">
        <v>1.0</v>
      </c>
      <c r="G78" s="2" t="s">
        <v>77</v>
      </c>
      <c r="H78" s="2">
        <v>3.0</v>
      </c>
      <c r="I78" s="2">
        <v>15.0</v>
      </c>
      <c r="J78" s="2">
        <v>0.0</v>
      </c>
      <c r="K78" s="2">
        <v>1.0</v>
      </c>
      <c r="L78" s="2">
        <v>0.0</v>
      </c>
    </row>
    <row r="79">
      <c r="A79" s="29">
        <v>46215.0</v>
      </c>
      <c r="B79" s="2" t="s">
        <v>116</v>
      </c>
      <c r="C79" s="2" t="s">
        <v>16</v>
      </c>
      <c r="D79" s="2" t="s">
        <v>473</v>
      </c>
      <c r="E79" s="2" t="s">
        <v>38</v>
      </c>
      <c r="F79" s="2">
        <v>1.0</v>
      </c>
      <c r="G79" s="2" t="s">
        <v>19</v>
      </c>
      <c r="H79" s="2">
        <v>2.0</v>
      </c>
      <c r="I79" s="2">
        <v>304.02</v>
      </c>
      <c r="J79" s="2">
        <v>0.0</v>
      </c>
      <c r="K79" s="2">
        <v>1.0</v>
      </c>
      <c r="L79" s="2">
        <v>0.0</v>
      </c>
    </row>
    <row r="80">
      <c r="A80" s="6">
        <v>46215.0</v>
      </c>
      <c r="B80" s="2"/>
      <c r="C80" s="2" t="s">
        <v>39</v>
      </c>
      <c r="D80" s="2" t="s">
        <v>474</v>
      </c>
      <c r="E80" s="2" t="s">
        <v>19</v>
      </c>
      <c r="F80" s="2">
        <v>2.0</v>
      </c>
      <c r="G80" s="2" t="s">
        <v>25</v>
      </c>
      <c r="H80" s="2">
        <v>3.0</v>
      </c>
      <c r="I80" s="2">
        <v>282.73</v>
      </c>
      <c r="J80" s="2">
        <v>50.0</v>
      </c>
      <c r="K80" s="2">
        <v>3.0</v>
      </c>
      <c r="L80" s="2">
        <v>150.0</v>
      </c>
    </row>
    <row r="81">
      <c r="A81" s="6">
        <v>46216.0</v>
      </c>
      <c r="B81" s="2" t="s">
        <v>237</v>
      </c>
      <c r="C81" s="2" t="s">
        <v>16</v>
      </c>
      <c r="D81" s="2" t="s">
        <v>475</v>
      </c>
      <c r="E81" s="2" t="s">
        <v>432</v>
      </c>
      <c r="F81" s="2">
        <v>1.0</v>
      </c>
      <c r="G81" s="2" t="s">
        <v>41</v>
      </c>
      <c r="H81" s="2">
        <v>3.0</v>
      </c>
      <c r="I81" s="2">
        <v>561.75</v>
      </c>
      <c r="J81" s="2">
        <v>0.0</v>
      </c>
      <c r="K81" s="2">
        <v>2.0</v>
      </c>
      <c r="L81" s="2">
        <v>0.0</v>
      </c>
    </row>
    <row r="82">
      <c r="A82" s="29">
        <v>46216.0</v>
      </c>
      <c r="B82" s="2" t="s">
        <v>237</v>
      </c>
      <c r="C82" s="2" t="s">
        <v>16</v>
      </c>
      <c r="D82" s="2" t="s">
        <v>476</v>
      </c>
      <c r="E82" s="2" t="s">
        <v>432</v>
      </c>
      <c r="F82" s="2">
        <v>1.0</v>
      </c>
      <c r="G82" s="2" t="s">
        <v>88</v>
      </c>
      <c r="H82" s="2">
        <v>3.0</v>
      </c>
      <c r="I82" s="2">
        <v>721.65</v>
      </c>
      <c r="J82" s="2">
        <v>0.0</v>
      </c>
      <c r="K82" s="2">
        <v>2.0</v>
      </c>
      <c r="L82" s="2">
        <v>0.0</v>
      </c>
    </row>
    <row r="83">
      <c r="A83" s="29">
        <v>46216.0</v>
      </c>
      <c r="B83" s="2" t="s">
        <v>237</v>
      </c>
      <c r="C83" s="2" t="s">
        <v>16</v>
      </c>
      <c r="D83" s="2" t="s">
        <v>477</v>
      </c>
      <c r="E83" s="2" t="s">
        <v>432</v>
      </c>
      <c r="F83" s="2">
        <v>1.0</v>
      </c>
      <c r="G83" s="2" t="s">
        <v>41</v>
      </c>
      <c r="H83" s="2">
        <v>3.0</v>
      </c>
      <c r="I83" s="2">
        <v>490.5</v>
      </c>
      <c r="J83" s="2">
        <v>0.0</v>
      </c>
      <c r="K83" s="2">
        <v>3.0</v>
      </c>
      <c r="L83" s="2">
        <v>0.0</v>
      </c>
    </row>
    <row r="84">
      <c r="A84" s="29">
        <v>46216.0</v>
      </c>
      <c r="B84" s="2" t="s">
        <v>237</v>
      </c>
      <c r="C84" s="2" t="s">
        <v>16</v>
      </c>
      <c r="D84" s="2" t="s">
        <v>477</v>
      </c>
      <c r="E84" s="2" t="s">
        <v>432</v>
      </c>
      <c r="F84" s="2">
        <v>1.0</v>
      </c>
      <c r="G84" s="2" t="s">
        <v>41</v>
      </c>
      <c r="H84" s="2">
        <v>3.0</v>
      </c>
      <c r="I84" s="2">
        <v>490.5</v>
      </c>
      <c r="J84" s="2">
        <v>0.0</v>
      </c>
      <c r="K84" s="2">
        <v>3.0</v>
      </c>
      <c r="L84" s="2">
        <v>0.0</v>
      </c>
    </row>
    <row r="85">
      <c r="A85" s="29">
        <v>46216.0</v>
      </c>
      <c r="B85" s="2" t="s">
        <v>31</v>
      </c>
      <c r="C85" s="2" t="s">
        <v>16</v>
      </c>
      <c r="D85" s="2" t="s">
        <v>480</v>
      </c>
      <c r="E85" s="2" t="s">
        <v>188</v>
      </c>
      <c r="F85" s="2">
        <v>1.0</v>
      </c>
      <c r="G85" s="2" t="s">
        <v>25</v>
      </c>
      <c r="H85" s="2">
        <v>3.0</v>
      </c>
      <c r="I85" s="2">
        <v>129.0</v>
      </c>
      <c r="J85" s="2">
        <v>0.0</v>
      </c>
      <c r="K85" s="2">
        <v>4.0</v>
      </c>
      <c r="L85" s="2">
        <v>0.0</v>
      </c>
    </row>
    <row r="86">
      <c r="A86" s="29">
        <v>46216.0</v>
      </c>
      <c r="B86" s="2" t="s">
        <v>237</v>
      </c>
      <c r="C86" s="2" t="s">
        <v>16</v>
      </c>
      <c r="D86" s="2" t="s">
        <v>481</v>
      </c>
      <c r="E86" s="2" t="s">
        <v>38</v>
      </c>
      <c r="F86" s="2">
        <v>1.0</v>
      </c>
      <c r="G86" s="2" t="s">
        <v>19</v>
      </c>
      <c r="H86" s="2">
        <v>2.0</v>
      </c>
      <c r="I86" s="2">
        <v>279.0</v>
      </c>
      <c r="J86" s="2">
        <v>0.0</v>
      </c>
      <c r="K86" s="2">
        <v>3.0</v>
      </c>
      <c r="L86" s="2">
        <v>0.0</v>
      </c>
    </row>
    <row r="87">
      <c r="A87" s="29">
        <v>46216.0</v>
      </c>
      <c r="B87" s="2" t="s">
        <v>237</v>
      </c>
      <c r="C87" s="2" t="s">
        <v>16</v>
      </c>
      <c r="D87" s="2" t="s">
        <v>482</v>
      </c>
      <c r="E87" s="2" t="s">
        <v>38</v>
      </c>
      <c r="F87" s="2">
        <v>1.0</v>
      </c>
      <c r="G87" s="2" t="s">
        <v>19</v>
      </c>
      <c r="H87" s="2">
        <v>2.0</v>
      </c>
      <c r="I87" s="2">
        <v>458.24</v>
      </c>
      <c r="J87" s="2">
        <v>0.0</v>
      </c>
      <c r="K87" s="2">
        <v>1.0</v>
      </c>
      <c r="L87" s="2">
        <v>0.0</v>
      </c>
    </row>
    <row r="88">
      <c r="A88" s="29">
        <v>46216.0</v>
      </c>
      <c r="B88" s="2" t="s">
        <v>31</v>
      </c>
      <c r="C88" s="2" t="s">
        <v>16</v>
      </c>
      <c r="D88" s="2" t="s">
        <v>483</v>
      </c>
      <c r="E88" s="2" t="s">
        <v>125</v>
      </c>
      <c r="F88" s="2">
        <v>1.0</v>
      </c>
      <c r="G88" s="2" t="s">
        <v>19</v>
      </c>
      <c r="H88" s="2">
        <v>2.0</v>
      </c>
      <c r="I88" s="2">
        <v>372.71</v>
      </c>
      <c r="J88" s="2">
        <v>0.0</v>
      </c>
      <c r="K88" s="2">
        <v>1.0</v>
      </c>
      <c r="L88" s="2">
        <v>0.0</v>
      </c>
    </row>
    <row r="89">
      <c r="A89" s="29">
        <v>46216.0</v>
      </c>
      <c r="B89" s="2" t="s">
        <v>31</v>
      </c>
      <c r="C89" s="2" t="s">
        <v>16</v>
      </c>
      <c r="D89" s="2" t="s">
        <v>484</v>
      </c>
      <c r="E89" s="2" t="s">
        <v>19</v>
      </c>
      <c r="F89" s="2">
        <v>2.0</v>
      </c>
      <c r="G89" s="2" t="s">
        <v>28</v>
      </c>
      <c r="H89" s="2">
        <v>3.0</v>
      </c>
      <c r="I89" s="2">
        <v>329.0</v>
      </c>
      <c r="J89" s="2">
        <v>0.0</v>
      </c>
      <c r="K89" s="2">
        <v>1.0</v>
      </c>
      <c r="L89" s="2">
        <v>0.0</v>
      </c>
    </row>
    <row r="90">
      <c r="A90" s="29">
        <v>46216.0</v>
      </c>
      <c r="B90" s="2" t="s">
        <v>31</v>
      </c>
      <c r="C90" s="2" t="s">
        <v>16</v>
      </c>
      <c r="D90" s="2" t="s">
        <v>485</v>
      </c>
      <c r="E90" s="2" t="s">
        <v>38</v>
      </c>
      <c r="F90" s="2">
        <v>1.0</v>
      </c>
      <c r="G90" s="2" t="s">
        <v>19</v>
      </c>
      <c r="H90" s="2">
        <v>2.0</v>
      </c>
      <c r="I90" s="2">
        <v>309.0</v>
      </c>
      <c r="J90" s="2">
        <v>0.0</v>
      </c>
      <c r="K90" s="2">
        <v>1.0</v>
      </c>
      <c r="L90" s="2">
        <v>0.0</v>
      </c>
    </row>
    <row r="91">
      <c r="A91" s="29">
        <v>46216.0</v>
      </c>
      <c r="B91" s="2" t="s">
        <v>354</v>
      </c>
      <c r="C91" s="2" t="s">
        <v>16</v>
      </c>
      <c r="D91" s="2" t="s">
        <v>486</v>
      </c>
      <c r="E91" s="2" t="s">
        <v>223</v>
      </c>
      <c r="F91" s="2">
        <v>1.0</v>
      </c>
      <c r="G91" s="2" t="s">
        <v>85</v>
      </c>
      <c r="H91" s="2">
        <v>3.0</v>
      </c>
      <c r="I91" s="2">
        <v>189.0</v>
      </c>
      <c r="J91" s="2">
        <v>0.0</v>
      </c>
      <c r="K91" s="2">
        <v>1.0</v>
      </c>
      <c r="L91" s="2">
        <v>0.0</v>
      </c>
    </row>
    <row r="92">
      <c r="A92" s="29">
        <v>46217.0</v>
      </c>
      <c r="B92" s="2" t="s">
        <v>251</v>
      </c>
      <c r="C92" s="2" t="s">
        <v>16</v>
      </c>
      <c r="D92" s="2" t="s">
        <v>487</v>
      </c>
      <c r="E92" s="2" t="s">
        <v>22</v>
      </c>
      <c r="F92" s="2">
        <v>1.0</v>
      </c>
      <c r="G92" s="2" t="s">
        <v>19</v>
      </c>
      <c r="H92" s="2">
        <v>2.0</v>
      </c>
      <c r="I92" s="2">
        <v>189.0</v>
      </c>
      <c r="J92" s="2">
        <v>0.0</v>
      </c>
      <c r="K92" s="2">
        <v>1.0</v>
      </c>
      <c r="L92" s="2">
        <v>0.0</v>
      </c>
    </row>
    <row r="93">
      <c r="A93" s="29">
        <v>46218.0</v>
      </c>
      <c r="B93" s="2" t="s">
        <v>152</v>
      </c>
      <c r="C93" s="2" t="s">
        <v>16</v>
      </c>
      <c r="D93" s="2" t="s">
        <v>488</v>
      </c>
      <c r="E93" s="2" t="s">
        <v>432</v>
      </c>
      <c r="F93" s="2">
        <v>1.0</v>
      </c>
      <c r="G93" s="2" t="s">
        <v>25</v>
      </c>
      <c r="H93" s="2">
        <v>3.0</v>
      </c>
      <c r="I93" s="2">
        <v>0.0</v>
      </c>
      <c r="J93" s="2">
        <v>0.0</v>
      </c>
      <c r="K93" s="2">
        <v>1.0</v>
      </c>
      <c r="L93" s="2">
        <v>0.0</v>
      </c>
    </row>
    <row r="94">
      <c r="A94" s="29">
        <v>46218.0</v>
      </c>
      <c r="B94" s="2" t="s">
        <v>152</v>
      </c>
      <c r="C94" s="2" t="s">
        <v>16</v>
      </c>
      <c r="D94" s="2" t="s">
        <v>330</v>
      </c>
      <c r="E94" s="2" t="s">
        <v>22</v>
      </c>
      <c r="F94" s="2">
        <v>1.0</v>
      </c>
      <c r="G94" s="2" t="s">
        <v>88</v>
      </c>
      <c r="H94" s="2">
        <v>3.0</v>
      </c>
      <c r="I94" s="2">
        <v>999.0</v>
      </c>
      <c r="J94" s="2">
        <v>0.0</v>
      </c>
      <c r="K94" s="2">
        <v>4.0</v>
      </c>
      <c r="L94" s="2">
        <v>0.0</v>
      </c>
    </row>
    <row r="95">
      <c r="A95" s="29">
        <v>46219.0</v>
      </c>
      <c r="B95" s="2" t="s">
        <v>152</v>
      </c>
      <c r="C95" s="2" t="s">
        <v>16</v>
      </c>
      <c r="D95" s="2" t="s">
        <v>489</v>
      </c>
      <c r="E95" s="2" t="s">
        <v>22</v>
      </c>
      <c r="F95" s="2">
        <v>1.0</v>
      </c>
      <c r="G95" s="2" t="s">
        <v>52</v>
      </c>
      <c r="H95" s="2">
        <v>2.0</v>
      </c>
      <c r="I95" s="2">
        <v>102.0</v>
      </c>
      <c r="J95" s="2">
        <v>0.0</v>
      </c>
      <c r="K95" s="2">
        <v>0.0</v>
      </c>
      <c r="L95" s="2">
        <v>0.0</v>
      </c>
    </row>
    <row r="96">
      <c r="A96" s="29">
        <v>46219.0</v>
      </c>
      <c r="C96" s="2" t="s">
        <v>174</v>
      </c>
      <c r="D96" s="2" t="s">
        <v>490</v>
      </c>
      <c r="E96" s="2" t="s">
        <v>48</v>
      </c>
      <c r="F96" s="2">
        <v>1.0</v>
      </c>
      <c r="G96" s="2" t="s">
        <v>25</v>
      </c>
      <c r="H96" s="2">
        <v>3.0</v>
      </c>
      <c r="I96" s="2">
        <v>679.15</v>
      </c>
      <c r="J96" s="2">
        <v>100.0</v>
      </c>
      <c r="K96" s="2">
        <v>1.0</v>
      </c>
      <c r="L96" s="2">
        <v>100.0</v>
      </c>
    </row>
    <row r="97">
      <c r="A97" s="29">
        <v>46219.0</v>
      </c>
      <c r="B97" s="2" t="s">
        <v>31</v>
      </c>
      <c r="C97" s="2" t="s">
        <v>16</v>
      </c>
      <c r="D97" s="2" t="s">
        <v>491</v>
      </c>
      <c r="E97" s="2" t="s">
        <v>22</v>
      </c>
      <c r="F97" s="2">
        <v>1.0</v>
      </c>
      <c r="G97" s="2" t="s">
        <v>52</v>
      </c>
      <c r="H97" s="2">
        <v>2.0</v>
      </c>
      <c r="I97" s="2">
        <v>429.0</v>
      </c>
      <c r="J97" s="2">
        <v>0.0</v>
      </c>
      <c r="K97" s="2">
        <v>1.0</v>
      </c>
      <c r="L97" s="2">
        <v>0.0</v>
      </c>
    </row>
    <row r="98">
      <c r="A98" s="29">
        <v>46219.0</v>
      </c>
      <c r="B98" s="2" t="s">
        <v>31</v>
      </c>
      <c r="C98" s="2" t="s">
        <v>16</v>
      </c>
      <c r="D98" s="2" t="s">
        <v>492</v>
      </c>
      <c r="E98" s="2" t="s">
        <v>22</v>
      </c>
      <c r="F98" s="2">
        <v>1.0</v>
      </c>
      <c r="G98" s="2" t="s">
        <v>52</v>
      </c>
      <c r="H98" s="2">
        <v>2.0</v>
      </c>
      <c r="I98" s="2">
        <v>429.0</v>
      </c>
      <c r="J98" s="2">
        <v>0.0</v>
      </c>
      <c r="K98" s="2">
        <v>1.0</v>
      </c>
      <c r="L98" s="2">
        <v>0.0</v>
      </c>
    </row>
    <row r="99">
      <c r="A99" s="29">
        <v>46219.0</v>
      </c>
      <c r="B99" s="2" t="s">
        <v>237</v>
      </c>
      <c r="C99" s="2" t="s">
        <v>16</v>
      </c>
      <c r="D99" s="2" t="s">
        <v>493</v>
      </c>
      <c r="E99" s="2" t="s">
        <v>432</v>
      </c>
      <c r="F99" s="2">
        <v>1.0</v>
      </c>
      <c r="G99" s="2" t="s">
        <v>88</v>
      </c>
      <c r="H99" s="2">
        <v>3.0</v>
      </c>
      <c r="I99" s="2">
        <v>899.0</v>
      </c>
      <c r="J99" s="2">
        <v>0.0</v>
      </c>
      <c r="K99" s="2">
        <v>1.0</v>
      </c>
      <c r="L99" s="2">
        <v>0.0</v>
      </c>
    </row>
    <row r="100">
      <c r="A100" s="29">
        <v>46219.0</v>
      </c>
      <c r="B100" s="2" t="s">
        <v>237</v>
      </c>
      <c r="C100" s="2" t="s">
        <v>16</v>
      </c>
      <c r="D100" s="2" t="s">
        <v>494</v>
      </c>
      <c r="E100" s="2" t="s">
        <v>432</v>
      </c>
      <c r="F100" s="2">
        <v>1.0</v>
      </c>
      <c r="G100" s="2" t="s">
        <v>77</v>
      </c>
      <c r="H100" s="2">
        <v>3.0</v>
      </c>
      <c r="I100" s="2">
        <v>1009.0</v>
      </c>
      <c r="J100" s="2">
        <v>0.0</v>
      </c>
      <c r="K100" s="2">
        <v>9.0</v>
      </c>
      <c r="L100" s="2">
        <v>0.0</v>
      </c>
    </row>
    <row r="101">
      <c r="A101" s="29">
        <v>46219.0</v>
      </c>
      <c r="B101" s="2" t="s">
        <v>31</v>
      </c>
      <c r="C101" s="2" t="s">
        <v>16</v>
      </c>
      <c r="D101" s="2" t="s">
        <v>495</v>
      </c>
      <c r="E101" s="2" t="s">
        <v>22</v>
      </c>
      <c r="F101" s="2">
        <v>1.0</v>
      </c>
      <c r="G101" s="2" t="s">
        <v>19</v>
      </c>
      <c r="H101" s="2">
        <v>2.0</v>
      </c>
      <c r="I101" s="2">
        <v>303.06</v>
      </c>
      <c r="J101" s="2">
        <v>0.0</v>
      </c>
      <c r="K101" s="2">
        <v>2.0</v>
      </c>
      <c r="L101" s="2">
        <v>0.0</v>
      </c>
    </row>
    <row r="102">
      <c r="A102" s="29">
        <v>46219.0</v>
      </c>
      <c r="B102" s="2" t="s">
        <v>31</v>
      </c>
      <c r="C102" s="2" t="s">
        <v>16</v>
      </c>
      <c r="D102" s="2" t="s">
        <v>496</v>
      </c>
      <c r="E102" s="2" t="s">
        <v>22</v>
      </c>
      <c r="F102" s="2">
        <v>1.0</v>
      </c>
      <c r="G102" s="2" t="s">
        <v>19</v>
      </c>
      <c r="H102" s="2">
        <v>2.0</v>
      </c>
      <c r="I102" s="2">
        <v>413.81</v>
      </c>
      <c r="J102" s="2">
        <v>0.0</v>
      </c>
      <c r="K102" s="2">
        <v>1.0</v>
      </c>
      <c r="L102" s="2">
        <v>0.0</v>
      </c>
    </row>
    <row r="103">
      <c r="A103" s="29">
        <v>46219.0</v>
      </c>
      <c r="B103" s="2" t="s">
        <v>237</v>
      </c>
      <c r="C103" s="2" t="s">
        <v>16</v>
      </c>
      <c r="D103" s="2" t="s">
        <v>497</v>
      </c>
      <c r="E103" s="2" t="s">
        <v>19</v>
      </c>
      <c r="F103" s="2">
        <v>2.0</v>
      </c>
      <c r="G103" s="2" t="s">
        <v>77</v>
      </c>
      <c r="H103" s="2">
        <v>3.0</v>
      </c>
      <c r="I103" s="2">
        <v>484.0</v>
      </c>
      <c r="J103" s="2">
        <v>0.0</v>
      </c>
      <c r="K103" s="2">
        <v>1.0</v>
      </c>
      <c r="L103" s="2">
        <v>0.0</v>
      </c>
    </row>
    <row r="104">
      <c r="A104" s="29">
        <v>46219.0</v>
      </c>
      <c r="B104" s="2" t="s">
        <v>237</v>
      </c>
      <c r="C104" s="2" t="s">
        <v>16</v>
      </c>
      <c r="D104" s="2" t="s">
        <v>498</v>
      </c>
      <c r="E104" s="2" t="s">
        <v>19</v>
      </c>
      <c r="F104" s="2">
        <v>2.0</v>
      </c>
      <c r="G104" s="2" t="s">
        <v>85</v>
      </c>
      <c r="H104" s="2">
        <v>3.0</v>
      </c>
      <c r="I104" s="2">
        <v>764.51</v>
      </c>
      <c r="J104" s="2">
        <v>0.0</v>
      </c>
      <c r="K104" s="2">
        <v>1.0</v>
      </c>
      <c r="L104" s="2">
        <v>0.0</v>
      </c>
    </row>
    <row r="105">
      <c r="A105" s="29">
        <v>46219.0</v>
      </c>
      <c r="B105" s="2" t="s">
        <v>237</v>
      </c>
      <c r="C105" s="2" t="s">
        <v>16</v>
      </c>
      <c r="D105" s="2" t="s">
        <v>500</v>
      </c>
      <c r="E105" s="2" t="s">
        <v>22</v>
      </c>
      <c r="F105" s="2">
        <v>1.0</v>
      </c>
      <c r="G105" s="2" t="s">
        <v>34</v>
      </c>
      <c r="H105" s="2">
        <v>3.0</v>
      </c>
      <c r="I105" s="2">
        <v>599.0</v>
      </c>
      <c r="J105" s="2">
        <v>0.0</v>
      </c>
      <c r="K105" s="2">
        <v>3.0</v>
      </c>
      <c r="L105" s="2">
        <v>0.0</v>
      </c>
    </row>
    <row r="106">
      <c r="A106" s="29">
        <v>46219.0</v>
      </c>
      <c r="B106" s="2" t="s">
        <v>237</v>
      </c>
      <c r="C106" s="2" t="s">
        <v>16</v>
      </c>
      <c r="D106" s="2" t="s">
        <v>501</v>
      </c>
      <c r="E106" s="2" t="s">
        <v>432</v>
      </c>
      <c r="F106" s="2">
        <v>1.0</v>
      </c>
      <c r="G106" s="2" t="s">
        <v>88</v>
      </c>
      <c r="H106" s="2">
        <v>3.0</v>
      </c>
      <c r="I106" s="2">
        <v>553.5</v>
      </c>
      <c r="J106" s="2">
        <v>0.0</v>
      </c>
      <c r="K106" s="2">
        <v>1.0</v>
      </c>
      <c r="L106" s="2">
        <v>0.0</v>
      </c>
    </row>
    <row r="107">
      <c r="A107" s="29">
        <v>46219.0</v>
      </c>
      <c r="B107" s="2" t="s">
        <v>237</v>
      </c>
      <c r="C107" s="2" t="s">
        <v>16</v>
      </c>
      <c r="D107" s="2" t="s">
        <v>503</v>
      </c>
      <c r="E107" s="2" t="s">
        <v>432</v>
      </c>
      <c r="F107" s="2">
        <v>1.0</v>
      </c>
      <c r="G107" s="2" t="s">
        <v>34</v>
      </c>
      <c r="H107" s="2">
        <v>3.0</v>
      </c>
      <c r="I107" s="2">
        <v>0.0</v>
      </c>
      <c r="J107" s="2">
        <v>0.0</v>
      </c>
      <c r="K107" s="2">
        <v>1.0</v>
      </c>
      <c r="L107" s="2">
        <v>0.0</v>
      </c>
    </row>
    <row r="108">
      <c r="A108" s="29">
        <v>46219.0</v>
      </c>
      <c r="B108" s="2" t="s">
        <v>237</v>
      </c>
      <c r="C108" s="2" t="s">
        <v>16</v>
      </c>
      <c r="D108" s="2" t="s">
        <v>504</v>
      </c>
      <c r="E108" s="2" t="s">
        <v>432</v>
      </c>
      <c r="F108" s="2">
        <v>1.0</v>
      </c>
      <c r="G108" s="2" t="s">
        <v>34</v>
      </c>
      <c r="H108" s="2">
        <v>3.0</v>
      </c>
      <c r="I108" s="2">
        <v>658.75</v>
      </c>
      <c r="J108" s="2">
        <v>0.0</v>
      </c>
      <c r="K108" s="2">
        <v>2.0</v>
      </c>
      <c r="L108" s="2">
        <v>0.0</v>
      </c>
    </row>
    <row r="109">
      <c r="A109" s="29">
        <v>46219.0</v>
      </c>
      <c r="B109" s="2" t="s">
        <v>237</v>
      </c>
      <c r="C109" s="2" t="s">
        <v>16</v>
      </c>
      <c r="D109" s="2" t="s">
        <v>506</v>
      </c>
      <c r="E109" s="2" t="s">
        <v>432</v>
      </c>
      <c r="F109" s="2">
        <v>1.0</v>
      </c>
      <c r="G109" s="2" t="s">
        <v>34</v>
      </c>
      <c r="H109" s="2">
        <v>3.0</v>
      </c>
      <c r="I109" s="2">
        <v>608.0</v>
      </c>
      <c r="J109" s="2">
        <v>0.0</v>
      </c>
      <c r="K109" s="2">
        <v>1.0</v>
      </c>
      <c r="L109" s="2">
        <v>0.0</v>
      </c>
    </row>
    <row r="110">
      <c r="A110" s="29">
        <v>46219.0</v>
      </c>
      <c r="B110" s="2" t="s">
        <v>237</v>
      </c>
      <c r="C110" s="2" t="s">
        <v>16</v>
      </c>
      <c r="D110" s="2" t="s">
        <v>507</v>
      </c>
      <c r="E110" s="2" t="s">
        <v>49</v>
      </c>
      <c r="F110" s="2">
        <v>2.0</v>
      </c>
      <c r="G110" s="2" t="s">
        <v>25</v>
      </c>
      <c r="H110" s="2">
        <v>3.0</v>
      </c>
      <c r="I110" s="2">
        <v>1065.0</v>
      </c>
      <c r="J110" s="2">
        <v>0.0</v>
      </c>
      <c r="K110" s="2">
        <v>1.0</v>
      </c>
      <c r="L110" s="2">
        <v>0.0</v>
      </c>
    </row>
    <row r="111">
      <c r="A111" s="29">
        <v>46219.0</v>
      </c>
      <c r="B111" s="2" t="s">
        <v>237</v>
      </c>
      <c r="C111" s="2" t="s">
        <v>16</v>
      </c>
      <c r="D111" s="2" t="s">
        <v>509</v>
      </c>
      <c r="E111" s="2" t="s">
        <v>49</v>
      </c>
      <c r="F111" s="2">
        <v>2.0</v>
      </c>
      <c r="G111" s="2" t="s">
        <v>25</v>
      </c>
      <c r="H111" s="2">
        <v>3.0</v>
      </c>
      <c r="I111" s="2">
        <v>919.0</v>
      </c>
      <c r="J111" s="2">
        <v>0.0</v>
      </c>
      <c r="K111" s="2">
        <v>2.0</v>
      </c>
      <c r="L111" s="2">
        <v>0.0</v>
      </c>
    </row>
    <row r="112">
      <c r="A112" s="29">
        <v>46219.0</v>
      </c>
      <c r="B112" s="2" t="s">
        <v>237</v>
      </c>
      <c r="C112" s="2" t="s">
        <v>16</v>
      </c>
      <c r="D112" s="2" t="s">
        <v>512</v>
      </c>
      <c r="E112" s="2" t="s">
        <v>48</v>
      </c>
      <c r="F112" s="2">
        <v>1.0</v>
      </c>
      <c r="G112" s="2" t="s">
        <v>19</v>
      </c>
      <c r="H112" s="2">
        <v>2.0</v>
      </c>
      <c r="I112" s="2">
        <v>279.0</v>
      </c>
      <c r="J112" s="2">
        <v>0.0</v>
      </c>
      <c r="K112" s="2">
        <v>2.0</v>
      </c>
      <c r="L112" s="2">
        <v>0.0</v>
      </c>
    </row>
    <row r="113">
      <c r="A113" s="29">
        <v>46219.0</v>
      </c>
      <c r="B113" s="2" t="s">
        <v>237</v>
      </c>
      <c r="C113" s="2" t="s">
        <v>16</v>
      </c>
      <c r="D113" s="2" t="s">
        <v>514</v>
      </c>
      <c r="E113" s="2" t="s">
        <v>18</v>
      </c>
      <c r="F113" s="2">
        <v>1.0</v>
      </c>
      <c r="G113" s="2" t="s">
        <v>52</v>
      </c>
      <c r="H113" s="2">
        <v>2.0</v>
      </c>
      <c r="I113" s="2">
        <v>150.0</v>
      </c>
      <c r="J113" s="2">
        <v>0.0</v>
      </c>
      <c r="K113" s="2">
        <v>1.0</v>
      </c>
      <c r="L113" s="2">
        <v>0.0</v>
      </c>
    </row>
    <row r="114">
      <c r="A114" s="29">
        <v>46219.0</v>
      </c>
      <c r="B114" s="2" t="s">
        <v>237</v>
      </c>
      <c r="C114" s="2" t="s">
        <v>16</v>
      </c>
      <c r="D114" s="2" t="s">
        <v>497</v>
      </c>
      <c r="E114" s="2" t="s">
        <v>19</v>
      </c>
      <c r="F114" s="2">
        <v>2.0</v>
      </c>
      <c r="G114" s="2" t="s">
        <v>77</v>
      </c>
      <c r="H114" s="2">
        <v>3.0</v>
      </c>
      <c r="I114" s="2">
        <v>484.0</v>
      </c>
      <c r="J114" s="2">
        <v>0.0</v>
      </c>
      <c r="K114" s="2">
        <v>1.0</v>
      </c>
      <c r="L114" s="2">
        <v>0.0</v>
      </c>
    </row>
    <row r="115">
      <c r="A115" s="29">
        <v>46219.0</v>
      </c>
      <c r="B115" s="2" t="s">
        <v>237</v>
      </c>
      <c r="C115" s="2" t="s">
        <v>16</v>
      </c>
      <c r="D115" s="2" t="s">
        <v>515</v>
      </c>
      <c r="E115" s="2" t="s">
        <v>19</v>
      </c>
      <c r="F115" s="2">
        <v>2.0</v>
      </c>
      <c r="G115" s="2" t="s">
        <v>25</v>
      </c>
      <c r="H115" s="2">
        <v>3.0</v>
      </c>
      <c r="I115" s="2">
        <v>69.0</v>
      </c>
      <c r="J115" s="2">
        <v>0.0</v>
      </c>
      <c r="K115" s="2">
        <v>3.0</v>
      </c>
      <c r="L115" s="2">
        <v>0.0</v>
      </c>
    </row>
    <row r="116">
      <c r="A116" s="29">
        <v>46219.0</v>
      </c>
      <c r="B116" s="2" t="s">
        <v>237</v>
      </c>
      <c r="C116" s="2" t="s">
        <v>16</v>
      </c>
      <c r="D116" s="2" t="s">
        <v>516</v>
      </c>
      <c r="E116" s="2" t="s">
        <v>18</v>
      </c>
      <c r="F116" s="2">
        <v>1.0</v>
      </c>
      <c r="G116" s="2" t="s">
        <v>52</v>
      </c>
      <c r="H116" s="2">
        <v>2.0</v>
      </c>
      <c r="I116" s="2">
        <v>629.25</v>
      </c>
      <c r="J116" s="2">
        <v>0.0</v>
      </c>
      <c r="K116" s="2">
        <v>1.0</v>
      </c>
      <c r="L116" s="2">
        <v>0.0</v>
      </c>
    </row>
    <row r="117">
      <c r="A117" s="29">
        <v>46219.0</v>
      </c>
      <c r="B117" s="2" t="s">
        <v>517</v>
      </c>
      <c r="C117" s="2" t="s">
        <v>518</v>
      </c>
      <c r="D117" s="2" t="s">
        <v>519</v>
      </c>
      <c r="E117" s="2" t="s">
        <v>38</v>
      </c>
      <c r="F117" s="2">
        <v>1.0</v>
      </c>
      <c r="G117" s="2" t="s">
        <v>19</v>
      </c>
      <c r="H117" s="2">
        <v>2.0</v>
      </c>
      <c r="I117" s="2">
        <v>299.27</v>
      </c>
      <c r="J117" s="2">
        <v>50.0</v>
      </c>
      <c r="K117" s="2">
        <v>2.0</v>
      </c>
      <c r="L117" s="2">
        <v>100.0</v>
      </c>
    </row>
    <row r="118">
      <c r="A118" s="29">
        <v>46220.0</v>
      </c>
      <c r="B118" s="2" t="s">
        <v>237</v>
      </c>
      <c r="C118" s="2" t="s">
        <v>16</v>
      </c>
      <c r="D118" s="2" t="s">
        <v>520</v>
      </c>
      <c r="E118" s="2" t="s">
        <v>432</v>
      </c>
      <c r="F118" s="2">
        <v>1.0</v>
      </c>
      <c r="G118" s="2" t="s">
        <v>88</v>
      </c>
      <c r="H118" s="2">
        <v>3.0</v>
      </c>
      <c r="I118" s="2">
        <v>898.01</v>
      </c>
      <c r="J118" s="2">
        <v>0.0</v>
      </c>
      <c r="K118" s="2">
        <v>2.0</v>
      </c>
      <c r="L118" s="2">
        <v>0.0</v>
      </c>
    </row>
    <row r="119">
      <c r="A119" s="29">
        <v>46220.0</v>
      </c>
      <c r="B119" s="2" t="s">
        <v>237</v>
      </c>
      <c r="C119" s="2" t="s">
        <v>16</v>
      </c>
      <c r="D119" s="2" t="s">
        <v>494</v>
      </c>
      <c r="E119" s="2" t="s">
        <v>432</v>
      </c>
      <c r="F119" s="2">
        <v>1.0</v>
      </c>
      <c r="G119" s="2" t="s">
        <v>88</v>
      </c>
      <c r="H119" s="2">
        <v>3.0</v>
      </c>
      <c r="I119" s="2">
        <v>1009.0</v>
      </c>
      <c r="J119" s="2">
        <v>0.0</v>
      </c>
      <c r="K119" s="2">
        <v>1.0</v>
      </c>
      <c r="L119" s="2">
        <v>0.0</v>
      </c>
    </row>
    <row r="120">
      <c r="A120" s="29">
        <v>46220.0</v>
      </c>
      <c r="B120" s="2" t="s">
        <v>237</v>
      </c>
      <c r="C120" s="2" t="s">
        <v>16</v>
      </c>
      <c r="D120" s="2" t="s">
        <v>522</v>
      </c>
      <c r="E120" s="2" t="s">
        <v>19</v>
      </c>
      <c r="F120" s="2">
        <v>2.0</v>
      </c>
      <c r="G120" s="2" t="s">
        <v>77</v>
      </c>
      <c r="H120" s="2">
        <v>3.0</v>
      </c>
      <c r="I120" s="2">
        <v>484.0</v>
      </c>
      <c r="J120" s="2">
        <v>0.0</v>
      </c>
      <c r="K120" s="2">
        <v>2.0</v>
      </c>
      <c r="L120" s="2">
        <v>0.0</v>
      </c>
    </row>
    <row r="121">
      <c r="A121" s="29">
        <v>46220.0</v>
      </c>
      <c r="B121" s="2" t="s">
        <v>237</v>
      </c>
      <c r="C121" s="2" t="s">
        <v>16</v>
      </c>
      <c r="D121" s="2" t="s">
        <v>476</v>
      </c>
      <c r="E121" s="2" t="s">
        <v>432</v>
      </c>
      <c r="F121" s="2">
        <v>1.0</v>
      </c>
      <c r="G121" s="2" t="s">
        <v>41</v>
      </c>
      <c r="H121" s="2">
        <v>3.0</v>
      </c>
      <c r="I121" s="2">
        <v>721.65</v>
      </c>
      <c r="J121" s="2">
        <v>0.0</v>
      </c>
      <c r="K121" s="2">
        <v>2.0</v>
      </c>
      <c r="L121" s="2">
        <v>0.0</v>
      </c>
    </row>
    <row r="122">
      <c r="A122" s="29">
        <v>46220.0</v>
      </c>
      <c r="B122" s="2" t="s">
        <v>237</v>
      </c>
      <c r="C122" s="2" t="s">
        <v>16</v>
      </c>
      <c r="D122" s="2" t="s">
        <v>523</v>
      </c>
      <c r="E122" s="2" t="s">
        <v>52</v>
      </c>
      <c r="F122" s="2">
        <v>2.0</v>
      </c>
      <c r="G122" s="2" t="s">
        <v>85</v>
      </c>
      <c r="H122" s="2">
        <v>3.0</v>
      </c>
      <c r="I122" s="2">
        <v>434.25</v>
      </c>
      <c r="J122" s="2">
        <v>0.0</v>
      </c>
      <c r="K122" s="2">
        <v>2.0</v>
      </c>
      <c r="L122" s="2">
        <v>0.0</v>
      </c>
    </row>
    <row r="123">
      <c r="A123" s="29">
        <v>46220.0</v>
      </c>
      <c r="B123" s="2" t="s">
        <v>237</v>
      </c>
      <c r="C123" s="2" t="s">
        <v>16</v>
      </c>
      <c r="D123" s="2" t="s">
        <v>524</v>
      </c>
      <c r="E123" s="2" t="s">
        <v>48</v>
      </c>
      <c r="F123" s="2">
        <v>1.0</v>
      </c>
      <c r="G123" s="2" t="s">
        <v>19</v>
      </c>
      <c r="H123" s="2">
        <v>2.0</v>
      </c>
      <c r="I123" s="2">
        <v>809.0</v>
      </c>
      <c r="J123" s="2">
        <v>0.0</v>
      </c>
      <c r="K123" s="2">
        <v>1.0</v>
      </c>
      <c r="L123" s="2">
        <v>0.0</v>
      </c>
    </row>
    <row r="124">
      <c r="A124" s="29">
        <v>46220.0</v>
      </c>
      <c r="B124" s="2" t="s">
        <v>237</v>
      </c>
      <c r="C124" s="2" t="s">
        <v>16</v>
      </c>
      <c r="D124" s="2" t="s">
        <v>526</v>
      </c>
      <c r="E124" s="2" t="s">
        <v>18</v>
      </c>
      <c r="F124" s="2">
        <v>1.0</v>
      </c>
      <c r="G124" s="2" t="s">
        <v>52</v>
      </c>
      <c r="H124" s="2">
        <v>2.0</v>
      </c>
      <c r="I124" s="2">
        <v>150.0</v>
      </c>
      <c r="J124" s="2">
        <v>0.0</v>
      </c>
      <c r="K124" s="2">
        <v>1.0</v>
      </c>
      <c r="L124" s="2">
        <v>0.0</v>
      </c>
    </row>
    <row r="125">
      <c r="A125" s="29">
        <v>46220.0</v>
      </c>
      <c r="B125" s="2" t="s">
        <v>237</v>
      </c>
      <c r="C125" s="2" t="s">
        <v>16</v>
      </c>
      <c r="D125" s="2" t="s">
        <v>528</v>
      </c>
      <c r="E125" s="2" t="s">
        <v>18</v>
      </c>
      <c r="F125" s="2">
        <v>1.0</v>
      </c>
      <c r="G125" s="2" t="s">
        <v>52</v>
      </c>
      <c r="H125" s="2">
        <v>2.0</v>
      </c>
      <c r="I125" s="2">
        <v>779.0</v>
      </c>
      <c r="J125" s="2">
        <v>0.0</v>
      </c>
      <c r="K125" s="2">
        <v>1.0</v>
      </c>
      <c r="L125" s="2">
        <v>0.0</v>
      </c>
    </row>
    <row r="126">
      <c r="A126" s="29">
        <v>46220.0</v>
      </c>
      <c r="B126" s="2" t="s">
        <v>237</v>
      </c>
      <c r="C126" s="2" t="s">
        <v>16</v>
      </c>
      <c r="D126" s="2" t="s">
        <v>528</v>
      </c>
      <c r="E126" s="2" t="s">
        <v>22</v>
      </c>
      <c r="F126" s="2">
        <v>1.0</v>
      </c>
      <c r="G126" s="2" t="s">
        <v>52</v>
      </c>
      <c r="H126" s="2">
        <v>2.0</v>
      </c>
      <c r="I126" s="2">
        <v>749.0</v>
      </c>
      <c r="J126" s="2">
        <v>0.0</v>
      </c>
      <c r="K126" s="2">
        <v>1.0</v>
      </c>
      <c r="L126" s="2">
        <v>0.0</v>
      </c>
    </row>
    <row r="127">
      <c r="A127" s="29">
        <v>46220.0</v>
      </c>
      <c r="B127" s="2" t="s">
        <v>237</v>
      </c>
      <c r="C127" s="2" t="s">
        <v>16</v>
      </c>
      <c r="D127" s="2" t="s">
        <v>530</v>
      </c>
      <c r="E127" s="2" t="s">
        <v>18</v>
      </c>
      <c r="F127" s="2">
        <v>1.0</v>
      </c>
      <c r="G127" s="2" t="s">
        <v>52</v>
      </c>
      <c r="H127" s="2">
        <v>2.0</v>
      </c>
      <c r="I127" s="2">
        <v>539.1</v>
      </c>
      <c r="J127" s="2">
        <v>0.0</v>
      </c>
      <c r="K127" s="2">
        <v>2.0</v>
      </c>
      <c r="L127" s="2">
        <v>0.0</v>
      </c>
    </row>
    <row r="128">
      <c r="A128" s="29">
        <v>46220.0</v>
      </c>
      <c r="B128" s="2" t="s">
        <v>31</v>
      </c>
      <c r="C128" s="2" t="s">
        <v>16</v>
      </c>
      <c r="D128" s="2" t="s">
        <v>532</v>
      </c>
      <c r="E128" s="2" t="s">
        <v>52</v>
      </c>
      <c r="F128" s="2">
        <v>2.0</v>
      </c>
      <c r="G128" s="2" t="s">
        <v>77</v>
      </c>
      <c r="H128" s="2">
        <v>3.0</v>
      </c>
      <c r="I128" s="2">
        <v>549.0</v>
      </c>
      <c r="J128" s="2">
        <v>0.0</v>
      </c>
      <c r="K128" s="2">
        <v>1.0</v>
      </c>
      <c r="L128" s="2">
        <v>0.0</v>
      </c>
    </row>
    <row r="129">
      <c r="A129" s="29">
        <v>46220.0</v>
      </c>
      <c r="B129" s="2" t="s">
        <v>31</v>
      </c>
      <c r="C129" s="2" t="s">
        <v>16</v>
      </c>
      <c r="D129" s="2" t="s">
        <v>533</v>
      </c>
      <c r="E129" s="2" t="s">
        <v>18</v>
      </c>
      <c r="F129" s="2">
        <v>1.0</v>
      </c>
      <c r="G129" s="2" t="s">
        <v>52</v>
      </c>
      <c r="H129" s="2">
        <v>2.0</v>
      </c>
      <c r="I129" s="2">
        <v>399.0</v>
      </c>
      <c r="J129" s="2">
        <v>0.0</v>
      </c>
      <c r="K129" s="2">
        <v>1.0</v>
      </c>
      <c r="L129" s="2">
        <v>0.0</v>
      </c>
    </row>
    <row r="130">
      <c r="A130" s="29">
        <v>46220.0</v>
      </c>
      <c r="B130" s="2" t="s">
        <v>237</v>
      </c>
      <c r="C130" s="2" t="s">
        <v>16</v>
      </c>
      <c r="D130" s="2" t="s">
        <v>535</v>
      </c>
      <c r="E130" s="2" t="s">
        <v>22</v>
      </c>
      <c r="F130" s="2">
        <v>1.0</v>
      </c>
      <c r="G130" s="2" t="s">
        <v>52</v>
      </c>
      <c r="H130" s="2">
        <v>2.0</v>
      </c>
      <c r="I130" s="2">
        <v>779.0</v>
      </c>
      <c r="J130" s="2">
        <v>0.0</v>
      </c>
      <c r="K130" s="2">
        <v>1.0</v>
      </c>
      <c r="L130" s="2">
        <v>0.0</v>
      </c>
    </row>
    <row r="131">
      <c r="A131" s="29">
        <v>46221.0</v>
      </c>
      <c r="B131" s="2" t="s">
        <v>237</v>
      </c>
      <c r="C131" s="2" t="s">
        <v>16</v>
      </c>
      <c r="D131" s="2" t="s">
        <v>516</v>
      </c>
      <c r="E131" s="2" t="s">
        <v>52</v>
      </c>
      <c r="F131" s="2">
        <v>2.0</v>
      </c>
      <c r="G131" s="2" t="s">
        <v>77</v>
      </c>
      <c r="H131" s="2">
        <v>3.0</v>
      </c>
      <c r="I131" s="2">
        <v>299.0</v>
      </c>
      <c r="J131" s="2">
        <v>0.0</v>
      </c>
      <c r="K131" s="2">
        <v>1.0</v>
      </c>
      <c r="L131" s="2">
        <v>0.0</v>
      </c>
    </row>
    <row r="132">
      <c r="A132" s="29">
        <v>46221.0</v>
      </c>
      <c r="B132" s="2" t="s">
        <v>237</v>
      </c>
      <c r="C132" s="2" t="s">
        <v>16</v>
      </c>
      <c r="D132" s="2" t="s">
        <v>497</v>
      </c>
      <c r="E132" s="2" t="s">
        <v>52</v>
      </c>
      <c r="F132" s="2">
        <v>2.0</v>
      </c>
      <c r="G132" s="2" t="s">
        <v>41</v>
      </c>
      <c r="H132" s="2">
        <v>3.0</v>
      </c>
      <c r="I132" s="2">
        <v>484.0</v>
      </c>
      <c r="J132" s="2">
        <v>0.0</v>
      </c>
      <c r="K132" s="2">
        <v>1.0</v>
      </c>
      <c r="L132" s="2">
        <v>0.0</v>
      </c>
    </row>
    <row r="133">
      <c r="A133" s="29">
        <v>46221.0</v>
      </c>
      <c r="B133" s="2" t="s">
        <v>237</v>
      </c>
      <c r="C133" s="2" t="s">
        <v>16</v>
      </c>
      <c r="D133" s="2" t="s">
        <v>539</v>
      </c>
      <c r="E133" s="2" t="s">
        <v>19</v>
      </c>
      <c r="F133" s="2">
        <v>2.0</v>
      </c>
      <c r="G133" s="2" t="s">
        <v>34</v>
      </c>
      <c r="H133" s="2">
        <v>3.0</v>
      </c>
      <c r="I133" s="2">
        <v>495.2</v>
      </c>
      <c r="J133" s="2">
        <v>0.0</v>
      </c>
      <c r="K133" s="2">
        <v>1.0</v>
      </c>
      <c r="L133" s="2">
        <v>0.0</v>
      </c>
    </row>
    <row r="134">
      <c r="A134" s="29">
        <v>46221.0</v>
      </c>
      <c r="B134" s="2" t="s">
        <v>237</v>
      </c>
      <c r="C134" s="2" t="s">
        <v>16</v>
      </c>
      <c r="D134" s="2" t="s">
        <v>541</v>
      </c>
      <c r="E134" s="2" t="s">
        <v>19</v>
      </c>
      <c r="F134" s="2">
        <v>2.0</v>
      </c>
      <c r="G134" s="2" t="s">
        <v>34</v>
      </c>
      <c r="H134" s="2">
        <v>3.0</v>
      </c>
      <c r="I134" s="2">
        <v>839.0</v>
      </c>
      <c r="J134" s="2">
        <v>0.0</v>
      </c>
      <c r="K134" s="2">
        <v>1.0</v>
      </c>
      <c r="L134" s="2">
        <v>0.0</v>
      </c>
    </row>
    <row r="135">
      <c r="A135" s="29">
        <v>46222.0</v>
      </c>
      <c r="C135" s="2" t="s">
        <v>174</v>
      </c>
      <c r="D135" s="2" t="s">
        <v>543</v>
      </c>
      <c r="E135" s="2" t="s">
        <v>19</v>
      </c>
      <c r="F135" s="2">
        <v>2.0</v>
      </c>
      <c r="G135" s="2" t="s">
        <v>28</v>
      </c>
      <c r="H135" s="2">
        <v>3.0</v>
      </c>
      <c r="I135" s="2">
        <v>509.15</v>
      </c>
      <c r="J135" s="2">
        <v>50.0</v>
      </c>
      <c r="K135" s="2">
        <v>1.0</v>
      </c>
      <c r="L135" s="2">
        <v>50.0</v>
      </c>
    </row>
    <row r="136">
      <c r="A136" s="29">
        <v>46222.0</v>
      </c>
      <c r="B136" s="2" t="s">
        <v>116</v>
      </c>
      <c r="C136" s="2" t="s">
        <v>16</v>
      </c>
      <c r="D136" s="2" t="s">
        <v>545</v>
      </c>
      <c r="E136" s="2" t="s">
        <v>432</v>
      </c>
      <c r="F136" s="2">
        <v>1.0</v>
      </c>
      <c r="G136" s="2" t="s">
        <v>28</v>
      </c>
      <c r="H136" s="2">
        <v>3.0</v>
      </c>
      <c r="I136" s="2">
        <v>189.0</v>
      </c>
      <c r="J136" s="2">
        <v>0.0</v>
      </c>
      <c r="K136" s="2">
        <v>2.0</v>
      </c>
      <c r="L136" s="2">
        <v>0.0</v>
      </c>
    </row>
    <row r="137">
      <c r="A137" s="29">
        <v>46222.0</v>
      </c>
      <c r="B137" s="2" t="s">
        <v>78</v>
      </c>
      <c r="C137" s="2" t="s">
        <v>16</v>
      </c>
      <c r="D137" s="2" t="s">
        <v>546</v>
      </c>
      <c r="E137" s="2" t="s">
        <v>22</v>
      </c>
      <c r="F137" s="2">
        <v>1.0</v>
      </c>
      <c r="G137" s="2" t="s">
        <v>85</v>
      </c>
      <c r="H137" s="2">
        <v>3.0</v>
      </c>
      <c r="I137" s="2">
        <v>479.25</v>
      </c>
      <c r="J137" s="2">
        <v>0.0</v>
      </c>
      <c r="K137" s="2">
        <v>1.0</v>
      </c>
      <c r="L137" s="2">
        <v>0.0</v>
      </c>
    </row>
    <row r="138">
      <c r="A138" s="29">
        <v>46223.0</v>
      </c>
      <c r="C138" s="2" t="s">
        <v>39</v>
      </c>
      <c r="D138" s="2" t="s">
        <v>547</v>
      </c>
      <c r="E138" s="2" t="s">
        <v>19</v>
      </c>
      <c r="F138" s="2">
        <v>2.0</v>
      </c>
      <c r="G138" s="2" t="s">
        <v>88</v>
      </c>
      <c r="H138" s="2">
        <v>3.0</v>
      </c>
      <c r="I138" s="2">
        <v>336.75</v>
      </c>
      <c r="J138" s="2">
        <v>50.0</v>
      </c>
      <c r="K138" s="2">
        <v>1.0</v>
      </c>
      <c r="L138" s="2">
        <v>50.0</v>
      </c>
    </row>
    <row r="139">
      <c r="A139" s="29">
        <v>46223.0</v>
      </c>
      <c r="B139" s="2" t="s">
        <v>237</v>
      </c>
      <c r="C139" s="2" t="s">
        <v>16</v>
      </c>
      <c r="D139" s="2" t="s">
        <v>548</v>
      </c>
      <c r="E139" s="2" t="s">
        <v>22</v>
      </c>
      <c r="F139" s="2">
        <v>1.0</v>
      </c>
      <c r="G139" s="2" t="s">
        <v>77</v>
      </c>
      <c r="H139" s="2">
        <v>3.0</v>
      </c>
      <c r="I139" s="2">
        <v>129.0</v>
      </c>
      <c r="J139" s="2">
        <v>0.0</v>
      </c>
      <c r="K139" s="2">
        <v>1.0</v>
      </c>
      <c r="L139" s="2">
        <v>0.0</v>
      </c>
    </row>
    <row r="140">
      <c r="A140" s="29">
        <v>46223.0</v>
      </c>
      <c r="C140" s="2" t="s">
        <v>174</v>
      </c>
      <c r="D140" s="2" t="s">
        <v>550</v>
      </c>
      <c r="E140" s="2" t="s">
        <v>22</v>
      </c>
      <c r="F140" s="2">
        <v>1.0</v>
      </c>
      <c r="G140" s="2" t="s">
        <v>52</v>
      </c>
      <c r="H140" s="2">
        <v>2.0</v>
      </c>
      <c r="I140" s="2">
        <v>280.91</v>
      </c>
      <c r="J140" s="2">
        <v>50.0</v>
      </c>
      <c r="K140" s="2">
        <v>2.0</v>
      </c>
      <c r="L140" s="2">
        <v>100.0</v>
      </c>
    </row>
    <row r="141">
      <c r="A141" s="29">
        <v>46223.0</v>
      </c>
      <c r="B141" s="2" t="s">
        <v>237</v>
      </c>
      <c r="C141" s="2" t="s">
        <v>16</v>
      </c>
      <c r="D141" s="2" t="s">
        <v>552</v>
      </c>
      <c r="E141" s="2" t="s">
        <v>38</v>
      </c>
      <c r="F141" s="2">
        <v>1.0</v>
      </c>
      <c r="G141" s="2" t="s">
        <v>52</v>
      </c>
      <c r="H141" s="2">
        <v>2.0</v>
      </c>
      <c r="I141" s="2">
        <v>189.0</v>
      </c>
      <c r="J141" s="2">
        <v>0.0</v>
      </c>
      <c r="K141" s="2">
        <v>1.0</v>
      </c>
      <c r="L141" s="2">
        <v>0.0</v>
      </c>
    </row>
    <row r="142">
      <c r="A142" s="29">
        <v>46223.0</v>
      </c>
      <c r="B142" s="2" t="s">
        <v>152</v>
      </c>
      <c r="C142" s="2" t="s">
        <v>16</v>
      </c>
      <c r="D142" s="2" t="s">
        <v>554</v>
      </c>
      <c r="E142" s="2" t="s">
        <v>18</v>
      </c>
      <c r="F142" s="2">
        <v>1.0</v>
      </c>
      <c r="G142" s="2" t="s">
        <v>88</v>
      </c>
      <c r="H142" s="2">
        <v>3.0</v>
      </c>
      <c r="I142" s="2">
        <v>189.0</v>
      </c>
      <c r="J142" s="2">
        <v>0.0</v>
      </c>
      <c r="K142" s="2">
        <v>1.0</v>
      </c>
      <c r="L142" s="2">
        <v>0.0</v>
      </c>
    </row>
    <row r="143">
      <c r="A143" s="29">
        <v>46224.0</v>
      </c>
      <c r="B143" s="2" t="s">
        <v>152</v>
      </c>
      <c r="C143" s="2" t="s">
        <v>16</v>
      </c>
      <c r="D143" s="2" t="s">
        <v>501</v>
      </c>
      <c r="E143" s="2" t="s">
        <v>432</v>
      </c>
      <c r="F143" s="2">
        <v>1.0</v>
      </c>
      <c r="G143" s="2" t="s">
        <v>88</v>
      </c>
      <c r="H143" s="2">
        <v>3.0</v>
      </c>
      <c r="I143" s="2">
        <v>553.5</v>
      </c>
      <c r="J143" s="2">
        <v>0.0</v>
      </c>
      <c r="K143" s="2">
        <v>1.0</v>
      </c>
      <c r="L143" s="2">
        <v>0.0</v>
      </c>
    </row>
    <row r="144">
      <c r="A144" s="29">
        <v>46224.0</v>
      </c>
      <c r="B144" s="2" t="s">
        <v>31</v>
      </c>
      <c r="C144" s="2" t="s">
        <v>16</v>
      </c>
      <c r="D144" s="2" t="s">
        <v>555</v>
      </c>
      <c r="E144" s="2" t="s">
        <v>432</v>
      </c>
      <c r="F144" s="2">
        <v>1.0</v>
      </c>
      <c r="G144" s="2" t="s">
        <v>41</v>
      </c>
      <c r="H144" s="2">
        <v>3.0</v>
      </c>
      <c r="I144" s="2">
        <v>312.12</v>
      </c>
      <c r="J144" s="2">
        <v>0.0</v>
      </c>
      <c r="K144" s="2">
        <v>1.0</v>
      </c>
      <c r="L144" s="2">
        <v>0.0</v>
      </c>
    </row>
    <row r="145">
      <c r="A145" s="29">
        <v>46224.0</v>
      </c>
      <c r="C145" s="2" t="s">
        <v>39</v>
      </c>
      <c r="D145" s="2" t="s">
        <v>556</v>
      </c>
      <c r="E145" s="2" t="s">
        <v>259</v>
      </c>
      <c r="F145" s="2">
        <v>1.0</v>
      </c>
      <c r="G145" s="2" t="s">
        <v>19</v>
      </c>
      <c r="H145" s="2">
        <v>2.0</v>
      </c>
      <c r="I145" s="2">
        <v>391.07</v>
      </c>
      <c r="J145" s="2">
        <v>50.0</v>
      </c>
      <c r="K145" s="2">
        <v>1.0</v>
      </c>
      <c r="L145" s="2">
        <v>50.0</v>
      </c>
    </row>
    <row r="146">
      <c r="A146" s="29">
        <v>46224.0</v>
      </c>
      <c r="C146" s="2" t="s">
        <v>39</v>
      </c>
      <c r="D146" s="2" t="s">
        <v>556</v>
      </c>
      <c r="E146" s="2" t="s">
        <v>19</v>
      </c>
      <c r="F146" s="2">
        <v>2.0</v>
      </c>
      <c r="G146" s="2" t="s">
        <v>77</v>
      </c>
      <c r="H146" s="2">
        <v>3.0</v>
      </c>
      <c r="I146" s="2">
        <v>391.07</v>
      </c>
      <c r="J146" s="2">
        <v>50.0</v>
      </c>
      <c r="K146" s="2">
        <v>1.0</v>
      </c>
      <c r="L146" s="2">
        <v>50.0</v>
      </c>
    </row>
    <row r="147">
      <c r="A147" s="29">
        <v>46224.0</v>
      </c>
      <c r="B147" s="2" t="s">
        <v>152</v>
      </c>
      <c r="C147" s="2" t="s">
        <v>16</v>
      </c>
      <c r="D147" s="2" t="s">
        <v>557</v>
      </c>
      <c r="E147" s="2" t="s">
        <v>328</v>
      </c>
      <c r="F147" s="2">
        <v>1.0</v>
      </c>
      <c r="G147" s="2" t="s">
        <v>52</v>
      </c>
      <c r="H147" s="2">
        <v>2.0</v>
      </c>
      <c r="I147" s="2">
        <v>649.0</v>
      </c>
      <c r="J147" s="2">
        <v>0.0</v>
      </c>
      <c r="K147" s="2">
        <v>1.0</v>
      </c>
      <c r="L147" s="2">
        <v>0.0</v>
      </c>
    </row>
    <row r="148">
      <c r="A148" s="29">
        <v>46224.0</v>
      </c>
      <c r="B148" s="2" t="s">
        <v>15</v>
      </c>
      <c r="C148" s="2" t="s">
        <v>16</v>
      </c>
      <c r="D148" s="2" t="s">
        <v>558</v>
      </c>
      <c r="E148" s="2" t="s">
        <v>22</v>
      </c>
      <c r="F148" s="2">
        <v>1.0</v>
      </c>
      <c r="G148" s="2" t="s">
        <v>52</v>
      </c>
      <c r="H148" s="2">
        <v>2.0</v>
      </c>
      <c r="I148" s="2">
        <v>449.25</v>
      </c>
      <c r="J148" s="2">
        <v>0.0</v>
      </c>
      <c r="K148" s="2">
        <v>1.0</v>
      </c>
      <c r="L148" s="2">
        <v>0.0</v>
      </c>
    </row>
    <row r="149">
      <c r="A149" s="29">
        <v>46224.0</v>
      </c>
      <c r="B149" s="2" t="s">
        <v>15</v>
      </c>
      <c r="C149" s="2" t="s">
        <v>16</v>
      </c>
      <c r="D149" s="2" t="s">
        <v>559</v>
      </c>
      <c r="E149" s="2" t="s">
        <v>22</v>
      </c>
      <c r="F149" s="2">
        <v>1.0</v>
      </c>
      <c r="G149" s="2" t="s">
        <v>25</v>
      </c>
      <c r="H149" s="2">
        <v>3.0</v>
      </c>
      <c r="I149" s="2">
        <v>384.95</v>
      </c>
      <c r="J149" s="2">
        <v>0.0</v>
      </c>
      <c r="K149" s="2">
        <v>2.0</v>
      </c>
      <c r="L149" s="2">
        <v>0.0</v>
      </c>
    </row>
    <row r="150">
      <c r="A150" s="29">
        <v>46224.0</v>
      </c>
      <c r="B150" s="2" t="s">
        <v>391</v>
      </c>
      <c r="C150" s="2" t="s">
        <v>16</v>
      </c>
      <c r="D150" s="2" t="s">
        <v>559</v>
      </c>
      <c r="E150" s="2" t="s">
        <v>22</v>
      </c>
      <c r="F150" s="2">
        <v>1.0</v>
      </c>
      <c r="G150" s="2" t="s">
        <v>34</v>
      </c>
      <c r="H150" s="2">
        <v>3.0</v>
      </c>
      <c r="I150" s="2">
        <v>384.95</v>
      </c>
      <c r="J150" s="2">
        <v>0.0</v>
      </c>
      <c r="K150" s="2">
        <v>1.0</v>
      </c>
      <c r="L150" s="2">
        <v>0.0</v>
      </c>
    </row>
    <row r="151">
      <c r="A151" s="29">
        <v>46225.0</v>
      </c>
      <c r="C151" s="2" t="s">
        <v>39</v>
      </c>
      <c r="D151" s="2" t="s">
        <v>560</v>
      </c>
      <c r="E151" s="2" t="s">
        <v>19</v>
      </c>
      <c r="F151" s="2">
        <v>2.0</v>
      </c>
      <c r="G151" s="2" t="s">
        <v>34</v>
      </c>
      <c r="H151" s="2">
        <v>3.0</v>
      </c>
      <c r="I151" s="2">
        <v>422.01</v>
      </c>
      <c r="J151" s="2">
        <v>50.0</v>
      </c>
      <c r="K151" s="2">
        <v>2.0</v>
      </c>
      <c r="L151" s="2">
        <v>100.0</v>
      </c>
    </row>
    <row r="152">
      <c r="A152" s="29">
        <v>46225.0</v>
      </c>
      <c r="B152" s="2" t="s">
        <v>31</v>
      </c>
      <c r="C152" s="2" t="s">
        <v>16</v>
      </c>
      <c r="D152" s="2" t="s">
        <v>561</v>
      </c>
      <c r="E152" s="2" t="s">
        <v>432</v>
      </c>
      <c r="F152" s="2">
        <v>1.0</v>
      </c>
      <c r="G152" s="2" t="s">
        <v>88</v>
      </c>
      <c r="H152" s="2">
        <v>3.0</v>
      </c>
      <c r="I152" s="2">
        <v>1069.0</v>
      </c>
      <c r="J152" s="2">
        <v>0.0</v>
      </c>
      <c r="K152" s="2">
        <v>2.0</v>
      </c>
      <c r="L152" s="2">
        <v>0.0</v>
      </c>
    </row>
    <row r="153">
      <c r="A153" s="29">
        <v>46225.0</v>
      </c>
      <c r="B153" s="2" t="s">
        <v>31</v>
      </c>
      <c r="C153" s="2" t="s">
        <v>16</v>
      </c>
      <c r="D153" s="2" t="s">
        <v>562</v>
      </c>
      <c r="E153" s="2" t="s">
        <v>22</v>
      </c>
      <c r="F153" s="2">
        <v>1.0</v>
      </c>
      <c r="G153" s="2" t="s">
        <v>77</v>
      </c>
      <c r="H153" s="2">
        <v>3.0</v>
      </c>
      <c r="I153" s="2">
        <v>327.74</v>
      </c>
      <c r="J153" s="2">
        <v>0.0</v>
      </c>
      <c r="K153" s="2">
        <v>2.0</v>
      </c>
      <c r="L153" s="2">
        <v>0.0</v>
      </c>
    </row>
    <row r="154">
      <c r="A154" s="29">
        <v>46225.0</v>
      </c>
      <c r="B154" s="2" t="s">
        <v>31</v>
      </c>
      <c r="C154" s="2" t="s">
        <v>16</v>
      </c>
      <c r="D154" s="2" t="s">
        <v>562</v>
      </c>
      <c r="E154" s="2" t="s">
        <v>22</v>
      </c>
      <c r="F154" s="2">
        <v>1.0</v>
      </c>
      <c r="G154" s="2" t="s">
        <v>52</v>
      </c>
      <c r="H154" s="2">
        <v>2.0</v>
      </c>
      <c r="I154" s="2">
        <v>327.74</v>
      </c>
      <c r="J154" s="2">
        <v>0.0</v>
      </c>
      <c r="K154" s="2">
        <v>2.0</v>
      </c>
      <c r="L154" s="2">
        <v>0.0</v>
      </c>
    </row>
    <row r="155">
      <c r="A155" s="29">
        <v>46225.0</v>
      </c>
      <c r="B155" s="2" t="s">
        <v>15</v>
      </c>
      <c r="C155" s="2" t="s">
        <v>16</v>
      </c>
      <c r="D155" s="2" t="s">
        <v>563</v>
      </c>
      <c r="E155" s="2" t="s">
        <v>19</v>
      </c>
      <c r="F155" s="2">
        <v>2.0</v>
      </c>
      <c r="G155" s="2" t="s">
        <v>85</v>
      </c>
      <c r="H155" s="2">
        <v>3.0</v>
      </c>
      <c r="I155" s="2">
        <v>189.0</v>
      </c>
      <c r="J155" s="2">
        <v>0.0</v>
      </c>
      <c r="K155" s="2">
        <v>1.0</v>
      </c>
      <c r="L155" s="2">
        <v>0.0</v>
      </c>
    </row>
    <row r="156">
      <c r="A156" s="29">
        <v>46226.0</v>
      </c>
      <c r="C156" s="2" t="s">
        <v>39</v>
      </c>
      <c r="D156" s="2" t="s">
        <v>564</v>
      </c>
      <c r="E156" s="2" t="s">
        <v>52</v>
      </c>
      <c r="F156" s="2">
        <v>2.0</v>
      </c>
      <c r="G156" s="2" t="s">
        <v>88</v>
      </c>
      <c r="H156" s="2">
        <v>3.0</v>
      </c>
      <c r="I156" s="2">
        <v>324.84</v>
      </c>
      <c r="J156" s="2">
        <v>50.0</v>
      </c>
      <c r="K156" s="2">
        <v>1.0</v>
      </c>
      <c r="L156" s="2">
        <v>50.0</v>
      </c>
    </row>
    <row r="157">
      <c r="A157" s="29">
        <v>46226.0</v>
      </c>
      <c r="B157" s="2" t="s">
        <v>31</v>
      </c>
      <c r="C157" s="2" t="s">
        <v>16</v>
      </c>
      <c r="D157" s="2" t="s">
        <v>565</v>
      </c>
      <c r="E157" s="2" t="s">
        <v>52</v>
      </c>
      <c r="F157" s="2">
        <v>2.0</v>
      </c>
      <c r="G157" s="2" t="s">
        <v>77</v>
      </c>
      <c r="H157" s="2">
        <v>3.0</v>
      </c>
      <c r="I157" s="2">
        <v>309.0</v>
      </c>
      <c r="J157" s="2">
        <v>0.0</v>
      </c>
      <c r="K157" s="2">
        <v>1.0</v>
      </c>
      <c r="L157" s="2">
        <v>0.0</v>
      </c>
    </row>
    <row r="158">
      <c r="A158" s="29">
        <v>46226.0</v>
      </c>
      <c r="B158" s="2" t="s">
        <v>78</v>
      </c>
      <c r="C158" s="2" t="s">
        <v>16</v>
      </c>
      <c r="D158" s="2" t="s">
        <v>566</v>
      </c>
      <c r="E158" s="2" t="s">
        <v>22</v>
      </c>
      <c r="F158" s="2">
        <v>1.0</v>
      </c>
      <c r="G158" s="2" t="s">
        <v>52</v>
      </c>
      <c r="H158" s="2">
        <v>2.0</v>
      </c>
      <c r="I158" s="2">
        <v>314.07</v>
      </c>
      <c r="J158" s="2">
        <v>0.0</v>
      </c>
      <c r="K158" s="2">
        <v>1.0</v>
      </c>
      <c r="L158" s="2">
        <v>0.0</v>
      </c>
    </row>
    <row r="159">
      <c r="A159" s="29">
        <v>46226.0</v>
      </c>
      <c r="B159" s="2" t="s">
        <v>78</v>
      </c>
      <c r="C159" s="2" t="s">
        <v>16</v>
      </c>
      <c r="D159" s="2" t="s">
        <v>567</v>
      </c>
      <c r="E159" s="2" t="s">
        <v>22</v>
      </c>
      <c r="F159" s="2">
        <v>1.0</v>
      </c>
      <c r="G159" s="2" t="s">
        <v>52</v>
      </c>
      <c r="H159" s="2">
        <v>2.0</v>
      </c>
      <c r="I159" s="2">
        <v>534.65</v>
      </c>
      <c r="J159" s="2">
        <v>0.0</v>
      </c>
      <c r="K159" s="2">
        <v>1.0</v>
      </c>
      <c r="L159" s="2">
        <v>0.0</v>
      </c>
    </row>
    <row r="160">
      <c r="A160" s="29">
        <v>46227.0</v>
      </c>
      <c r="B160" s="2" t="s">
        <v>237</v>
      </c>
      <c r="C160" s="2" t="s">
        <v>16</v>
      </c>
      <c r="D160" s="2" t="s">
        <v>568</v>
      </c>
      <c r="E160" s="2" t="s">
        <v>22</v>
      </c>
      <c r="F160" s="2">
        <v>1.0</v>
      </c>
      <c r="G160" s="2" t="s">
        <v>77</v>
      </c>
      <c r="H160" s="2">
        <v>3.0</v>
      </c>
      <c r="I160" s="2">
        <v>572.99</v>
      </c>
      <c r="J160" s="2">
        <v>0.0</v>
      </c>
      <c r="K160" s="2">
        <v>2.0</v>
      </c>
      <c r="L160" s="2">
        <v>0.0</v>
      </c>
    </row>
    <row r="161">
      <c r="A161" s="29">
        <v>46227.0</v>
      </c>
      <c r="B161" s="2" t="s">
        <v>237</v>
      </c>
      <c r="C161" s="2" t="s">
        <v>16</v>
      </c>
      <c r="D161" s="2" t="s">
        <v>569</v>
      </c>
      <c r="E161" s="2" t="s">
        <v>259</v>
      </c>
      <c r="F161" s="2">
        <v>1.0</v>
      </c>
      <c r="G161" s="2" t="s">
        <v>52</v>
      </c>
      <c r="H161" s="2">
        <v>2.0</v>
      </c>
      <c r="I161" s="2">
        <v>439.6</v>
      </c>
      <c r="J161" s="2">
        <v>0.0</v>
      </c>
      <c r="K161" s="2">
        <v>2.0</v>
      </c>
      <c r="L161" s="2">
        <v>0.0</v>
      </c>
    </row>
    <row r="162">
      <c r="A162" s="29">
        <v>46227.0</v>
      </c>
      <c r="B162" s="2" t="s">
        <v>237</v>
      </c>
      <c r="C162" s="2" t="s">
        <v>16</v>
      </c>
      <c r="D162" s="2" t="s">
        <v>507</v>
      </c>
      <c r="E162" s="2" t="s">
        <v>49</v>
      </c>
      <c r="F162" s="2">
        <v>2.0</v>
      </c>
      <c r="G162" s="2" t="s">
        <v>25</v>
      </c>
      <c r="H162" s="2">
        <v>3.0</v>
      </c>
      <c r="I162" s="2">
        <v>1065.0</v>
      </c>
      <c r="J162" s="2">
        <v>0.0</v>
      </c>
      <c r="K162" s="2">
        <v>1.0</v>
      </c>
      <c r="L162" s="2">
        <v>0.0</v>
      </c>
    </row>
    <row r="163">
      <c r="A163" s="29">
        <v>46227.0</v>
      </c>
      <c r="B163" s="2" t="s">
        <v>237</v>
      </c>
      <c r="C163" s="2" t="s">
        <v>16</v>
      </c>
      <c r="D163" s="2" t="s">
        <v>570</v>
      </c>
      <c r="E163" s="2" t="s">
        <v>49</v>
      </c>
      <c r="F163" s="2">
        <v>2.0</v>
      </c>
      <c r="G163" s="2" t="s">
        <v>25</v>
      </c>
      <c r="H163" s="2">
        <v>3.0</v>
      </c>
      <c r="I163" s="2">
        <v>817.91</v>
      </c>
      <c r="J163" s="2">
        <v>0.0</v>
      </c>
      <c r="K163" s="2">
        <v>2.0</v>
      </c>
      <c r="L163" s="2">
        <v>0.0</v>
      </c>
    </row>
    <row r="164">
      <c r="A164" s="29">
        <v>46228.0</v>
      </c>
      <c r="B164" s="2" t="s">
        <v>237</v>
      </c>
      <c r="C164" s="2" t="s">
        <v>16</v>
      </c>
      <c r="D164" s="2" t="s">
        <v>571</v>
      </c>
      <c r="E164" s="2" t="s">
        <v>22</v>
      </c>
      <c r="F164" s="2">
        <v>1.0</v>
      </c>
      <c r="G164" s="2" t="s">
        <v>88</v>
      </c>
      <c r="H164" s="2">
        <v>3.0</v>
      </c>
      <c r="I164" s="2">
        <v>499.0</v>
      </c>
      <c r="J164" s="2">
        <v>200.0</v>
      </c>
      <c r="K164" s="2">
        <v>2.0</v>
      </c>
      <c r="L164" s="2">
        <v>400.0</v>
      </c>
    </row>
    <row r="165">
      <c r="A165" s="29">
        <v>46229.0</v>
      </c>
      <c r="B165" s="2" t="s">
        <v>237</v>
      </c>
      <c r="C165" s="2" t="s">
        <v>16</v>
      </c>
      <c r="D165" s="2" t="s">
        <v>572</v>
      </c>
      <c r="E165" s="2" t="s">
        <v>52</v>
      </c>
      <c r="F165" s="2">
        <v>2.0</v>
      </c>
      <c r="G165" s="2" t="s">
        <v>77</v>
      </c>
      <c r="H165" s="2">
        <v>3.0</v>
      </c>
      <c r="I165" s="2">
        <v>378.29</v>
      </c>
      <c r="J165" s="2">
        <v>0.0</v>
      </c>
      <c r="K165" s="2">
        <v>1.0</v>
      </c>
      <c r="L165" s="2">
        <v>0.0</v>
      </c>
    </row>
    <row r="166">
      <c r="A166" s="29">
        <v>46229.0</v>
      </c>
      <c r="B166" s="2" t="s">
        <v>237</v>
      </c>
      <c r="C166" s="2" t="s">
        <v>16</v>
      </c>
      <c r="D166" s="2" t="s">
        <v>573</v>
      </c>
      <c r="E166" s="2" t="s">
        <v>18</v>
      </c>
      <c r="F166" s="2">
        <v>1.0</v>
      </c>
      <c r="G166" s="2" t="s">
        <v>52</v>
      </c>
      <c r="H166" s="2">
        <v>2.0</v>
      </c>
      <c r="I166" s="2">
        <v>225.55</v>
      </c>
      <c r="J166" s="2">
        <v>0.0</v>
      </c>
      <c r="K166" s="2">
        <v>2.0</v>
      </c>
      <c r="L166" s="2">
        <v>0.0</v>
      </c>
    </row>
    <row r="167">
      <c r="A167" s="29">
        <v>46229.0</v>
      </c>
      <c r="C167" s="2" t="s">
        <v>174</v>
      </c>
      <c r="D167" s="2" t="s">
        <v>574</v>
      </c>
      <c r="E167" s="2" t="s">
        <v>19</v>
      </c>
      <c r="F167" s="2">
        <v>2.0</v>
      </c>
      <c r="G167" s="2" t="s">
        <v>28</v>
      </c>
      <c r="H167" s="2">
        <v>3.0</v>
      </c>
      <c r="I167" s="2">
        <v>566.1</v>
      </c>
      <c r="J167" s="2">
        <v>50.0</v>
      </c>
      <c r="K167" s="2">
        <v>1.0</v>
      </c>
      <c r="L167" s="2">
        <v>50.0</v>
      </c>
    </row>
    <row r="168">
      <c r="A168" s="29">
        <v>46230.0</v>
      </c>
      <c r="B168" s="2" t="s">
        <v>237</v>
      </c>
      <c r="C168" s="2" t="s">
        <v>16</v>
      </c>
      <c r="D168" s="2" t="s">
        <v>575</v>
      </c>
      <c r="E168" s="2" t="s">
        <v>18</v>
      </c>
      <c r="F168" s="2">
        <v>1.0</v>
      </c>
      <c r="G168" s="2" t="s">
        <v>52</v>
      </c>
      <c r="H168" s="2">
        <v>2.0</v>
      </c>
      <c r="I168" s="2">
        <v>185.0</v>
      </c>
      <c r="J168" s="2">
        <v>0.0</v>
      </c>
      <c r="K168" s="2">
        <v>1.0</v>
      </c>
      <c r="L168" s="2">
        <v>0.0</v>
      </c>
    </row>
    <row r="169">
      <c r="A169" s="29">
        <v>46230.0</v>
      </c>
      <c r="B169" s="2" t="s">
        <v>354</v>
      </c>
      <c r="C169" s="2" t="s">
        <v>16</v>
      </c>
      <c r="D169" s="2" t="s">
        <v>576</v>
      </c>
      <c r="E169" s="2" t="s">
        <v>38</v>
      </c>
      <c r="F169" s="2">
        <v>1.0</v>
      </c>
      <c r="G169" s="2" t="s">
        <v>19</v>
      </c>
      <c r="H169" s="2">
        <v>2.0</v>
      </c>
      <c r="I169" s="2">
        <v>189.0</v>
      </c>
      <c r="J169" s="2">
        <v>0.0</v>
      </c>
      <c r="K169" s="2">
        <v>1.0</v>
      </c>
      <c r="L169" s="2">
        <v>0.0</v>
      </c>
    </row>
    <row r="170">
      <c r="A170" s="29">
        <v>46230.0</v>
      </c>
      <c r="B170" s="2" t="s">
        <v>391</v>
      </c>
      <c r="C170" s="2" t="s">
        <v>16</v>
      </c>
      <c r="D170" s="2" t="s">
        <v>577</v>
      </c>
      <c r="E170" s="2" t="s">
        <v>18</v>
      </c>
      <c r="F170" s="2">
        <v>1.0</v>
      </c>
      <c r="G170" s="2" t="s">
        <v>52</v>
      </c>
      <c r="H170" s="2">
        <v>2.0</v>
      </c>
      <c r="I170" s="2">
        <v>189.0</v>
      </c>
      <c r="J170" s="2">
        <v>0.0</v>
      </c>
      <c r="K170" s="2">
        <v>1.0</v>
      </c>
      <c r="L170" s="2">
        <v>0.0</v>
      </c>
    </row>
    <row r="171">
      <c r="A171" s="29">
        <v>46231.0</v>
      </c>
      <c r="B171" s="2" t="s">
        <v>31</v>
      </c>
      <c r="C171" s="2" t="s">
        <v>16</v>
      </c>
      <c r="D171" s="2" t="s">
        <v>578</v>
      </c>
      <c r="E171" s="2" t="s">
        <v>52</v>
      </c>
      <c r="F171" s="2">
        <v>2.0</v>
      </c>
      <c r="G171" s="2" t="s">
        <v>85</v>
      </c>
      <c r="H171" s="2">
        <v>3.0</v>
      </c>
      <c r="I171" s="2">
        <v>351.2</v>
      </c>
      <c r="J171" s="2">
        <v>0.0</v>
      </c>
      <c r="K171" s="2">
        <v>2.0</v>
      </c>
      <c r="L171" s="2">
        <v>0.0</v>
      </c>
    </row>
    <row r="172">
      <c r="A172" s="29">
        <v>46231.0</v>
      </c>
      <c r="B172" s="2" t="s">
        <v>430</v>
      </c>
      <c r="C172" s="2" t="s">
        <v>16</v>
      </c>
      <c r="D172" s="2" t="s">
        <v>579</v>
      </c>
      <c r="E172" s="2" t="s">
        <v>52</v>
      </c>
      <c r="F172" s="2">
        <v>2.0</v>
      </c>
      <c r="G172" s="2" t="s">
        <v>77</v>
      </c>
      <c r="H172" s="2">
        <v>3.0</v>
      </c>
      <c r="I172" s="2">
        <v>263.4</v>
      </c>
      <c r="J172" s="2">
        <v>50.0</v>
      </c>
      <c r="K172" s="2">
        <v>5.0</v>
      </c>
      <c r="L172" s="2">
        <v>250.0</v>
      </c>
    </row>
    <row r="173">
      <c r="A173" s="29">
        <v>46231.0</v>
      </c>
      <c r="B173" s="2" t="s">
        <v>430</v>
      </c>
      <c r="C173" s="2" t="s">
        <v>16</v>
      </c>
      <c r="D173" s="2" t="s">
        <v>580</v>
      </c>
      <c r="E173" s="2" t="s">
        <v>22</v>
      </c>
      <c r="F173" s="2">
        <v>1.0</v>
      </c>
      <c r="G173" s="2" t="s">
        <v>52</v>
      </c>
      <c r="H173" s="2">
        <v>2.0</v>
      </c>
      <c r="I173" s="2">
        <v>69.0</v>
      </c>
      <c r="J173" s="2">
        <v>0.0</v>
      </c>
      <c r="K173" s="2">
        <v>2.0</v>
      </c>
      <c r="L173" s="2">
        <v>0.0</v>
      </c>
    </row>
    <row r="174">
      <c r="A174" s="29">
        <v>46231.0</v>
      </c>
      <c r="B174" s="2" t="s">
        <v>152</v>
      </c>
      <c r="C174" s="2" t="s">
        <v>16</v>
      </c>
      <c r="D174" s="2" t="s">
        <v>581</v>
      </c>
      <c r="E174" s="2" t="s">
        <v>18</v>
      </c>
      <c r="F174" s="2">
        <v>1.0</v>
      </c>
      <c r="G174" s="2" t="s">
        <v>52</v>
      </c>
      <c r="H174" s="2">
        <v>2.0</v>
      </c>
      <c r="I174" s="2">
        <v>494.1</v>
      </c>
      <c r="J174" s="2">
        <v>0.0</v>
      </c>
      <c r="K174" s="2">
        <v>1.0</v>
      </c>
      <c r="L174" s="2">
        <v>0.0</v>
      </c>
    </row>
    <row r="175">
      <c r="A175" s="29">
        <v>46231.0</v>
      </c>
      <c r="B175" s="2" t="s">
        <v>430</v>
      </c>
      <c r="C175" s="2" t="s">
        <v>16</v>
      </c>
      <c r="D175" s="2" t="s">
        <v>582</v>
      </c>
      <c r="E175" s="2" t="s">
        <v>19</v>
      </c>
      <c r="F175" s="2">
        <v>2.0</v>
      </c>
      <c r="G175" s="2" t="s">
        <v>77</v>
      </c>
      <c r="H175" s="2">
        <v>3.0</v>
      </c>
      <c r="I175" s="2">
        <v>475.15</v>
      </c>
      <c r="J175" s="2">
        <v>50.0</v>
      </c>
      <c r="K175" s="2">
        <v>2.0</v>
      </c>
      <c r="L175" s="2">
        <v>100.0</v>
      </c>
    </row>
    <row r="176">
      <c r="A176" s="29">
        <v>46231.0</v>
      </c>
      <c r="B176" s="2" t="s">
        <v>15</v>
      </c>
      <c r="C176" s="2" t="s">
        <v>16</v>
      </c>
      <c r="D176" s="2" t="s">
        <v>583</v>
      </c>
      <c r="E176" s="2" t="s">
        <v>22</v>
      </c>
      <c r="F176" s="2">
        <v>1.0</v>
      </c>
      <c r="G176" s="2" t="s">
        <v>77</v>
      </c>
      <c r="H176" s="2">
        <v>3.0</v>
      </c>
      <c r="I176" s="2">
        <v>189.0</v>
      </c>
      <c r="J176" s="2">
        <v>0.0</v>
      </c>
      <c r="K176" s="2">
        <v>1.0</v>
      </c>
      <c r="L176" s="2">
        <v>0.0</v>
      </c>
    </row>
    <row r="177">
      <c r="A177" s="29">
        <v>46231.0</v>
      </c>
      <c r="B177" s="2" t="s">
        <v>15</v>
      </c>
      <c r="C177" s="2" t="s">
        <v>16</v>
      </c>
      <c r="D177" s="2" t="s">
        <v>584</v>
      </c>
      <c r="E177" s="2" t="s">
        <v>22</v>
      </c>
      <c r="F177" s="2">
        <v>1.0</v>
      </c>
      <c r="G177" s="2" t="s">
        <v>41</v>
      </c>
      <c r="H177" s="2">
        <v>3.0</v>
      </c>
      <c r="I177" s="2">
        <v>189.0</v>
      </c>
      <c r="J177" s="2">
        <v>0.0</v>
      </c>
      <c r="K177" s="2">
        <v>2.0</v>
      </c>
      <c r="L177" s="2">
        <v>0.0</v>
      </c>
    </row>
    <row r="178">
      <c r="A178" s="29">
        <v>46231.0</v>
      </c>
      <c r="B178" s="2" t="s">
        <v>15</v>
      </c>
      <c r="C178" s="2" t="s">
        <v>16</v>
      </c>
      <c r="D178" s="2" t="s">
        <v>563</v>
      </c>
      <c r="E178" s="2" t="s">
        <v>22</v>
      </c>
      <c r="F178" s="2">
        <v>1.0</v>
      </c>
      <c r="G178" s="2" t="s">
        <v>34</v>
      </c>
      <c r="H178" s="2">
        <v>3.0</v>
      </c>
      <c r="I178" s="2">
        <v>189.0</v>
      </c>
      <c r="J178" s="2">
        <v>0.0</v>
      </c>
      <c r="K178" s="2">
        <v>1.0</v>
      </c>
      <c r="L178" s="2">
        <v>0.0</v>
      </c>
    </row>
    <row r="179">
      <c r="A179" s="29">
        <v>46231.0</v>
      </c>
      <c r="B179" s="2" t="s">
        <v>15</v>
      </c>
      <c r="C179" s="2" t="s">
        <v>16</v>
      </c>
      <c r="D179" s="2" t="s">
        <v>585</v>
      </c>
      <c r="E179" s="2" t="s">
        <v>22</v>
      </c>
      <c r="F179" s="2">
        <v>1.0</v>
      </c>
      <c r="G179" s="2" t="s">
        <v>88</v>
      </c>
      <c r="H179" s="2">
        <v>3.0</v>
      </c>
      <c r="I179" s="2">
        <v>189.0</v>
      </c>
      <c r="J179" s="2">
        <v>0.0</v>
      </c>
      <c r="K179" s="2">
        <v>1.0</v>
      </c>
      <c r="L179" s="2">
        <v>0.0</v>
      </c>
    </row>
    <row r="180">
      <c r="A180" s="29">
        <v>46231.0</v>
      </c>
      <c r="B180" s="2" t="s">
        <v>152</v>
      </c>
      <c r="C180" s="2" t="s">
        <v>16</v>
      </c>
      <c r="D180" s="2" t="s">
        <v>586</v>
      </c>
      <c r="E180" s="2" t="s">
        <v>22</v>
      </c>
      <c r="F180" s="2">
        <v>1.0</v>
      </c>
      <c r="G180" s="2" t="s">
        <v>52</v>
      </c>
      <c r="H180" s="2">
        <v>2.0</v>
      </c>
      <c r="I180" s="2">
        <v>189.0</v>
      </c>
      <c r="J180" s="2">
        <v>0.0</v>
      </c>
      <c r="K180" s="2">
        <v>1.0</v>
      </c>
      <c r="L180" s="2">
        <v>0.0</v>
      </c>
    </row>
    <row r="181">
      <c r="A181" s="29">
        <v>46231.0</v>
      </c>
      <c r="B181" s="2" t="s">
        <v>15</v>
      </c>
      <c r="C181" s="2" t="s">
        <v>16</v>
      </c>
      <c r="D181" s="2" t="s">
        <v>563</v>
      </c>
      <c r="E181" s="2" t="s">
        <v>22</v>
      </c>
      <c r="F181" s="2">
        <v>1.0</v>
      </c>
      <c r="G181" s="2" t="s">
        <v>28</v>
      </c>
      <c r="H181" s="2">
        <v>3.0</v>
      </c>
      <c r="I181" s="2">
        <v>189.0</v>
      </c>
      <c r="J181" s="2">
        <v>0.0</v>
      </c>
      <c r="K181" s="2">
        <v>1.0</v>
      </c>
      <c r="L181" s="2">
        <v>0.0</v>
      </c>
    </row>
    <row r="182">
      <c r="A182" s="29">
        <v>46231.0</v>
      </c>
      <c r="B182" s="2" t="s">
        <v>15</v>
      </c>
      <c r="C182" s="2" t="s">
        <v>16</v>
      </c>
      <c r="D182" s="2" t="s">
        <v>587</v>
      </c>
      <c r="E182" s="2" t="s">
        <v>22</v>
      </c>
      <c r="F182" s="2">
        <v>1.0</v>
      </c>
      <c r="G182" s="2" t="s">
        <v>25</v>
      </c>
      <c r="H182" s="2">
        <v>3.0</v>
      </c>
      <c r="I182" s="2">
        <v>189.0</v>
      </c>
      <c r="J182" s="2">
        <v>0.0</v>
      </c>
      <c r="K182" s="2">
        <v>2.0</v>
      </c>
      <c r="L182" s="2">
        <v>0.0</v>
      </c>
    </row>
    <row r="183">
      <c r="A183" s="29">
        <v>46231.0</v>
      </c>
      <c r="B183" s="2" t="s">
        <v>152</v>
      </c>
      <c r="C183" s="2" t="s">
        <v>16</v>
      </c>
      <c r="D183" s="2" t="s">
        <v>588</v>
      </c>
      <c r="E183" s="2" t="s">
        <v>22</v>
      </c>
      <c r="F183" s="2">
        <v>1.0</v>
      </c>
      <c r="G183" s="2" t="s">
        <v>77</v>
      </c>
      <c r="H183" s="2">
        <v>3.0</v>
      </c>
      <c r="I183" s="2">
        <v>492.15</v>
      </c>
      <c r="J183" s="2">
        <v>0.0</v>
      </c>
      <c r="K183" s="2">
        <v>1.0</v>
      </c>
      <c r="L183" s="2">
        <v>0.0</v>
      </c>
    </row>
    <row r="184">
      <c r="A184" s="29">
        <v>46231.0</v>
      </c>
      <c r="B184" s="2" t="s">
        <v>152</v>
      </c>
      <c r="C184" s="2" t="s">
        <v>16</v>
      </c>
      <c r="D184" s="2" t="s">
        <v>589</v>
      </c>
      <c r="E184" s="2" t="s">
        <v>19</v>
      </c>
      <c r="F184" s="2">
        <v>2.0</v>
      </c>
      <c r="G184" s="2" t="s">
        <v>77</v>
      </c>
      <c r="H184" s="2">
        <v>3.0</v>
      </c>
      <c r="I184" s="2">
        <v>189.0</v>
      </c>
      <c r="J184" s="2">
        <v>0.0</v>
      </c>
      <c r="K184" s="2">
        <v>1.0</v>
      </c>
      <c r="L184" s="2">
        <v>0.0</v>
      </c>
    </row>
    <row r="185">
      <c r="A185" s="29">
        <v>46231.0</v>
      </c>
      <c r="B185" s="2" t="s">
        <v>15</v>
      </c>
      <c r="C185" s="2" t="s">
        <v>16</v>
      </c>
      <c r="D185" s="2" t="s">
        <v>590</v>
      </c>
      <c r="E185" s="2" t="s">
        <v>19</v>
      </c>
      <c r="F185" s="2">
        <v>2.0</v>
      </c>
      <c r="G185" s="2" t="s">
        <v>25</v>
      </c>
      <c r="H185" s="2">
        <v>3.0</v>
      </c>
      <c r="I185" s="2">
        <v>189.0</v>
      </c>
      <c r="J185" s="2">
        <v>0.0</v>
      </c>
      <c r="K185" s="2">
        <v>1.0</v>
      </c>
      <c r="L185" s="2">
        <v>0.0</v>
      </c>
    </row>
    <row r="186">
      <c r="A186" s="29">
        <v>46231.0</v>
      </c>
      <c r="B186" s="2" t="s">
        <v>15</v>
      </c>
      <c r="C186" s="2" t="s">
        <v>16</v>
      </c>
      <c r="D186" s="2" t="s">
        <v>563</v>
      </c>
      <c r="E186" s="2" t="s">
        <v>19</v>
      </c>
      <c r="F186" s="2">
        <v>2.0</v>
      </c>
      <c r="G186" s="2" t="s">
        <v>34</v>
      </c>
      <c r="H186" s="2">
        <v>3.0</v>
      </c>
      <c r="I186" s="2">
        <v>189.0</v>
      </c>
      <c r="J186" s="2">
        <v>0.0</v>
      </c>
      <c r="K186" s="2">
        <v>1.0</v>
      </c>
      <c r="L186" s="2">
        <v>0.0</v>
      </c>
    </row>
    <row r="187">
      <c r="A187" s="29">
        <v>46232.0</v>
      </c>
      <c r="B187" s="2" t="s">
        <v>430</v>
      </c>
      <c r="C187" s="2" t="s">
        <v>16</v>
      </c>
      <c r="D187" s="2" t="s">
        <v>591</v>
      </c>
      <c r="E187" s="2" t="s">
        <v>38</v>
      </c>
      <c r="F187" s="2">
        <v>1.0</v>
      </c>
      <c r="G187" s="2" t="s">
        <v>52</v>
      </c>
      <c r="H187" s="2">
        <v>2.0</v>
      </c>
      <c r="I187" s="2">
        <v>129.0</v>
      </c>
      <c r="J187" s="2">
        <v>0.0</v>
      </c>
      <c r="K187" s="2">
        <v>2.0</v>
      </c>
      <c r="L187" s="2">
        <v>0.0</v>
      </c>
    </row>
    <row r="188">
      <c r="A188" s="29">
        <v>46232.0</v>
      </c>
      <c r="B188" s="2" t="s">
        <v>430</v>
      </c>
      <c r="C188" s="2" t="s">
        <v>16</v>
      </c>
      <c r="D188" s="2" t="s">
        <v>469</v>
      </c>
      <c r="E188" s="2" t="s">
        <v>328</v>
      </c>
      <c r="F188" s="2">
        <v>1.0</v>
      </c>
      <c r="G188" s="2" t="s">
        <v>34</v>
      </c>
      <c r="H188" s="2">
        <v>3.0</v>
      </c>
      <c r="I188" s="2">
        <v>0.0</v>
      </c>
      <c r="J188" s="2">
        <v>0.0</v>
      </c>
      <c r="K188" s="2">
        <v>1.0</v>
      </c>
      <c r="L188" s="2">
        <v>0.0</v>
      </c>
    </row>
    <row r="189">
      <c r="A189" s="29">
        <v>46232.0</v>
      </c>
      <c r="B189" s="2" t="s">
        <v>15</v>
      </c>
      <c r="C189" s="2" t="s">
        <v>16</v>
      </c>
      <c r="D189" s="2" t="s">
        <v>592</v>
      </c>
      <c r="E189" s="2" t="s">
        <v>22</v>
      </c>
      <c r="F189" s="2">
        <v>1.0</v>
      </c>
      <c r="G189" s="2" t="s">
        <v>19</v>
      </c>
      <c r="H189" s="2">
        <v>2.0</v>
      </c>
      <c r="I189" s="2">
        <v>471.99</v>
      </c>
      <c r="J189" s="2">
        <v>0.0</v>
      </c>
      <c r="K189" s="2">
        <v>1.0</v>
      </c>
      <c r="L189" s="2">
        <v>0.0</v>
      </c>
    </row>
    <row r="190">
      <c r="A190" s="29">
        <v>46232.0</v>
      </c>
      <c r="B190" s="2" t="s">
        <v>15</v>
      </c>
      <c r="C190" s="2" t="s">
        <v>16</v>
      </c>
      <c r="D190" s="2" t="s">
        <v>593</v>
      </c>
      <c r="E190" s="2" t="s">
        <v>19</v>
      </c>
      <c r="F190" s="2">
        <v>2.0</v>
      </c>
      <c r="G190" s="2" t="s">
        <v>34</v>
      </c>
      <c r="H190" s="2">
        <v>3.0</v>
      </c>
      <c r="I190" s="2">
        <v>189.0</v>
      </c>
      <c r="J190" s="2">
        <v>0.0</v>
      </c>
      <c r="K190" s="2">
        <v>1.0</v>
      </c>
      <c r="L190" s="2">
        <v>0.0</v>
      </c>
    </row>
    <row r="191">
      <c r="A191" s="29">
        <v>46232.0</v>
      </c>
      <c r="B191" s="2" t="s">
        <v>15</v>
      </c>
      <c r="C191" s="2" t="s">
        <v>16</v>
      </c>
      <c r="D191" s="2" t="s">
        <v>594</v>
      </c>
      <c r="E191" s="2" t="s">
        <v>19</v>
      </c>
      <c r="F191" s="2">
        <v>2.0</v>
      </c>
      <c r="G191" s="2" t="s">
        <v>88</v>
      </c>
      <c r="H191" s="2">
        <v>3.0</v>
      </c>
      <c r="I191" s="2">
        <v>189.0</v>
      </c>
      <c r="J191" s="2">
        <v>0.0</v>
      </c>
      <c r="K191" s="2">
        <v>1.0</v>
      </c>
      <c r="L191" s="2">
        <v>0.0</v>
      </c>
    </row>
    <row r="192">
      <c r="A192" s="29">
        <v>46232.0</v>
      </c>
      <c r="B192" s="2" t="s">
        <v>15</v>
      </c>
      <c r="C192" s="2" t="s">
        <v>16</v>
      </c>
      <c r="D192" s="2" t="s">
        <v>595</v>
      </c>
      <c r="E192" s="2" t="s">
        <v>19</v>
      </c>
      <c r="F192" s="2">
        <v>2.0</v>
      </c>
      <c r="G192" s="2" t="s">
        <v>25</v>
      </c>
      <c r="H192" s="2">
        <v>3.0</v>
      </c>
      <c r="I192" s="2">
        <v>189.0</v>
      </c>
      <c r="J192" s="2">
        <v>0.0</v>
      </c>
      <c r="K192" s="2">
        <v>1.0</v>
      </c>
      <c r="L192" s="2">
        <v>0.0</v>
      </c>
    </row>
    <row r="193">
      <c r="A193" s="29">
        <v>46232.0</v>
      </c>
      <c r="B193" s="2" t="s">
        <v>15</v>
      </c>
      <c r="C193" s="2" t="s">
        <v>16</v>
      </c>
      <c r="D193" s="2" t="s">
        <v>596</v>
      </c>
      <c r="E193" s="2" t="s">
        <v>19</v>
      </c>
      <c r="F193" s="2">
        <v>2.0</v>
      </c>
      <c r="G193" s="2" t="s">
        <v>25</v>
      </c>
      <c r="H193" s="2">
        <v>3.0</v>
      </c>
      <c r="I193" s="2">
        <v>189.0</v>
      </c>
      <c r="J193" s="2">
        <v>0.0</v>
      </c>
      <c r="K193" s="2">
        <v>1.0</v>
      </c>
      <c r="L193" s="2">
        <v>0.0</v>
      </c>
    </row>
    <row r="194">
      <c r="A194" s="29">
        <v>46232.0</v>
      </c>
      <c r="B194" s="2" t="s">
        <v>15</v>
      </c>
      <c r="C194" s="2" t="s">
        <v>16</v>
      </c>
      <c r="D194" s="2" t="s">
        <v>563</v>
      </c>
      <c r="E194" s="2" t="s">
        <v>19</v>
      </c>
      <c r="F194" s="2">
        <v>2.0</v>
      </c>
      <c r="G194" s="2" t="s">
        <v>34</v>
      </c>
      <c r="H194" s="2">
        <v>3.0</v>
      </c>
      <c r="I194" s="2">
        <v>189.0</v>
      </c>
      <c r="J194" s="2">
        <v>0.0</v>
      </c>
      <c r="K194" s="2">
        <v>1.0</v>
      </c>
      <c r="L194" s="2">
        <v>0.0</v>
      </c>
    </row>
    <row r="195">
      <c r="A195" s="29">
        <v>46232.0</v>
      </c>
      <c r="B195" s="2" t="s">
        <v>15</v>
      </c>
      <c r="C195" s="2" t="s">
        <v>16</v>
      </c>
      <c r="D195" s="2" t="s">
        <v>598</v>
      </c>
      <c r="E195" s="2" t="s">
        <v>19</v>
      </c>
      <c r="F195" s="2">
        <v>2.0</v>
      </c>
      <c r="G195" s="2" t="s">
        <v>77</v>
      </c>
      <c r="H195" s="2">
        <v>3.0</v>
      </c>
      <c r="I195" s="2">
        <v>189.0</v>
      </c>
      <c r="J195" s="2">
        <v>0.0</v>
      </c>
      <c r="K195" s="2">
        <v>1.0</v>
      </c>
      <c r="L195" s="2">
        <v>0.0</v>
      </c>
    </row>
    <row r="196">
      <c r="A196" s="29">
        <v>46232.0</v>
      </c>
      <c r="B196" s="2" t="s">
        <v>15</v>
      </c>
      <c r="C196" s="2" t="s">
        <v>16</v>
      </c>
      <c r="D196" s="2" t="s">
        <v>599</v>
      </c>
      <c r="E196" s="2" t="s">
        <v>19</v>
      </c>
      <c r="F196" s="2">
        <v>2.0</v>
      </c>
      <c r="G196" s="2" t="s">
        <v>28</v>
      </c>
      <c r="H196" s="2">
        <v>3.0</v>
      </c>
      <c r="I196" s="2">
        <v>189.0</v>
      </c>
      <c r="J196" s="2">
        <v>0.0</v>
      </c>
      <c r="K196" s="2">
        <v>1.0</v>
      </c>
      <c r="L196" s="2">
        <v>0.0</v>
      </c>
    </row>
    <row r="197">
      <c r="A197" s="29">
        <v>46232.0</v>
      </c>
      <c r="B197" s="2" t="s">
        <v>15</v>
      </c>
      <c r="C197" s="2" t="s">
        <v>16</v>
      </c>
      <c r="D197" s="2" t="s">
        <v>600</v>
      </c>
      <c r="E197" s="2" t="s">
        <v>22</v>
      </c>
      <c r="F197" s="2">
        <v>1.0</v>
      </c>
      <c r="G197" s="2" t="s">
        <v>88</v>
      </c>
      <c r="H197" s="2">
        <v>3.0</v>
      </c>
      <c r="I197" s="2">
        <v>189.0</v>
      </c>
      <c r="J197" s="2">
        <v>0.0</v>
      </c>
      <c r="K197" s="2">
        <v>1.0</v>
      </c>
      <c r="L197" s="2">
        <v>0.0</v>
      </c>
    </row>
    <row r="198">
      <c r="A198" s="29">
        <v>46232.0</v>
      </c>
      <c r="B198" s="2" t="s">
        <v>15</v>
      </c>
      <c r="C198" s="2" t="s">
        <v>16</v>
      </c>
      <c r="D198" s="2" t="s">
        <v>563</v>
      </c>
      <c r="E198" s="2" t="s">
        <v>22</v>
      </c>
      <c r="F198" s="2">
        <v>1.0</v>
      </c>
      <c r="G198" s="2" t="s">
        <v>85</v>
      </c>
      <c r="H198" s="2">
        <v>3.0</v>
      </c>
      <c r="I198" s="2">
        <v>189.0</v>
      </c>
      <c r="J198" s="2">
        <v>0.0</v>
      </c>
      <c r="K198" s="2">
        <v>1.0</v>
      </c>
      <c r="L198" s="2">
        <v>0.0</v>
      </c>
    </row>
    <row r="199">
      <c r="A199" s="29">
        <v>46232.0</v>
      </c>
      <c r="B199" s="2" t="s">
        <v>15</v>
      </c>
      <c r="C199" s="2" t="s">
        <v>16</v>
      </c>
      <c r="D199" s="2" t="s">
        <v>601</v>
      </c>
      <c r="E199" s="2" t="s">
        <v>22</v>
      </c>
      <c r="F199" s="2">
        <v>1.0</v>
      </c>
      <c r="G199" s="2" t="s">
        <v>28</v>
      </c>
      <c r="H199" s="2">
        <v>3.0</v>
      </c>
      <c r="I199" s="2">
        <v>189.0</v>
      </c>
      <c r="J199" s="2">
        <v>0.0</v>
      </c>
      <c r="K199" s="2">
        <v>1.0</v>
      </c>
      <c r="L199" s="2">
        <v>0.0</v>
      </c>
    </row>
    <row r="200">
      <c r="A200" s="29">
        <v>46233.0</v>
      </c>
      <c r="C200" s="2" t="s">
        <v>39</v>
      </c>
      <c r="D200" s="2" t="s">
        <v>602</v>
      </c>
      <c r="E200" s="2" t="s">
        <v>18</v>
      </c>
      <c r="F200" s="2">
        <v>1.0</v>
      </c>
      <c r="G200" s="2" t="s">
        <v>49</v>
      </c>
      <c r="H200" s="2">
        <v>2.0</v>
      </c>
      <c r="I200" s="2">
        <v>522.57</v>
      </c>
      <c r="J200" s="2">
        <v>50.0</v>
      </c>
      <c r="K200" s="2">
        <v>2.0</v>
      </c>
      <c r="L200" s="2">
        <v>100.0</v>
      </c>
    </row>
    <row r="201">
      <c r="A201" s="29">
        <v>46233.0</v>
      </c>
      <c r="B201" s="2" t="s">
        <v>603</v>
      </c>
      <c r="C201" s="2" t="s">
        <v>16</v>
      </c>
      <c r="D201" s="2" t="s">
        <v>591</v>
      </c>
      <c r="E201" s="2" t="s">
        <v>52</v>
      </c>
      <c r="F201" s="2">
        <v>2.0</v>
      </c>
      <c r="G201" s="2" t="s">
        <v>77</v>
      </c>
      <c r="H201" s="2">
        <v>3.0</v>
      </c>
      <c r="I201" s="2">
        <v>15.0</v>
      </c>
      <c r="J201" s="2">
        <v>0.0</v>
      </c>
      <c r="K201" s="2">
        <v>2.0</v>
      </c>
      <c r="L201" s="2">
        <v>0.0</v>
      </c>
    </row>
    <row r="202">
      <c r="A202" s="29">
        <v>46233.0</v>
      </c>
      <c r="B202" s="2" t="s">
        <v>237</v>
      </c>
      <c r="C202" s="2" t="s">
        <v>16</v>
      </c>
      <c r="D202" s="2" t="s">
        <v>604</v>
      </c>
      <c r="E202" s="2" t="s">
        <v>22</v>
      </c>
      <c r="F202" s="2">
        <v>1.0</v>
      </c>
      <c r="G202" s="2" t="s">
        <v>28</v>
      </c>
      <c r="H202" s="2">
        <v>3.0</v>
      </c>
      <c r="I202" s="2">
        <v>409.0</v>
      </c>
      <c r="J202" s="2">
        <v>0.0</v>
      </c>
      <c r="K202" s="2">
        <v>1.0</v>
      </c>
      <c r="L202" s="2">
        <v>0.0</v>
      </c>
    </row>
    <row r="203">
      <c r="A203" s="29">
        <v>46233.0</v>
      </c>
      <c r="B203" s="2" t="s">
        <v>237</v>
      </c>
      <c r="C203" s="2" t="s">
        <v>16</v>
      </c>
      <c r="D203" s="2" t="s">
        <v>605</v>
      </c>
      <c r="E203" s="2" t="s">
        <v>18</v>
      </c>
      <c r="F203" s="2">
        <v>1.0</v>
      </c>
      <c r="G203" s="2" t="s">
        <v>41</v>
      </c>
      <c r="H203" s="2">
        <v>3.0</v>
      </c>
      <c r="I203" s="2">
        <v>455.25</v>
      </c>
      <c r="J203" s="2">
        <v>0.0</v>
      </c>
      <c r="K203" s="2">
        <v>2.0</v>
      </c>
      <c r="L203" s="2">
        <v>0.0</v>
      </c>
    </row>
    <row r="204">
      <c r="A204" s="29">
        <v>46233.0</v>
      </c>
      <c r="C204" s="2" t="s">
        <v>39</v>
      </c>
      <c r="D204" s="2" t="s">
        <v>606</v>
      </c>
      <c r="E204" s="2" t="s">
        <v>52</v>
      </c>
      <c r="F204" s="2">
        <v>2.0</v>
      </c>
      <c r="G204" s="2" t="s">
        <v>77</v>
      </c>
      <c r="H204" s="2">
        <v>3.0</v>
      </c>
      <c r="I204" s="2">
        <v>464.25</v>
      </c>
      <c r="J204" s="2">
        <v>50.0</v>
      </c>
      <c r="K204" s="2">
        <v>1.0</v>
      </c>
      <c r="L204" s="2">
        <v>50.0</v>
      </c>
    </row>
    <row r="205">
      <c r="A205" s="29">
        <v>46233.0</v>
      </c>
      <c r="B205" s="2" t="s">
        <v>375</v>
      </c>
      <c r="C205" s="2" t="s">
        <v>16</v>
      </c>
      <c r="D205" s="2" t="s">
        <v>607</v>
      </c>
      <c r="E205" s="2" t="s">
        <v>52</v>
      </c>
      <c r="F205" s="2">
        <v>2.0</v>
      </c>
      <c r="G205" s="2" t="s">
        <v>77</v>
      </c>
      <c r="H205" s="2">
        <v>3.0</v>
      </c>
      <c r="I205" s="2">
        <v>429.0</v>
      </c>
      <c r="J205" s="2">
        <v>0.0</v>
      </c>
      <c r="K205" s="2">
        <v>2.0</v>
      </c>
      <c r="L205" s="2">
        <v>0.0</v>
      </c>
    </row>
    <row r="206">
      <c r="A206" s="29">
        <v>46233.0</v>
      </c>
      <c r="B206" s="2" t="s">
        <v>237</v>
      </c>
      <c r="C206" s="2" t="s">
        <v>16</v>
      </c>
      <c r="D206" s="2" t="s">
        <v>608</v>
      </c>
      <c r="E206" s="2" t="s">
        <v>223</v>
      </c>
      <c r="F206" s="2">
        <v>1.0</v>
      </c>
      <c r="G206" s="2" t="s">
        <v>49</v>
      </c>
      <c r="H206" s="2">
        <v>2.0</v>
      </c>
      <c r="I206" s="2">
        <v>358.43</v>
      </c>
      <c r="J206" s="2">
        <v>0.0</v>
      </c>
      <c r="K206" s="2">
        <v>1.0</v>
      </c>
      <c r="L206" s="2">
        <v>0.0</v>
      </c>
    </row>
    <row r="207">
      <c r="A207" s="29">
        <v>46233.0</v>
      </c>
      <c r="B207" s="2" t="s">
        <v>237</v>
      </c>
      <c r="C207" s="2" t="s">
        <v>16</v>
      </c>
      <c r="D207" s="2" t="s">
        <v>609</v>
      </c>
      <c r="E207" s="2" t="s">
        <v>18</v>
      </c>
      <c r="F207" s="2">
        <v>1.0</v>
      </c>
      <c r="G207" s="2" t="s">
        <v>52</v>
      </c>
      <c r="H207" s="2">
        <v>2.0</v>
      </c>
      <c r="I207" s="2">
        <v>185.0</v>
      </c>
      <c r="J207" s="2">
        <v>0.0</v>
      </c>
      <c r="K207" s="2">
        <v>1.0</v>
      </c>
      <c r="L207" s="2">
        <v>0.0</v>
      </c>
    </row>
    <row r="208">
      <c r="A208" s="29">
        <v>46233.0</v>
      </c>
      <c r="B208" s="2" t="s">
        <v>237</v>
      </c>
      <c r="C208" s="2" t="s">
        <v>16</v>
      </c>
      <c r="D208" s="2" t="s">
        <v>610</v>
      </c>
      <c r="E208" s="2" t="s">
        <v>18</v>
      </c>
      <c r="F208" s="2">
        <v>1.0</v>
      </c>
      <c r="G208" s="2" t="s">
        <v>52</v>
      </c>
      <c r="H208" s="2">
        <v>2.0</v>
      </c>
      <c r="I208" s="2">
        <v>185.0</v>
      </c>
      <c r="J208" s="2">
        <v>0.0</v>
      </c>
      <c r="K208" s="2">
        <v>1.0</v>
      </c>
      <c r="L208" s="2">
        <v>0.0</v>
      </c>
    </row>
    <row r="209">
      <c r="A209" s="29">
        <v>46234.0</v>
      </c>
      <c r="C209" s="2" t="s">
        <v>39</v>
      </c>
      <c r="D209" s="2" t="s">
        <v>611</v>
      </c>
      <c r="E209" s="2" t="s">
        <v>259</v>
      </c>
      <c r="F209" s="2">
        <v>1.0</v>
      </c>
      <c r="G209" s="2" t="s">
        <v>52</v>
      </c>
      <c r="H209" s="2">
        <v>2.0</v>
      </c>
      <c r="I209" s="2">
        <v>551.65</v>
      </c>
      <c r="J209" s="2">
        <v>50.0</v>
      </c>
      <c r="K209" s="2">
        <v>1.0</v>
      </c>
      <c r="L209" s="2">
        <v>50.0</v>
      </c>
    </row>
    <row r="210">
      <c r="A210" s="29">
        <v>46234.0</v>
      </c>
      <c r="B210" s="2" t="s">
        <v>237</v>
      </c>
      <c r="C210" s="2" t="s">
        <v>16</v>
      </c>
      <c r="D210" s="2" t="s">
        <v>612</v>
      </c>
      <c r="E210" s="2" t="s">
        <v>22</v>
      </c>
      <c r="F210" s="2">
        <v>1.0</v>
      </c>
      <c r="G210" s="2" t="s">
        <v>52</v>
      </c>
      <c r="H210" s="2">
        <v>2.0</v>
      </c>
      <c r="I210" s="2">
        <v>164.0</v>
      </c>
      <c r="J210" s="2">
        <v>0.0</v>
      </c>
      <c r="K210" s="2">
        <v>1.0</v>
      </c>
      <c r="L210" s="2">
        <v>0.0</v>
      </c>
    </row>
    <row r="211">
      <c r="A211" s="29">
        <v>46234.0</v>
      </c>
      <c r="B211" s="2" t="s">
        <v>237</v>
      </c>
      <c r="C211" s="2" t="s">
        <v>16</v>
      </c>
      <c r="D211" s="2" t="s">
        <v>613</v>
      </c>
      <c r="E211" s="2" t="s">
        <v>22</v>
      </c>
      <c r="F211" s="2">
        <v>1.0</v>
      </c>
      <c r="G211" s="2" t="s">
        <v>19</v>
      </c>
      <c r="H211" s="2">
        <v>2.0</v>
      </c>
      <c r="I211" s="2">
        <v>15.0</v>
      </c>
      <c r="J211" s="2">
        <v>0.0</v>
      </c>
      <c r="K211" s="2">
        <v>3.0</v>
      </c>
      <c r="L211" s="2">
        <v>0.0</v>
      </c>
    </row>
    <row r="212">
      <c r="A212" s="29">
        <v>46234.0</v>
      </c>
      <c r="B212" s="2" t="s">
        <v>31</v>
      </c>
      <c r="C212" s="2" t="s">
        <v>16</v>
      </c>
      <c r="D212" s="2" t="s">
        <v>614</v>
      </c>
      <c r="E212" s="2" t="s">
        <v>18</v>
      </c>
      <c r="F212" s="2">
        <v>1.0</v>
      </c>
      <c r="G212" s="2" t="s">
        <v>52</v>
      </c>
      <c r="H212" s="2">
        <v>2.0</v>
      </c>
      <c r="I212" s="2">
        <v>279.0</v>
      </c>
      <c r="J212" s="2">
        <v>0.0</v>
      </c>
      <c r="K212" s="2">
        <v>1.0</v>
      </c>
      <c r="L212" s="2">
        <v>0.0</v>
      </c>
    </row>
    <row r="213">
      <c r="A213" s="29">
        <v>46234.0</v>
      </c>
      <c r="B213" s="2" t="s">
        <v>31</v>
      </c>
      <c r="C213" s="2" t="s">
        <v>16</v>
      </c>
      <c r="D213" s="2" t="s">
        <v>615</v>
      </c>
      <c r="E213" s="2" t="s">
        <v>18</v>
      </c>
      <c r="F213" s="2">
        <v>1.0</v>
      </c>
      <c r="G213" s="2" t="s">
        <v>52</v>
      </c>
      <c r="H213" s="2">
        <v>2.0</v>
      </c>
      <c r="I213" s="2">
        <v>279.0</v>
      </c>
      <c r="J213" s="2">
        <v>0.0</v>
      </c>
      <c r="K213" s="2">
        <v>1.0</v>
      </c>
      <c r="L213" s="2">
        <v>0.0</v>
      </c>
    </row>
    <row r="214">
      <c r="A214" s="29">
        <v>46234.0</v>
      </c>
      <c r="B214" s="2" t="s">
        <v>237</v>
      </c>
      <c r="C214" s="2" t="s">
        <v>16</v>
      </c>
      <c r="D214" s="2" t="s">
        <v>616</v>
      </c>
      <c r="E214" s="2" t="s">
        <v>18</v>
      </c>
      <c r="F214" s="2">
        <v>1.0</v>
      </c>
      <c r="G214" s="2" t="s">
        <v>19</v>
      </c>
      <c r="H214" s="2">
        <v>2.0</v>
      </c>
      <c r="I214" s="2">
        <v>185.0</v>
      </c>
      <c r="J214" s="2">
        <v>0.0</v>
      </c>
      <c r="K214" s="2">
        <v>1.0</v>
      </c>
      <c r="L214" s="2">
        <v>0.0</v>
      </c>
    </row>
    <row r="215">
      <c r="A215" s="29">
        <v>46234.0</v>
      </c>
      <c r="B215" s="2" t="s">
        <v>237</v>
      </c>
      <c r="C215" s="2" t="s">
        <v>16</v>
      </c>
      <c r="D215" s="2" t="s">
        <v>617</v>
      </c>
      <c r="E215" s="2" t="s">
        <v>22</v>
      </c>
      <c r="F215" s="2">
        <v>1.0</v>
      </c>
      <c r="G215" s="2" t="s">
        <v>52</v>
      </c>
      <c r="H215" s="2">
        <v>2.0</v>
      </c>
      <c r="I215" s="2">
        <v>185.0</v>
      </c>
      <c r="J215" s="2">
        <v>0.0</v>
      </c>
      <c r="K215" s="2">
        <v>1.0</v>
      </c>
      <c r="L215" s="2">
        <v>0.0</v>
      </c>
    </row>
    <row r="216">
      <c r="A216" s="29">
        <v>46234.0</v>
      </c>
      <c r="B216" s="2" t="s">
        <v>237</v>
      </c>
      <c r="C216" s="2" t="s">
        <v>16</v>
      </c>
      <c r="D216" s="2" t="s">
        <v>618</v>
      </c>
      <c r="E216" s="2" t="s">
        <v>19</v>
      </c>
      <c r="F216" s="2">
        <v>2.0</v>
      </c>
      <c r="G216" s="2" t="s">
        <v>85</v>
      </c>
      <c r="H216" s="2">
        <v>3.0</v>
      </c>
      <c r="I216" s="2">
        <v>459.0</v>
      </c>
      <c r="J216" s="2">
        <v>0.0</v>
      </c>
      <c r="K216" s="2">
        <v>2.0</v>
      </c>
      <c r="L216" s="2">
        <v>0.0</v>
      </c>
    </row>
  </sheetData>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275</v>
      </c>
      <c r="B1" s="2" t="s">
        <v>277</v>
      </c>
      <c r="C1" s="2" t="s">
        <v>278</v>
      </c>
      <c r="D1" s="2" t="s">
        <v>279</v>
      </c>
      <c r="E1" s="2"/>
      <c r="F1" s="2"/>
      <c r="G1" s="2"/>
      <c r="H1" s="2"/>
      <c r="I1" s="2"/>
      <c r="J1" s="2"/>
      <c r="K1" s="2"/>
      <c r="L1" s="2"/>
      <c r="M1" s="2"/>
      <c r="N1" s="2"/>
      <c r="O1" s="2"/>
      <c r="P1" s="2"/>
      <c r="Q1" s="2"/>
      <c r="R1" s="2"/>
      <c r="S1" s="2"/>
    </row>
    <row r="2">
      <c r="A2" s="2" t="s">
        <v>470</v>
      </c>
      <c r="B2" s="2">
        <v>1084.0</v>
      </c>
      <c r="C2" s="2">
        <v>-35892.49</v>
      </c>
      <c r="D2" s="2">
        <v>-33.11</v>
      </c>
      <c r="E2" s="2"/>
      <c r="F2" s="2"/>
      <c r="G2" s="2"/>
      <c r="H2" s="60"/>
      <c r="I2" s="60"/>
      <c r="J2" s="2"/>
      <c r="K2" s="2"/>
      <c r="L2" s="2"/>
      <c r="M2" s="2"/>
      <c r="N2" s="2"/>
      <c r="O2" s="2"/>
      <c r="Q2" s="2"/>
      <c r="R2" s="62"/>
    </row>
    <row r="3">
      <c r="A3" s="2"/>
      <c r="B3" s="2" t="s">
        <v>282</v>
      </c>
      <c r="C3" s="2" t="s">
        <v>278</v>
      </c>
      <c r="D3" s="2" t="s">
        <v>279</v>
      </c>
      <c r="E3" s="26">
        <v>45839.0</v>
      </c>
      <c r="F3" s="2"/>
      <c r="G3" s="26">
        <v>45840.0</v>
      </c>
      <c r="H3" s="60"/>
      <c r="I3" s="60">
        <v>45841.0</v>
      </c>
      <c r="J3" s="2"/>
      <c r="K3" s="26">
        <v>45842.0</v>
      </c>
      <c r="L3" s="2"/>
      <c r="M3" s="26">
        <v>45843.0</v>
      </c>
      <c r="N3" s="2"/>
      <c r="O3" s="26">
        <v>45844.0</v>
      </c>
      <c r="P3" s="2"/>
      <c r="Q3" s="26">
        <v>45845.0</v>
      </c>
      <c r="R3" s="62"/>
      <c r="S3" s="26">
        <v>45846.0</v>
      </c>
      <c r="U3" s="26">
        <v>45847.0</v>
      </c>
      <c r="W3" s="26">
        <v>45848.0</v>
      </c>
      <c r="Y3" s="26">
        <v>45849.0</v>
      </c>
      <c r="AA3" s="26">
        <v>45850.0</v>
      </c>
      <c r="AC3" s="26">
        <v>45851.0</v>
      </c>
      <c r="AE3" s="26">
        <v>45852.0</v>
      </c>
      <c r="AG3" s="26">
        <v>45853.0</v>
      </c>
      <c r="AI3" s="26">
        <v>45854.0</v>
      </c>
      <c r="AK3" s="26">
        <v>45855.0</v>
      </c>
      <c r="AM3" s="26">
        <v>45856.0</v>
      </c>
      <c r="AO3" s="26">
        <v>45857.0</v>
      </c>
      <c r="AQ3" s="26">
        <v>45858.0</v>
      </c>
      <c r="AS3" s="26">
        <v>45859.0</v>
      </c>
      <c r="AU3" s="26">
        <v>45860.0</v>
      </c>
      <c r="AW3" s="26">
        <v>45861.0</v>
      </c>
      <c r="AY3" s="26">
        <v>45862.0</v>
      </c>
      <c r="BA3" s="26">
        <v>45863.0</v>
      </c>
      <c r="BC3" s="26">
        <v>45864.0</v>
      </c>
      <c r="BE3" s="26">
        <v>45865.0</v>
      </c>
      <c r="BG3" s="26">
        <v>45866.0</v>
      </c>
      <c r="BI3" s="26">
        <v>45867.0</v>
      </c>
      <c r="BK3" s="26">
        <v>45868.0</v>
      </c>
      <c r="BM3" s="26">
        <v>45869.0</v>
      </c>
    </row>
    <row r="4">
      <c r="A4" s="2" t="s">
        <v>300</v>
      </c>
      <c r="B4" s="2">
        <v>2.0</v>
      </c>
      <c r="C4" s="2">
        <v>130.0</v>
      </c>
      <c r="D4" s="2">
        <v>65.0</v>
      </c>
      <c r="E4" s="2">
        <v>0.0</v>
      </c>
      <c r="F4" s="2">
        <v>0.0</v>
      </c>
      <c r="G4" s="2">
        <v>0.0</v>
      </c>
      <c r="H4" s="2">
        <v>0.0</v>
      </c>
      <c r="I4" s="2">
        <v>0.0</v>
      </c>
      <c r="J4" s="2">
        <v>0.0</v>
      </c>
      <c r="K4" s="2">
        <v>0.0</v>
      </c>
      <c r="L4" s="2">
        <v>0.0</v>
      </c>
      <c r="M4" s="2">
        <v>0.0</v>
      </c>
      <c r="N4" s="2">
        <v>0.0</v>
      </c>
      <c r="O4" s="2">
        <v>0.0</v>
      </c>
      <c r="P4" s="2">
        <v>0.0</v>
      </c>
      <c r="Q4" s="2">
        <v>0.0</v>
      </c>
      <c r="R4" s="2">
        <v>0.0</v>
      </c>
      <c r="S4" s="2">
        <v>0.0</v>
      </c>
      <c r="T4" s="2">
        <v>0.0</v>
      </c>
      <c r="U4" s="2">
        <v>0.0</v>
      </c>
      <c r="V4" s="2">
        <v>0.0</v>
      </c>
      <c r="W4" s="2">
        <v>0.0</v>
      </c>
      <c r="X4" s="2">
        <v>0.0</v>
      </c>
      <c r="Y4" s="2">
        <v>0.0</v>
      </c>
      <c r="Z4" s="2">
        <v>0.0</v>
      </c>
      <c r="AA4" s="2">
        <v>0.0</v>
      </c>
      <c r="AB4" s="2">
        <v>0.0</v>
      </c>
      <c r="AC4" s="2">
        <v>0.0</v>
      </c>
      <c r="AD4" s="2">
        <v>0.0</v>
      </c>
      <c r="AE4" s="2">
        <v>0.0</v>
      </c>
      <c r="AF4" s="2">
        <v>0.0</v>
      </c>
      <c r="AG4" s="2">
        <v>0.0</v>
      </c>
      <c r="AH4" s="2">
        <v>0.0</v>
      </c>
      <c r="AI4" s="2">
        <v>0.0</v>
      </c>
      <c r="AJ4" s="2">
        <v>0.0</v>
      </c>
      <c r="AK4" s="2">
        <v>0.0</v>
      </c>
      <c r="AL4" s="2">
        <v>0.0</v>
      </c>
      <c r="AM4" s="2">
        <v>0.0</v>
      </c>
      <c r="AN4" s="2">
        <v>0.0</v>
      </c>
      <c r="AO4" s="2">
        <v>0.0</v>
      </c>
      <c r="AP4" s="2">
        <v>0.0</v>
      </c>
      <c r="AQ4" s="2">
        <v>0.0</v>
      </c>
      <c r="AR4" s="2">
        <v>0.0</v>
      </c>
      <c r="AS4" s="2">
        <v>0.0</v>
      </c>
      <c r="AT4" s="2">
        <v>0.0</v>
      </c>
      <c r="AU4" s="2">
        <v>0.0</v>
      </c>
      <c r="AV4" s="2">
        <v>0.0</v>
      </c>
      <c r="AW4" s="2">
        <v>0.0</v>
      </c>
      <c r="AX4" s="2">
        <v>0.0</v>
      </c>
      <c r="AY4" s="2">
        <v>0.0</v>
      </c>
      <c r="AZ4" s="2">
        <v>0.0</v>
      </c>
      <c r="BA4" s="2">
        <v>2.0</v>
      </c>
      <c r="BB4" s="2">
        <v>130.0</v>
      </c>
      <c r="BC4" s="2">
        <v>0.0</v>
      </c>
      <c r="BD4" s="2">
        <v>0.0</v>
      </c>
      <c r="BE4" s="2">
        <v>0.0</v>
      </c>
      <c r="BF4" s="2">
        <v>0.0</v>
      </c>
      <c r="BG4" s="2">
        <v>0.0</v>
      </c>
      <c r="BH4" s="2">
        <v>0.0</v>
      </c>
      <c r="BI4" s="2">
        <v>0.0</v>
      </c>
      <c r="BJ4" s="2">
        <v>0.0</v>
      </c>
      <c r="BK4" s="2">
        <v>0.0</v>
      </c>
      <c r="BL4" s="2">
        <v>0.0</v>
      </c>
      <c r="BM4" s="2">
        <v>0.0</v>
      </c>
      <c r="BN4" s="2">
        <v>0.0</v>
      </c>
    </row>
    <row r="5">
      <c r="A5" s="2" t="s">
        <v>312</v>
      </c>
      <c r="B5" s="2">
        <v>2.0</v>
      </c>
      <c r="C5" s="2">
        <v>72.0</v>
      </c>
      <c r="D5" s="2">
        <v>36.0</v>
      </c>
      <c r="E5" s="2">
        <v>0.0</v>
      </c>
      <c r="F5" s="2">
        <v>0.0</v>
      </c>
      <c r="G5" s="2">
        <v>0.0</v>
      </c>
      <c r="H5" s="2">
        <v>0.0</v>
      </c>
      <c r="I5" s="2">
        <v>0.0</v>
      </c>
      <c r="J5" s="2">
        <v>0.0</v>
      </c>
      <c r="K5" s="2">
        <v>0.0</v>
      </c>
      <c r="L5" s="2">
        <v>0.0</v>
      </c>
      <c r="M5" s="2">
        <v>0.0</v>
      </c>
      <c r="N5" s="2">
        <v>0.0</v>
      </c>
      <c r="O5" s="2">
        <v>0.0</v>
      </c>
      <c r="P5" s="2">
        <v>0.0</v>
      </c>
      <c r="Q5" s="2">
        <v>0.0</v>
      </c>
      <c r="R5" s="2">
        <v>0.0</v>
      </c>
      <c r="S5" s="2">
        <v>0.0</v>
      </c>
      <c r="T5" s="2">
        <v>0.0</v>
      </c>
      <c r="U5" s="2">
        <v>0.0</v>
      </c>
      <c r="V5" s="2">
        <v>0.0</v>
      </c>
      <c r="W5" s="2">
        <v>0.0</v>
      </c>
      <c r="X5" s="2">
        <v>0.0</v>
      </c>
      <c r="Y5" s="2">
        <v>0.0</v>
      </c>
      <c r="Z5" s="2">
        <v>0.0</v>
      </c>
      <c r="AA5" s="2">
        <v>0.0</v>
      </c>
      <c r="AB5" s="2">
        <v>0.0</v>
      </c>
      <c r="AC5" s="2">
        <v>0.0</v>
      </c>
      <c r="AD5" s="2">
        <v>0.0</v>
      </c>
      <c r="AE5" s="2">
        <v>0.0</v>
      </c>
      <c r="AF5" s="2">
        <v>0.0</v>
      </c>
      <c r="AG5" s="2">
        <v>0.0</v>
      </c>
      <c r="AH5" s="2">
        <v>0.0</v>
      </c>
      <c r="AI5" s="2">
        <v>0.0</v>
      </c>
      <c r="AJ5" s="2">
        <v>0.0</v>
      </c>
      <c r="AK5" s="2">
        <v>0.0</v>
      </c>
      <c r="AL5" s="2">
        <v>0.0</v>
      </c>
      <c r="AM5" s="2">
        <v>0.0</v>
      </c>
      <c r="AN5" s="2">
        <v>0.0</v>
      </c>
      <c r="AO5" s="2">
        <v>0.0</v>
      </c>
      <c r="AP5" s="2">
        <v>0.0</v>
      </c>
      <c r="AQ5" s="2">
        <v>0.0</v>
      </c>
      <c r="AR5" s="2">
        <v>0.0</v>
      </c>
      <c r="AS5" s="2">
        <v>0.0</v>
      </c>
      <c r="AT5" s="2">
        <v>0.0</v>
      </c>
      <c r="AU5" s="2">
        <v>0.0</v>
      </c>
      <c r="AV5" s="2">
        <v>0.0</v>
      </c>
      <c r="AW5" s="2">
        <v>0.0</v>
      </c>
      <c r="AX5" s="2">
        <v>0.0</v>
      </c>
      <c r="AY5" s="2">
        <v>0.0</v>
      </c>
      <c r="AZ5" s="2">
        <v>0.0</v>
      </c>
      <c r="BA5" s="2">
        <v>2.0</v>
      </c>
      <c r="BB5" s="2">
        <v>72.0</v>
      </c>
      <c r="BC5" s="2">
        <v>0.0</v>
      </c>
      <c r="BD5" s="2">
        <v>0.0</v>
      </c>
      <c r="BE5" s="2">
        <v>0.0</v>
      </c>
      <c r="BF5" s="2">
        <v>0.0</v>
      </c>
      <c r="BG5" s="2">
        <v>0.0</v>
      </c>
      <c r="BH5" s="2">
        <v>0.0</v>
      </c>
      <c r="BI5" s="2">
        <v>0.0</v>
      </c>
      <c r="BJ5" s="2">
        <v>0.0</v>
      </c>
      <c r="BK5" s="2">
        <v>0.0</v>
      </c>
      <c r="BL5" s="2">
        <v>0.0</v>
      </c>
      <c r="BM5" s="2">
        <v>0.0</v>
      </c>
      <c r="BN5" s="2">
        <v>0.0</v>
      </c>
    </row>
    <row r="6">
      <c r="A6" s="2" t="s">
        <v>521</v>
      </c>
      <c r="B6" s="2">
        <v>21.0</v>
      </c>
      <c r="C6" s="2">
        <v>259.35</v>
      </c>
      <c r="D6" s="2">
        <v>12.35</v>
      </c>
      <c r="E6" s="2">
        <v>0.0</v>
      </c>
      <c r="F6" s="2">
        <v>0.0</v>
      </c>
      <c r="G6" s="2">
        <v>4.0</v>
      </c>
      <c r="H6" s="2">
        <v>-79.8</v>
      </c>
      <c r="I6" s="2">
        <v>0.0</v>
      </c>
      <c r="J6" s="2">
        <v>0.0</v>
      </c>
      <c r="K6" s="2">
        <v>0.0</v>
      </c>
      <c r="L6" s="2">
        <v>0.0</v>
      </c>
      <c r="M6" s="2">
        <v>0.0</v>
      </c>
      <c r="N6" s="2">
        <v>0.0</v>
      </c>
      <c r="O6" s="2">
        <v>0.0</v>
      </c>
      <c r="P6" s="2">
        <v>0.0</v>
      </c>
      <c r="Q6" s="2">
        <v>0.0</v>
      </c>
      <c r="R6" s="2">
        <v>0.0</v>
      </c>
      <c r="S6" s="2">
        <v>2.0</v>
      </c>
      <c r="T6" s="2">
        <v>39.9</v>
      </c>
      <c r="U6" s="2">
        <v>0.0</v>
      </c>
      <c r="V6" s="2">
        <v>0.0</v>
      </c>
      <c r="W6" s="2">
        <v>0.0</v>
      </c>
      <c r="X6" s="2">
        <v>0.0</v>
      </c>
      <c r="Y6" s="2">
        <v>0.0</v>
      </c>
      <c r="Z6" s="2">
        <v>0.0</v>
      </c>
      <c r="AA6" s="2">
        <v>0.0</v>
      </c>
      <c r="AB6" s="2">
        <v>0.0</v>
      </c>
      <c r="AC6" s="2">
        <v>0.0</v>
      </c>
      <c r="AD6" s="2">
        <v>0.0</v>
      </c>
      <c r="AE6" s="2">
        <v>0.0</v>
      </c>
      <c r="AF6" s="2">
        <v>0.0</v>
      </c>
      <c r="AG6" s="2">
        <v>0.0</v>
      </c>
      <c r="AH6" s="2">
        <v>0.0</v>
      </c>
      <c r="AI6" s="2">
        <v>0.0</v>
      </c>
      <c r="AJ6" s="2">
        <v>0.0</v>
      </c>
      <c r="AK6" s="2">
        <v>0.0</v>
      </c>
      <c r="AL6" s="2">
        <v>0.0</v>
      </c>
      <c r="AM6" s="2">
        <v>0.0</v>
      </c>
      <c r="AN6" s="2">
        <v>0.0</v>
      </c>
      <c r="AO6" s="2">
        <v>0.0</v>
      </c>
      <c r="AP6" s="2">
        <v>0.0</v>
      </c>
      <c r="AQ6" s="2">
        <v>0.0</v>
      </c>
      <c r="AR6" s="2">
        <v>0.0</v>
      </c>
      <c r="AS6" s="2">
        <v>3.0</v>
      </c>
      <c r="AT6" s="2">
        <v>59.85</v>
      </c>
      <c r="AU6" s="2">
        <v>3.0</v>
      </c>
      <c r="AV6" s="2">
        <v>59.85</v>
      </c>
      <c r="AW6" s="2">
        <v>3.0</v>
      </c>
      <c r="AX6" s="2">
        <v>59.85</v>
      </c>
      <c r="AY6" s="2">
        <v>3.0</v>
      </c>
      <c r="AZ6" s="2">
        <v>59.85</v>
      </c>
      <c r="BA6" s="2">
        <v>0.0</v>
      </c>
      <c r="BB6" s="2">
        <v>0.0</v>
      </c>
      <c r="BC6" s="2">
        <v>0.0</v>
      </c>
      <c r="BD6" s="2">
        <v>0.0</v>
      </c>
      <c r="BE6" s="2">
        <v>0.0</v>
      </c>
      <c r="BF6" s="2">
        <v>0.0</v>
      </c>
      <c r="BG6" s="2">
        <v>0.0</v>
      </c>
      <c r="BH6" s="2">
        <v>0.0</v>
      </c>
      <c r="BI6" s="2">
        <v>1.0</v>
      </c>
      <c r="BJ6" s="2">
        <v>19.95</v>
      </c>
      <c r="BK6" s="2">
        <v>1.0</v>
      </c>
      <c r="BL6" s="2">
        <v>19.95</v>
      </c>
      <c r="BM6" s="2">
        <v>1.0</v>
      </c>
      <c r="BN6" s="2">
        <v>19.95</v>
      </c>
    </row>
    <row r="7">
      <c r="A7" s="2" t="s">
        <v>317</v>
      </c>
      <c r="B7" s="2">
        <v>57.0</v>
      </c>
      <c r="C7" s="2">
        <v>1425.0</v>
      </c>
      <c r="D7" s="2">
        <v>25.0</v>
      </c>
      <c r="E7" s="2">
        <v>1.0</v>
      </c>
      <c r="F7" s="2">
        <v>25.0</v>
      </c>
      <c r="G7" s="2">
        <v>1.0</v>
      </c>
      <c r="H7" s="2">
        <v>25.0</v>
      </c>
      <c r="I7" s="2">
        <v>1.0</v>
      </c>
      <c r="J7" s="2">
        <v>25.0</v>
      </c>
      <c r="K7" s="2">
        <v>1.0</v>
      </c>
      <c r="L7" s="2">
        <v>25.0</v>
      </c>
      <c r="M7" s="2">
        <v>0.0</v>
      </c>
      <c r="N7" s="2">
        <v>0.0</v>
      </c>
      <c r="O7" s="2">
        <v>4.0</v>
      </c>
      <c r="P7" s="2">
        <v>100.0</v>
      </c>
      <c r="Q7" s="2">
        <v>3.0</v>
      </c>
      <c r="R7" s="2">
        <v>75.0</v>
      </c>
      <c r="S7" s="2">
        <v>2.0</v>
      </c>
      <c r="T7" s="2">
        <v>50.0</v>
      </c>
      <c r="U7" s="2">
        <v>1.0</v>
      </c>
      <c r="V7" s="2">
        <v>25.0</v>
      </c>
      <c r="W7" s="2">
        <v>0.0</v>
      </c>
      <c r="X7" s="2">
        <v>0.0</v>
      </c>
      <c r="Y7" s="2">
        <v>0.0</v>
      </c>
      <c r="Z7" s="2">
        <v>0.0</v>
      </c>
      <c r="AA7" s="2">
        <v>0.0</v>
      </c>
      <c r="AB7" s="2">
        <v>0.0</v>
      </c>
      <c r="AC7" s="2">
        <v>5.0</v>
      </c>
      <c r="AD7" s="2">
        <v>125.0</v>
      </c>
      <c r="AE7" s="2">
        <v>2.0</v>
      </c>
      <c r="AF7" s="2">
        <v>50.0</v>
      </c>
      <c r="AG7" s="2">
        <v>3.0</v>
      </c>
      <c r="AH7" s="2">
        <v>75.0</v>
      </c>
      <c r="AI7" s="2">
        <v>3.0</v>
      </c>
      <c r="AJ7" s="2">
        <v>75.0</v>
      </c>
      <c r="AK7" s="2">
        <v>1.0</v>
      </c>
      <c r="AL7" s="2">
        <v>25.0</v>
      </c>
      <c r="AM7" s="2">
        <v>2.0</v>
      </c>
      <c r="AN7" s="2">
        <v>50.0</v>
      </c>
      <c r="AO7" s="2">
        <v>0.0</v>
      </c>
      <c r="AP7" s="2">
        <v>0.0</v>
      </c>
      <c r="AQ7" s="2">
        <v>2.0</v>
      </c>
      <c r="AR7" s="2">
        <v>50.0</v>
      </c>
      <c r="AS7" s="2">
        <v>3.0</v>
      </c>
      <c r="AT7" s="2">
        <v>75.0</v>
      </c>
      <c r="AU7" s="2">
        <v>2.0</v>
      </c>
      <c r="AV7" s="2">
        <v>50.0</v>
      </c>
      <c r="AW7" s="2">
        <v>1.0</v>
      </c>
      <c r="AX7" s="2">
        <v>25.0</v>
      </c>
      <c r="AY7" s="2">
        <v>3.0</v>
      </c>
      <c r="AZ7" s="2">
        <v>75.0</v>
      </c>
      <c r="BA7" s="2">
        <v>3.0</v>
      </c>
      <c r="BB7" s="2">
        <v>75.0</v>
      </c>
      <c r="BC7" s="2">
        <v>0.0</v>
      </c>
      <c r="BD7" s="2">
        <v>0.0</v>
      </c>
      <c r="BE7" s="2">
        <v>2.0</v>
      </c>
      <c r="BF7" s="2">
        <v>50.0</v>
      </c>
      <c r="BG7" s="2">
        <v>4.0</v>
      </c>
      <c r="BH7" s="2">
        <v>100.0</v>
      </c>
      <c r="BI7" s="2">
        <v>1.0</v>
      </c>
      <c r="BJ7" s="2">
        <v>25.0</v>
      </c>
      <c r="BK7" s="2">
        <v>1.0</v>
      </c>
      <c r="BL7" s="2">
        <v>25.0</v>
      </c>
      <c r="BM7" s="2">
        <v>5.0</v>
      </c>
      <c r="BN7" s="2">
        <v>125.0</v>
      </c>
    </row>
    <row r="8">
      <c r="A8" s="2" t="s">
        <v>326</v>
      </c>
      <c r="B8" s="2">
        <v>14.0</v>
      </c>
      <c r="C8" s="2">
        <v>600.0</v>
      </c>
      <c r="D8" s="2">
        <v>42.86</v>
      </c>
      <c r="E8" s="2">
        <v>0.0</v>
      </c>
      <c r="F8" s="2">
        <v>0.0</v>
      </c>
      <c r="G8" s="2">
        <v>0.0</v>
      </c>
      <c r="H8" s="2">
        <v>0.0</v>
      </c>
      <c r="I8" s="2">
        <v>1.0</v>
      </c>
      <c r="J8" s="2">
        <v>50.0</v>
      </c>
      <c r="K8" s="2">
        <v>2.0</v>
      </c>
      <c r="L8" s="2">
        <v>100.0</v>
      </c>
      <c r="M8" s="2">
        <v>0.0</v>
      </c>
      <c r="N8" s="2">
        <v>0.0</v>
      </c>
      <c r="O8" s="2">
        <v>2.0</v>
      </c>
      <c r="P8" s="2">
        <v>0.0</v>
      </c>
      <c r="Q8" s="2">
        <v>0.0</v>
      </c>
      <c r="R8" s="2">
        <v>0.0</v>
      </c>
      <c r="S8" s="2">
        <v>0.0</v>
      </c>
      <c r="T8" s="2">
        <v>0.0</v>
      </c>
      <c r="U8" s="2">
        <v>1.0</v>
      </c>
      <c r="V8" s="2">
        <v>50.0</v>
      </c>
      <c r="W8" s="2">
        <v>0.0</v>
      </c>
      <c r="X8" s="2">
        <v>0.0</v>
      </c>
      <c r="Y8" s="2">
        <v>0.0</v>
      </c>
      <c r="Z8" s="2">
        <v>0.0</v>
      </c>
      <c r="AA8" s="2">
        <v>1.0</v>
      </c>
      <c r="AB8" s="2">
        <v>50.0</v>
      </c>
      <c r="AC8" s="2">
        <v>0.0</v>
      </c>
      <c r="AD8" s="2">
        <v>0.0</v>
      </c>
      <c r="AE8" s="2">
        <v>0.0</v>
      </c>
      <c r="AF8" s="2">
        <v>0.0</v>
      </c>
      <c r="AG8" s="2">
        <v>0.0</v>
      </c>
      <c r="AH8" s="2">
        <v>0.0</v>
      </c>
      <c r="AI8" s="2">
        <v>0.0</v>
      </c>
      <c r="AJ8" s="2">
        <v>0.0</v>
      </c>
      <c r="AK8" s="2">
        <v>0.0</v>
      </c>
      <c r="AL8" s="2">
        <v>0.0</v>
      </c>
      <c r="AM8" s="2">
        <v>0.0</v>
      </c>
      <c r="AN8" s="2">
        <v>0.0</v>
      </c>
      <c r="AO8" s="2">
        <v>0.0</v>
      </c>
      <c r="AP8" s="2">
        <v>0.0</v>
      </c>
      <c r="AQ8" s="2">
        <v>0.0</v>
      </c>
      <c r="AR8" s="2">
        <v>0.0</v>
      </c>
      <c r="AS8" s="2">
        <v>3.0</v>
      </c>
      <c r="AT8" s="2">
        <v>150.0</v>
      </c>
      <c r="AU8" s="2">
        <v>1.0</v>
      </c>
      <c r="AV8" s="2">
        <v>50.0</v>
      </c>
      <c r="AW8" s="2">
        <v>0.0</v>
      </c>
      <c r="AX8" s="2">
        <v>0.0</v>
      </c>
      <c r="AY8" s="2">
        <v>0.0</v>
      </c>
      <c r="AZ8" s="2">
        <v>0.0</v>
      </c>
      <c r="BA8" s="2">
        <v>0.0</v>
      </c>
      <c r="BB8" s="2">
        <v>0.0</v>
      </c>
      <c r="BC8" s="2">
        <v>0.0</v>
      </c>
      <c r="BD8" s="2">
        <v>0.0</v>
      </c>
      <c r="BE8" s="2">
        <v>0.0</v>
      </c>
      <c r="BF8" s="2">
        <v>0.0</v>
      </c>
      <c r="BG8" s="2">
        <v>2.0</v>
      </c>
      <c r="BH8" s="2">
        <v>100.0</v>
      </c>
      <c r="BI8" s="2">
        <v>0.0</v>
      </c>
      <c r="BJ8" s="2">
        <v>0.0</v>
      </c>
      <c r="BK8" s="2">
        <v>0.0</v>
      </c>
      <c r="BL8" s="2">
        <v>0.0</v>
      </c>
      <c r="BM8" s="2">
        <v>1.0</v>
      </c>
      <c r="BN8" s="2">
        <v>50.0</v>
      </c>
    </row>
    <row r="9">
      <c r="A9" s="2" t="s">
        <v>335</v>
      </c>
      <c r="B9" s="2">
        <v>3.0</v>
      </c>
      <c r="C9" s="2">
        <v>85.0</v>
      </c>
      <c r="D9" s="2">
        <v>28.33</v>
      </c>
      <c r="E9" s="2">
        <v>0.0</v>
      </c>
      <c r="F9" s="2">
        <v>0.0</v>
      </c>
      <c r="G9" s="2">
        <v>0.0</v>
      </c>
      <c r="H9" s="2">
        <v>0.0</v>
      </c>
      <c r="I9" s="2">
        <v>0.0</v>
      </c>
      <c r="J9" s="2">
        <v>0.0</v>
      </c>
      <c r="K9" s="2">
        <v>0.0</v>
      </c>
      <c r="L9" s="2">
        <v>0.0</v>
      </c>
      <c r="M9" s="2">
        <v>0.0</v>
      </c>
      <c r="N9" s="2">
        <v>0.0</v>
      </c>
      <c r="O9" s="2">
        <v>0.0</v>
      </c>
      <c r="P9" s="2">
        <v>0.0</v>
      </c>
      <c r="Q9" s="2">
        <v>0.0</v>
      </c>
      <c r="R9" s="2">
        <v>0.0</v>
      </c>
      <c r="S9" s="2">
        <v>0.0</v>
      </c>
      <c r="T9" s="2">
        <v>0.0</v>
      </c>
      <c r="U9" s="2">
        <v>0.0</v>
      </c>
      <c r="V9" s="2">
        <v>0.0</v>
      </c>
      <c r="W9" s="2">
        <v>0.0</v>
      </c>
      <c r="X9" s="2">
        <v>0.0</v>
      </c>
      <c r="Y9" s="2">
        <v>0.0</v>
      </c>
      <c r="Z9" s="2">
        <v>0.0</v>
      </c>
      <c r="AA9" s="2">
        <v>0.0</v>
      </c>
      <c r="AB9" s="2">
        <v>0.0</v>
      </c>
      <c r="AC9" s="2">
        <v>0.0</v>
      </c>
      <c r="AD9" s="2">
        <v>0.0</v>
      </c>
      <c r="AE9" s="2">
        <v>0.0</v>
      </c>
      <c r="AF9" s="2">
        <v>0.0</v>
      </c>
      <c r="AG9" s="2">
        <v>0.0</v>
      </c>
      <c r="AH9" s="2">
        <v>0.0</v>
      </c>
      <c r="AI9" s="2">
        <v>0.0</v>
      </c>
      <c r="AJ9" s="2">
        <v>0.0</v>
      </c>
      <c r="AK9" s="2">
        <v>0.0</v>
      </c>
      <c r="AL9" s="2">
        <v>0.0</v>
      </c>
      <c r="AM9" s="2">
        <v>1.0</v>
      </c>
      <c r="AN9" s="2">
        <v>85.0</v>
      </c>
      <c r="AO9" s="2">
        <v>0.0</v>
      </c>
      <c r="AP9" s="2">
        <v>0.0</v>
      </c>
      <c r="AQ9" s="2">
        <v>0.0</v>
      </c>
      <c r="AR9" s="2">
        <v>0.0</v>
      </c>
      <c r="AS9" s="2">
        <v>0.0</v>
      </c>
      <c r="AT9" s="2">
        <v>0.0</v>
      </c>
      <c r="AU9" s="2">
        <v>0.0</v>
      </c>
      <c r="AV9" s="2">
        <v>0.0</v>
      </c>
      <c r="AW9" s="2">
        <v>0.0</v>
      </c>
      <c r="AX9" s="2">
        <v>0.0</v>
      </c>
      <c r="AY9" s="2">
        <v>0.0</v>
      </c>
      <c r="AZ9" s="2">
        <v>0.0</v>
      </c>
      <c r="BA9" s="2">
        <v>1.0</v>
      </c>
      <c r="BB9" s="2">
        <v>85.0</v>
      </c>
      <c r="BC9" s="2">
        <v>0.0</v>
      </c>
      <c r="BD9" s="2">
        <v>0.0</v>
      </c>
      <c r="BE9" s="2">
        <v>0.0</v>
      </c>
      <c r="BF9" s="2">
        <v>0.0</v>
      </c>
      <c r="BG9" s="2">
        <v>1.0</v>
      </c>
      <c r="BH9" s="2">
        <v>-85.0</v>
      </c>
      <c r="BI9" s="2">
        <v>0.0</v>
      </c>
      <c r="BJ9" s="2">
        <v>0.0</v>
      </c>
      <c r="BK9" s="2">
        <v>0.0</v>
      </c>
      <c r="BL9" s="2">
        <v>0.0</v>
      </c>
      <c r="BM9" s="2">
        <v>0.0</v>
      </c>
      <c r="BN9" s="2">
        <v>0.0</v>
      </c>
    </row>
    <row r="10">
      <c r="A10" s="2" t="s">
        <v>348</v>
      </c>
      <c r="B10" s="2">
        <v>19.0</v>
      </c>
      <c r="C10" s="2">
        <v>912.0</v>
      </c>
      <c r="D10" s="2">
        <v>48.0</v>
      </c>
      <c r="E10" s="2">
        <v>0.0</v>
      </c>
      <c r="F10" s="2">
        <v>0.0</v>
      </c>
      <c r="G10" s="2">
        <v>0.0</v>
      </c>
      <c r="H10" s="2">
        <v>0.0</v>
      </c>
      <c r="I10" s="2">
        <v>0.0</v>
      </c>
      <c r="J10" s="2">
        <v>0.0</v>
      </c>
      <c r="K10" s="2">
        <v>0.0</v>
      </c>
      <c r="L10" s="2">
        <v>0.0</v>
      </c>
      <c r="M10" s="2">
        <v>0.0</v>
      </c>
      <c r="N10" s="2">
        <v>0.0</v>
      </c>
      <c r="O10" s="2">
        <v>0.0</v>
      </c>
      <c r="P10" s="2">
        <v>0.0</v>
      </c>
      <c r="Q10" s="2">
        <v>0.0</v>
      </c>
      <c r="R10" s="2">
        <v>0.0</v>
      </c>
      <c r="S10" s="2">
        <v>2.0</v>
      </c>
      <c r="T10" s="2">
        <v>96.0</v>
      </c>
      <c r="U10" s="2">
        <v>2.0</v>
      </c>
      <c r="V10" s="2">
        <v>96.0</v>
      </c>
      <c r="W10" s="2">
        <v>0.0</v>
      </c>
      <c r="X10" s="2">
        <v>0.0</v>
      </c>
      <c r="Y10" s="2">
        <v>0.0</v>
      </c>
      <c r="Z10" s="2">
        <v>0.0</v>
      </c>
      <c r="AA10" s="2">
        <v>0.0</v>
      </c>
      <c r="AB10" s="2">
        <v>0.0</v>
      </c>
      <c r="AC10" s="2">
        <v>0.0</v>
      </c>
      <c r="AD10" s="2">
        <v>0.0</v>
      </c>
      <c r="AE10" s="2">
        <v>1.0</v>
      </c>
      <c r="AF10" s="2">
        <v>48.0</v>
      </c>
      <c r="AG10" s="2">
        <v>1.0</v>
      </c>
      <c r="AH10" s="2">
        <v>48.0</v>
      </c>
      <c r="AI10" s="2">
        <v>1.0</v>
      </c>
      <c r="AJ10" s="2">
        <v>48.0</v>
      </c>
      <c r="AK10" s="2">
        <v>2.0</v>
      </c>
      <c r="AL10" s="2">
        <v>96.0</v>
      </c>
      <c r="AM10" s="2">
        <v>3.0</v>
      </c>
      <c r="AN10" s="2">
        <v>144.0</v>
      </c>
      <c r="AO10" s="2">
        <v>2.0</v>
      </c>
      <c r="AP10" s="2">
        <v>96.0</v>
      </c>
      <c r="AQ10" s="2">
        <v>3.0</v>
      </c>
      <c r="AR10" s="2">
        <v>144.0</v>
      </c>
      <c r="AS10" s="2">
        <v>0.0</v>
      </c>
      <c r="AT10" s="2">
        <v>0.0</v>
      </c>
      <c r="AU10" s="2">
        <v>0.0</v>
      </c>
      <c r="AV10" s="2">
        <v>0.0</v>
      </c>
      <c r="AW10" s="2">
        <v>0.0</v>
      </c>
      <c r="AX10" s="2">
        <v>0.0</v>
      </c>
      <c r="AY10" s="2">
        <v>1.0</v>
      </c>
      <c r="AZ10" s="2">
        <v>48.0</v>
      </c>
      <c r="BA10" s="2">
        <v>0.0</v>
      </c>
      <c r="BB10" s="2">
        <v>0.0</v>
      </c>
      <c r="BC10" s="2">
        <v>0.0</v>
      </c>
      <c r="BD10" s="2">
        <v>0.0</v>
      </c>
      <c r="BE10" s="2">
        <v>1.0</v>
      </c>
      <c r="BF10" s="2">
        <v>48.0</v>
      </c>
      <c r="BG10" s="2">
        <v>0.0</v>
      </c>
      <c r="BH10" s="2">
        <v>0.0</v>
      </c>
      <c r="BI10" s="2">
        <v>0.0</v>
      </c>
      <c r="BJ10" s="2">
        <v>0.0</v>
      </c>
      <c r="BK10" s="2">
        <v>0.0</v>
      </c>
      <c r="BL10" s="2">
        <v>0.0</v>
      </c>
      <c r="BM10" s="2">
        <v>0.0</v>
      </c>
      <c r="BN10" s="2">
        <v>0.0</v>
      </c>
    </row>
    <row r="11">
      <c r="A11" s="2" t="s">
        <v>228</v>
      </c>
      <c r="B11" s="2">
        <v>54.0</v>
      </c>
      <c r="C11" s="2">
        <v>3900.0</v>
      </c>
      <c r="D11" s="2">
        <v>72.22</v>
      </c>
      <c r="E11" s="2">
        <v>0.0</v>
      </c>
      <c r="F11" s="2">
        <v>0.0</v>
      </c>
      <c r="G11" s="2">
        <v>0.0</v>
      </c>
      <c r="H11" s="2">
        <v>0.0</v>
      </c>
      <c r="I11" s="2">
        <v>2.0</v>
      </c>
      <c r="J11" s="2">
        <v>150.0</v>
      </c>
      <c r="K11" s="2">
        <v>1.0</v>
      </c>
      <c r="L11" s="2">
        <v>75.0</v>
      </c>
      <c r="M11" s="2">
        <v>1.0</v>
      </c>
      <c r="N11" s="2">
        <v>75.0</v>
      </c>
      <c r="O11" s="2">
        <v>1.0</v>
      </c>
      <c r="P11" s="2">
        <v>75.0</v>
      </c>
      <c r="Q11" s="2">
        <v>1.0</v>
      </c>
      <c r="R11" s="2">
        <v>75.0</v>
      </c>
      <c r="S11" s="2">
        <v>1.0</v>
      </c>
      <c r="T11" s="2">
        <v>75.0</v>
      </c>
      <c r="U11" s="2">
        <v>1.0</v>
      </c>
      <c r="V11" s="2">
        <v>75.0</v>
      </c>
      <c r="W11" s="2">
        <v>1.0</v>
      </c>
      <c r="X11" s="2">
        <v>75.0</v>
      </c>
      <c r="Y11" s="2">
        <v>2.0</v>
      </c>
      <c r="Z11" s="2">
        <v>150.0</v>
      </c>
      <c r="AA11" s="2">
        <v>2.0</v>
      </c>
      <c r="AB11" s="2">
        <v>150.0</v>
      </c>
      <c r="AC11" s="2">
        <v>3.0</v>
      </c>
      <c r="AD11" s="2">
        <v>225.0</v>
      </c>
      <c r="AE11" s="2">
        <v>1.0</v>
      </c>
      <c r="AF11" s="2">
        <v>75.0</v>
      </c>
      <c r="AG11" s="2">
        <v>1.0</v>
      </c>
      <c r="AH11" s="2">
        <v>75.0</v>
      </c>
      <c r="AI11" s="2">
        <v>0.0</v>
      </c>
      <c r="AJ11" s="2">
        <v>0.0</v>
      </c>
      <c r="AK11" s="2">
        <v>0.0</v>
      </c>
      <c r="AL11" s="2">
        <v>0.0</v>
      </c>
      <c r="AM11" s="2">
        <v>0.0</v>
      </c>
      <c r="AN11" s="2">
        <v>0.0</v>
      </c>
      <c r="AO11" s="2">
        <v>1.0</v>
      </c>
      <c r="AP11" s="2">
        <v>75.0</v>
      </c>
      <c r="AQ11" s="2">
        <v>1.0</v>
      </c>
      <c r="AR11" s="2">
        <v>75.0</v>
      </c>
      <c r="AS11" s="2">
        <v>3.0</v>
      </c>
      <c r="AT11" s="2">
        <v>225.0</v>
      </c>
      <c r="AU11" s="2">
        <v>4.0</v>
      </c>
      <c r="AV11" s="2">
        <v>300.0</v>
      </c>
      <c r="AW11" s="2">
        <v>4.0</v>
      </c>
      <c r="AX11" s="2">
        <v>300.0</v>
      </c>
      <c r="AY11" s="2">
        <v>4.0</v>
      </c>
      <c r="AZ11" s="2">
        <v>300.0</v>
      </c>
      <c r="BA11" s="2">
        <v>5.0</v>
      </c>
      <c r="BB11" s="2">
        <v>375.0</v>
      </c>
      <c r="BC11" s="2">
        <v>3.0</v>
      </c>
      <c r="BD11" s="2">
        <v>225.0</v>
      </c>
      <c r="BE11" s="2">
        <v>1.0</v>
      </c>
      <c r="BF11" s="2">
        <v>75.0</v>
      </c>
      <c r="BG11" s="2">
        <v>3.0</v>
      </c>
      <c r="BH11" s="2">
        <v>225.0</v>
      </c>
      <c r="BI11" s="2">
        <v>5.0</v>
      </c>
      <c r="BJ11" s="2">
        <v>225.0</v>
      </c>
      <c r="BK11" s="2">
        <v>2.0</v>
      </c>
      <c r="BL11" s="2">
        <v>150.0</v>
      </c>
      <c r="BM11" s="2">
        <v>0.0</v>
      </c>
      <c r="BN11" s="2">
        <v>0.0</v>
      </c>
    </row>
    <row r="12">
      <c r="A12" s="2" t="s">
        <v>378</v>
      </c>
      <c r="B12" s="2">
        <v>34.0</v>
      </c>
      <c r="C12" s="2">
        <v>910.0</v>
      </c>
      <c r="D12" s="2">
        <v>26.76</v>
      </c>
      <c r="E12" s="2">
        <v>0.0</v>
      </c>
      <c r="F12" s="2">
        <v>0.0</v>
      </c>
      <c r="G12" s="2">
        <v>2.0</v>
      </c>
      <c r="H12" s="2">
        <v>70.0</v>
      </c>
      <c r="I12" s="2">
        <v>4.0</v>
      </c>
      <c r="J12" s="2">
        <v>70.0</v>
      </c>
      <c r="K12" s="2">
        <v>1.0</v>
      </c>
      <c r="L12" s="2">
        <v>35.0</v>
      </c>
      <c r="M12" s="2">
        <v>1.0</v>
      </c>
      <c r="N12" s="2">
        <v>35.0</v>
      </c>
      <c r="O12" s="2">
        <v>2.0</v>
      </c>
      <c r="P12" s="2">
        <v>0.0</v>
      </c>
      <c r="Q12" s="2">
        <v>0.0</v>
      </c>
      <c r="R12" s="2">
        <v>0.0</v>
      </c>
      <c r="S12" s="2">
        <v>0.0</v>
      </c>
      <c r="T12" s="2">
        <v>0.0</v>
      </c>
      <c r="U12" s="2">
        <v>0.0</v>
      </c>
      <c r="V12" s="2">
        <v>0.0</v>
      </c>
      <c r="W12" s="2">
        <v>2.0</v>
      </c>
      <c r="X12" s="2">
        <v>70.0</v>
      </c>
      <c r="Y12" s="2">
        <v>2.0</v>
      </c>
      <c r="Z12" s="2">
        <v>70.0</v>
      </c>
      <c r="AA12" s="2">
        <v>1.0</v>
      </c>
      <c r="AB12" s="2">
        <v>35.0</v>
      </c>
      <c r="AC12" s="2">
        <v>1.0</v>
      </c>
      <c r="AD12" s="2">
        <v>35.0</v>
      </c>
      <c r="AE12" s="2">
        <v>0.0</v>
      </c>
      <c r="AF12" s="2">
        <v>0.0</v>
      </c>
      <c r="AG12" s="2">
        <v>2.0</v>
      </c>
      <c r="AH12" s="2">
        <v>70.0</v>
      </c>
      <c r="AI12" s="2">
        <v>0.0</v>
      </c>
      <c r="AJ12" s="2">
        <v>0.0</v>
      </c>
      <c r="AK12" s="2">
        <v>3.0</v>
      </c>
      <c r="AL12" s="2">
        <v>105.0</v>
      </c>
      <c r="AM12" s="2">
        <v>0.0</v>
      </c>
      <c r="AN12" s="2">
        <v>0.0</v>
      </c>
      <c r="AO12" s="2">
        <v>0.0</v>
      </c>
      <c r="AP12" s="2">
        <v>0.0</v>
      </c>
      <c r="AQ12" s="2">
        <v>1.0</v>
      </c>
      <c r="AR12" s="2">
        <v>35.0</v>
      </c>
      <c r="AS12" s="2">
        <v>0.0</v>
      </c>
      <c r="AT12" s="2">
        <v>0.0</v>
      </c>
      <c r="AU12" s="2">
        <v>1.0</v>
      </c>
      <c r="AV12" s="2">
        <v>35.0</v>
      </c>
      <c r="AW12" s="2">
        <v>2.0</v>
      </c>
      <c r="AX12" s="2">
        <v>0.0</v>
      </c>
      <c r="AY12" s="2">
        <v>1.0</v>
      </c>
      <c r="AZ12" s="2">
        <v>35.0</v>
      </c>
      <c r="BA12" s="2">
        <v>2.0</v>
      </c>
      <c r="BB12" s="2">
        <v>70.0</v>
      </c>
      <c r="BC12" s="2">
        <v>0.0</v>
      </c>
      <c r="BD12" s="2">
        <v>0.0</v>
      </c>
      <c r="BE12" s="2">
        <v>1.0</v>
      </c>
      <c r="BF12" s="2">
        <v>35.0</v>
      </c>
      <c r="BG12" s="2">
        <v>2.0</v>
      </c>
      <c r="BH12" s="2">
        <v>70.0</v>
      </c>
      <c r="BI12" s="2">
        <v>1.0</v>
      </c>
      <c r="BJ12" s="2">
        <v>35.0</v>
      </c>
      <c r="BK12" s="2">
        <v>2.0</v>
      </c>
      <c r="BL12" s="2">
        <v>0.0</v>
      </c>
      <c r="BM12" s="2">
        <v>0.0</v>
      </c>
      <c r="BN12" s="2">
        <v>0.0</v>
      </c>
    </row>
    <row r="13">
      <c r="A13" s="2" t="s">
        <v>385</v>
      </c>
      <c r="B13" s="2">
        <v>27.0</v>
      </c>
      <c r="C13" s="2">
        <v>1875.0</v>
      </c>
      <c r="D13" s="2">
        <v>69.44</v>
      </c>
      <c r="E13" s="2">
        <v>1.0</v>
      </c>
      <c r="F13" s="2">
        <v>75.0</v>
      </c>
      <c r="G13" s="2">
        <v>1.0</v>
      </c>
      <c r="H13" s="2">
        <v>75.0</v>
      </c>
      <c r="I13" s="2">
        <v>0.0</v>
      </c>
      <c r="J13" s="2">
        <v>0.0</v>
      </c>
      <c r="K13" s="2">
        <v>3.0</v>
      </c>
      <c r="L13" s="2">
        <v>225.0</v>
      </c>
      <c r="M13" s="2">
        <v>2.0</v>
      </c>
      <c r="N13" s="2">
        <v>150.0</v>
      </c>
      <c r="O13" s="2">
        <v>0.0</v>
      </c>
      <c r="P13" s="2">
        <v>0.0</v>
      </c>
      <c r="Q13" s="2">
        <v>0.0</v>
      </c>
      <c r="R13" s="2">
        <v>0.0</v>
      </c>
      <c r="S13" s="2">
        <v>0.0</v>
      </c>
      <c r="T13" s="2">
        <v>0.0</v>
      </c>
      <c r="U13" s="2">
        <v>0.0</v>
      </c>
      <c r="V13" s="2">
        <v>0.0</v>
      </c>
      <c r="W13" s="2">
        <v>0.0</v>
      </c>
      <c r="X13" s="2">
        <v>0.0</v>
      </c>
      <c r="Y13" s="2">
        <v>0.0</v>
      </c>
      <c r="Z13" s="2">
        <v>0.0</v>
      </c>
      <c r="AA13" s="2">
        <v>0.0</v>
      </c>
      <c r="AB13" s="2">
        <v>0.0</v>
      </c>
      <c r="AC13" s="2">
        <v>1.0</v>
      </c>
      <c r="AD13" s="2">
        <v>75.0</v>
      </c>
      <c r="AE13" s="2">
        <v>0.0</v>
      </c>
      <c r="AF13" s="2">
        <v>0.0</v>
      </c>
      <c r="AG13" s="2">
        <v>2.0</v>
      </c>
      <c r="AH13" s="2">
        <v>150.0</v>
      </c>
      <c r="AI13" s="2">
        <v>1.0</v>
      </c>
      <c r="AJ13" s="2">
        <v>75.0</v>
      </c>
      <c r="AK13" s="2">
        <v>4.0</v>
      </c>
      <c r="AL13" s="2">
        <v>150.0</v>
      </c>
      <c r="AM13" s="2">
        <v>1.0</v>
      </c>
      <c r="AN13" s="2">
        <v>75.0</v>
      </c>
      <c r="AO13" s="2">
        <v>0.0</v>
      </c>
      <c r="AP13" s="2">
        <v>0.0</v>
      </c>
      <c r="AQ13" s="2">
        <v>2.0</v>
      </c>
      <c r="AR13" s="2">
        <v>150.0</v>
      </c>
      <c r="AS13" s="2">
        <v>1.0</v>
      </c>
      <c r="AT13" s="2">
        <v>75.0</v>
      </c>
      <c r="AU13" s="2">
        <v>0.0</v>
      </c>
      <c r="AV13" s="2">
        <v>0.0</v>
      </c>
      <c r="AW13" s="2">
        <v>1.0</v>
      </c>
      <c r="AX13" s="2">
        <v>75.0</v>
      </c>
      <c r="AY13" s="2">
        <v>0.0</v>
      </c>
      <c r="AZ13" s="2">
        <v>0.0</v>
      </c>
      <c r="BA13" s="2">
        <v>1.0</v>
      </c>
      <c r="BB13" s="2">
        <v>75.0</v>
      </c>
      <c r="BC13" s="2">
        <v>1.0</v>
      </c>
      <c r="BD13" s="2">
        <v>75.0</v>
      </c>
      <c r="BE13" s="2">
        <v>0.0</v>
      </c>
      <c r="BF13" s="2">
        <v>0.0</v>
      </c>
      <c r="BG13" s="2">
        <v>3.0</v>
      </c>
      <c r="BH13" s="2">
        <v>225.0</v>
      </c>
      <c r="BI13" s="2">
        <v>1.0</v>
      </c>
      <c r="BJ13" s="2">
        <v>75.0</v>
      </c>
      <c r="BK13" s="2">
        <v>1.0</v>
      </c>
      <c r="BL13" s="2">
        <v>75.0</v>
      </c>
      <c r="BM13" s="2">
        <v>0.0</v>
      </c>
      <c r="BN13" s="2">
        <v>0.0</v>
      </c>
    </row>
    <row r="14">
      <c r="A14" s="2" t="s">
        <v>395</v>
      </c>
      <c r="B14" s="2">
        <v>46.0</v>
      </c>
      <c r="C14" s="2">
        <v>700.0</v>
      </c>
      <c r="D14" s="2">
        <v>15.22</v>
      </c>
      <c r="E14" s="2">
        <v>0.0</v>
      </c>
      <c r="F14" s="2">
        <v>0.0</v>
      </c>
      <c r="G14" s="2">
        <v>1.0</v>
      </c>
      <c r="H14" s="2">
        <v>25.0</v>
      </c>
      <c r="I14" s="2">
        <v>1.0</v>
      </c>
      <c r="J14" s="2">
        <v>25.0</v>
      </c>
      <c r="K14" s="2">
        <v>1.0</v>
      </c>
      <c r="L14" s="2">
        <v>-25.0</v>
      </c>
      <c r="M14" s="2">
        <v>0.0</v>
      </c>
      <c r="N14" s="2">
        <v>0.0</v>
      </c>
      <c r="O14" s="2">
        <v>0.0</v>
      </c>
      <c r="P14" s="2">
        <v>0.0</v>
      </c>
      <c r="Q14" s="2">
        <v>0.0</v>
      </c>
      <c r="R14" s="2">
        <v>0.0</v>
      </c>
      <c r="S14" s="2">
        <v>0.0</v>
      </c>
      <c r="T14" s="2">
        <v>0.0</v>
      </c>
      <c r="U14" s="2">
        <v>2.0</v>
      </c>
      <c r="V14" s="2">
        <v>50.0</v>
      </c>
      <c r="W14" s="2">
        <v>2.0</v>
      </c>
      <c r="X14" s="2">
        <v>50.0</v>
      </c>
      <c r="Y14" s="2">
        <v>2.0</v>
      </c>
      <c r="Z14" s="2">
        <v>50.0</v>
      </c>
      <c r="AA14" s="2">
        <v>2.0</v>
      </c>
      <c r="AB14" s="2">
        <v>50.0</v>
      </c>
      <c r="AC14" s="2">
        <v>0.0</v>
      </c>
      <c r="AD14" s="2">
        <v>0.0</v>
      </c>
      <c r="AE14" s="2">
        <v>0.0</v>
      </c>
      <c r="AF14" s="2">
        <v>0.0</v>
      </c>
      <c r="AG14" s="2">
        <v>0.0</v>
      </c>
      <c r="AH14" s="2">
        <v>0.0</v>
      </c>
      <c r="AI14" s="2">
        <v>1.0</v>
      </c>
      <c r="AJ14" s="2">
        <v>25.0</v>
      </c>
      <c r="AK14" s="2">
        <v>0.0</v>
      </c>
      <c r="AL14" s="2">
        <v>0.0</v>
      </c>
      <c r="AM14" s="2">
        <v>3.0</v>
      </c>
      <c r="AN14" s="2">
        <v>75.0</v>
      </c>
      <c r="AO14" s="2">
        <v>3.0</v>
      </c>
      <c r="AP14" s="2">
        <v>75.0</v>
      </c>
      <c r="AQ14" s="2">
        <v>3.0</v>
      </c>
      <c r="AR14" s="2">
        <v>75.0</v>
      </c>
      <c r="AS14" s="2">
        <v>5.0</v>
      </c>
      <c r="AT14" s="2">
        <v>-75.0</v>
      </c>
      <c r="AU14" s="2">
        <v>5.0</v>
      </c>
      <c r="AV14" s="2">
        <v>-75.0</v>
      </c>
      <c r="AW14" s="2">
        <v>1.0</v>
      </c>
      <c r="AX14" s="2">
        <v>25.0</v>
      </c>
      <c r="AY14" s="2">
        <v>1.0</v>
      </c>
      <c r="AZ14" s="2">
        <v>25.0</v>
      </c>
      <c r="BA14" s="2">
        <v>6.0</v>
      </c>
      <c r="BB14" s="2">
        <v>150.0</v>
      </c>
      <c r="BC14" s="2">
        <v>6.0</v>
      </c>
      <c r="BD14" s="2">
        <v>150.0</v>
      </c>
      <c r="BE14" s="2">
        <v>0.0</v>
      </c>
      <c r="BF14" s="2">
        <v>0.0</v>
      </c>
      <c r="BG14" s="2">
        <v>0.0</v>
      </c>
      <c r="BH14" s="2">
        <v>0.0</v>
      </c>
      <c r="BI14" s="2">
        <v>0.0</v>
      </c>
      <c r="BJ14" s="2">
        <v>0.0</v>
      </c>
      <c r="BK14" s="2">
        <v>0.0</v>
      </c>
      <c r="BL14" s="2">
        <v>0.0</v>
      </c>
      <c r="BM14" s="2">
        <v>1.0</v>
      </c>
      <c r="BN14" s="2">
        <v>25.0</v>
      </c>
    </row>
    <row r="15">
      <c r="A15" s="2" t="s">
        <v>407</v>
      </c>
      <c r="B15" s="2">
        <v>5.0</v>
      </c>
      <c r="C15" s="2">
        <v>500.0</v>
      </c>
      <c r="D15" s="2">
        <v>100.0</v>
      </c>
      <c r="E15" s="2">
        <v>0.0</v>
      </c>
      <c r="F15" s="2">
        <v>0.0</v>
      </c>
      <c r="G15" s="2">
        <v>0.0</v>
      </c>
      <c r="H15" s="2">
        <v>0.0</v>
      </c>
      <c r="I15" s="2">
        <v>0.0</v>
      </c>
      <c r="J15" s="2">
        <v>0.0</v>
      </c>
      <c r="K15" s="2">
        <v>0.0</v>
      </c>
      <c r="L15" s="2">
        <v>0.0</v>
      </c>
      <c r="M15" s="2">
        <v>0.0</v>
      </c>
      <c r="N15" s="2">
        <v>0.0</v>
      </c>
      <c r="O15" s="2">
        <v>0.0</v>
      </c>
      <c r="P15" s="2">
        <v>0.0</v>
      </c>
      <c r="Q15" s="2">
        <v>0.0</v>
      </c>
      <c r="R15" s="2">
        <v>0.0</v>
      </c>
      <c r="S15" s="2">
        <v>0.0</v>
      </c>
      <c r="T15" s="2">
        <v>0.0</v>
      </c>
      <c r="U15" s="2">
        <v>0.0</v>
      </c>
      <c r="V15" s="2">
        <v>0.0</v>
      </c>
      <c r="W15" s="2">
        <v>0.0</v>
      </c>
      <c r="X15" s="2">
        <v>0.0</v>
      </c>
      <c r="Y15" s="2">
        <v>0.0</v>
      </c>
      <c r="Z15" s="2">
        <v>0.0</v>
      </c>
      <c r="AA15" s="2">
        <v>0.0</v>
      </c>
      <c r="AB15" s="2">
        <v>0.0</v>
      </c>
      <c r="AC15" s="2">
        <v>0.0</v>
      </c>
      <c r="AD15" s="2">
        <v>0.0</v>
      </c>
      <c r="AE15" s="2">
        <v>0.0</v>
      </c>
      <c r="AF15" s="2">
        <v>0.0</v>
      </c>
      <c r="AG15" s="2">
        <v>0.0</v>
      </c>
      <c r="AH15" s="2">
        <v>0.0</v>
      </c>
      <c r="AI15" s="2">
        <v>0.0</v>
      </c>
      <c r="AJ15" s="2">
        <v>0.0</v>
      </c>
      <c r="AK15" s="2">
        <v>0.0</v>
      </c>
      <c r="AL15" s="2">
        <v>0.0</v>
      </c>
      <c r="AM15" s="2">
        <v>0.0</v>
      </c>
      <c r="AN15" s="2">
        <v>0.0</v>
      </c>
      <c r="AO15" s="2">
        <v>0.0</v>
      </c>
      <c r="AP15" s="2">
        <v>0.0</v>
      </c>
      <c r="AQ15" s="2">
        <v>0.0</v>
      </c>
      <c r="AR15" s="2">
        <v>0.0</v>
      </c>
      <c r="AS15" s="2">
        <v>0.0</v>
      </c>
      <c r="AT15" s="2">
        <v>0.0</v>
      </c>
      <c r="AU15" s="2">
        <v>0.0</v>
      </c>
      <c r="AV15" s="2">
        <v>0.0</v>
      </c>
      <c r="AW15" s="2">
        <v>0.0</v>
      </c>
      <c r="AX15" s="2">
        <v>0.0</v>
      </c>
      <c r="AY15" s="2">
        <v>0.0</v>
      </c>
      <c r="AZ15" s="2">
        <v>0.0</v>
      </c>
      <c r="BA15" s="2">
        <v>1.0</v>
      </c>
      <c r="BB15" s="2">
        <v>100.0</v>
      </c>
      <c r="BC15" s="2">
        <v>1.0</v>
      </c>
      <c r="BD15" s="2">
        <v>100.0</v>
      </c>
      <c r="BE15" s="2">
        <v>1.0</v>
      </c>
      <c r="BF15" s="2">
        <v>100.0</v>
      </c>
      <c r="BG15" s="2">
        <v>1.0</v>
      </c>
      <c r="BH15" s="2">
        <v>100.0</v>
      </c>
      <c r="BI15" s="2">
        <v>1.0</v>
      </c>
      <c r="BJ15" s="2">
        <v>100.0</v>
      </c>
      <c r="BK15" s="2">
        <v>0.0</v>
      </c>
      <c r="BL15" s="2">
        <v>0.0</v>
      </c>
      <c r="BM15" s="2">
        <v>0.0</v>
      </c>
      <c r="BN15" s="2">
        <v>0.0</v>
      </c>
    </row>
    <row r="16">
      <c r="A16" s="2" t="s">
        <v>453</v>
      </c>
      <c r="B16" s="2">
        <v>800.0</v>
      </c>
      <c r="C16" s="2">
        <v>-47260.84</v>
      </c>
      <c r="D16" s="2">
        <v>-59.08</v>
      </c>
      <c r="E16" s="2">
        <v>79.0</v>
      </c>
      <c r="F16" s="2">
        <v>-4719.46</v>
      </c>
      <c r="G16" s="2">
        <v>9.0</v>
      </c>
      <c r="H16" s="2">
        <v>-537.66</v>
      </c>
      <c r="I16" s="2">
        <v>2.0</v>
      </c>
      <c r="J16" s="2">
        <v>-119.48</v>
      </c>
      <c r="K16" s="2">
        <v>4.0</v>
      </c>
      <c r="L16" s="2">
        <v>-238.96</v>
      </c>
      <c r="M16" s="2">
        <v>3.0</v>
      </c>
      <c r="N16" s="2">
        <v>-179.22</v>
      </c>
      <c r="O16" s="2">
        <v>24.0</v>
      </c>
      <c r="P16" s="2">
        <v>-1433.76</v>
      </c>
      <c r="Q16" s="2">
        <v>44.0</v>
      </c>
      <c r="R16" s="2">
        <v>-2628.56</v>
      </c>
      <c r="S16" s="2">
        <v>52.0</v>
      </c>
      <c r="T16" s="2">
        <v>-3106.48</v>
      </c>
      <c r="U16" s="2">
        <v>38.0</v>
      </c>
      <c r="V16" s="2">
        <v>-2270.12</v>
      </c>
      <c r="W16" s="2">
        <v>4.0</v>
      </c>
      <c r="X16" s="2">
        <v>-238.96</v>
      </c>
      <c r="Y16" s="2">
        <v>1.0</v>
      </c>
      <c r="Z16" s="2">
        <v>-59.74</v>
      </c>
      <c r="AA16" s="2">
        <v>1.0</v>
      </c>
      <c r="AB16" s="2">
        <v>-59.74</v>
      </c>
      <c r="AC16" s="2">
        <v>50.0</v>
      </c>
      <c r="AD16" s="2">
        <v>-2987.0</v>
      </c>
      <c r="AE16" s="2">
        <v>62.0</v>
      </c>
      <c r="AF16" s="2">
        <v>-3703.88</v>
      </c>
      <c r="AG16" s="2">
        <v>48.0</v>
      </c>
      <c r="AH16" s="2">
        <v>-2867.52</v>
      </c>
      <c r="AI16" s="2">
        <v>40.0</v>
      </c>
      <c r="AJ16" s="2">
        <v>-2389.6</v>
      </c>
      <c r="AK16" s="2">
        <v>21.0</v>
      </c>
      <c r="AL16" s="2">
        <v>-1254.54</v>
      </c>
      <c r="AM16" s="2">
        <v>3.0</v>
      </c>
      <c r="AN16" s="2">
        <v>-179.22</v>
      </c>
      <c r="AO16" s="2">
        <v>23.0</v>
      </c>
      <c r="AP16" s="2">
        <v>-1276.46</v>
      </c>
      <c r="AQ16" s="2">
        <v>20.0</v>
      </c>
      <c r="AR16" s="2">
        <v>-1097.24</v>
      </c>
      <c r="AS16" s="2">
        <v>18.0</v>
      </c>
      <c r="AT16" s="2">
        <v>-977.76</v>
      </c>
      <c r="AU16" s="2">
        <v>20.0</v>
      </c>
      <c r="AV16" s="2">
        <v>-1118.92</v>
      </c>
      <c r="AW16" s="2">
        <v>28.0</v>
      </c>
      <c r="AX16" s="2">
        <v>-1596.84</v>
      </c>
      <c r="AY16" s="2">
        <v>31.0</v>
      </c>
      <c r="AZ16" s="2">
        <v>-1776.06</v>
      </c>
      <c r="BA16" s="2">
        <v>9.0</v>
      </c>
      <c r="BB16" s="2">
        <v>-526.82</v>
      </c>
      <c r="BC16" s="2">
        <v>8.0</v>
      </c>
      <c r="BD16" s="2">
        <v>-477.92</v>
      </c>
      <c r="BE16" s="2">
        <v>48.0</v>
      </c>
      <c r="BF16" s="2">
        <v>-2867.52</v>
      </c>
      <c r="BG16" s="2">
        <v>46.0</v>
      </c>
      <c r="BH16" s="2">
        <v>-2748.04</v>
      </c>
      <c r="BI16" s="2">
        <v>5.0</v>
      </c>
      <c r="BJ16" s="2">
        <v>-298.7</v>
      </c>
      <c r="BK16" s="2">
        <v>0.0</v>
      </c>
      <c r="BL16" s="2">
        <v>0.0</v>
      </c>
      <c r="BM16" s="2">
        <v>59.0</v>
      </c>
      <c r="BN16" s="2">
        <v>-3524.66</v>
      </c>
    </row>
    <row r="17">
      <c r="A17" s="2"/>
      <c r="B17" s="62"/>
      <c r="C17" s="2"/>
      <c r="D17" s="2"/>
      <c r="E17" s="2"/>
      <c r="F17" s="2"/>
      <c r="G17" s="2"/>
      <c r="H17" s="60"/>
      <c r="I17" s="60"/>
      <c r="J17" s="2"/>
      <c r="K17" s="2"/>
      <c r="L17" s="2"/>
      <c r="M17" s="2"/>
      <c r="N17" s="2"/>
      <c r="O17" s="2"/>
      <c r="P17" s="2"/>
      <c r="Q17" s="2"/>
      <c r="R17" s="6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row>
    <row r="18">
      <c r="A18" s="2"/>
      <c r="B18" s="62"/>
      <c r="C18" s="2"/>
      <c r="D18" s="2"/>
      <c r="E18" s="2"/>
      <c r="F18" s="2"/>
      <c r="G18" s="2"/>
      <c r="H18" s="60"/>
      <c r="I18" s="60"/>
      <c r="J18" s="2"/>
      <c r="K18" s="2"/>
      <c r="L18" s="2"/>
      <c r="M18" s="2"/>
      <c r="N18" s="2"/>
      <c r="O18" s="2"/>
      <c r="Q18" s="2"/>
      <c r="R18" s="62"/>
    </row>
    <row r="19">
      <c r="A19" s="2"/>
      <c r="B19" s="62"/>
      <c r="C19" s="2"/>
      <c r="D19" s="2"/>
      <c r="E19" s="2"/>
      <c r="F19" s="2"/>
      <c r="G19" s="2"/>
      <c r="H19" s="60"/>
      <c r="I19" s="60"/>
      <c r="J19" s="2"/>
      <c r="K19" s="2"/>
      <c r="L19" s="2"/>
      <c r="M19" s="2"/>
      <c r="N19" s="2"/>
      <c r="O19" s="2"/>
      <c r="P19" s="2"/>
      <c r="Q19" s="2"/>
      <c r="R19" s="62"/>
    </row>
    <row r="20">
      <c r="A20" s="2"/>
      <c r="B20" s="62"/>
      <c r="C20" s="2"/>
      <c r="D20" s="2"/>
      <c r="E20" s="2"/>
      <c r="F20" s="2"/>
      <c r="G20" s="2"/>
      <c r="H20" s="60"/>
      <c r="I20" s="60"/>
      <c r="J20" s="2"/>
      <c r="K20" s="2"/>
      <c r="L20" s="2"/>
      <c r="M20" s="2"/>
      <c r="N20" s="2"/>
      <c r="O20" s="2"/>
      <c r="P20" s="2"/>
      <c r="Q20" s="2"/>
      <c r="R20" s="62"/>
    </row>
    <row r="21">
      <c r="A21" s="2"/>
      <c r="B21" s="62"/>
      <c r="C21" s="2"/>
      <c r="D21" s="2"/>
      <c r="E21" s="2"/>
      <c r="F21" s="2"/>
      <c r="G21" s="2"/>
      <c r="H21" s="60"/>
      <c r="I21" s="60"/>
      <c r="J21" s="2"/>
      <c r="K21" s="2"/>
      <c r="L21" s="2"/>
      <c r="M21" s="2"/>
      <c r="N21" s="2"/>
      <c r="O21" s="2"/>
      <c r="P21" s="2"/>
      <c r="Q21" s="2"/>
      <c r="R21" s="62"/>
    </row>
    <row r="22">
      <c r="A22" s="2"/>
      <c r="B22" s="62"/>
      <c r="C22" s="2"/>
      <c r="D22" s="2"/>
      <c r="E22" s="2"/>
      <c r="F22" s="2"/>
      <c r="G22" s="2"/>
      <c r="H22" s="60"/>
      <c r="I22" s="60"/>
      <c r="J22" s="2"/>
      <c r="K22" s="2"/>
      <c r="L22" s="2"/>
      <c r="M22" s="2"/>
      <c r="N22" s="2"/>
      <c r="O22" s="2"/>
      <c r="Q22" s="2"/>
      <c r="R22" s="62"/>
    </row>
    <row r="23">
      <c r="A23" s="2"/>
      <c r="B23" s="62"/>
      <c r="C23" s="2"/>
      <c r="D23" s="2"/>
      <c r="E23" s="2"/>
      <c r="F23" s="2"/>
      <c r="G23" s="2"/>
      <c r="H23" s="60"/>
      <c r="I23" s="60"/>
      <c r="J23" s="2"/>
      <c r="K23" s="2"/>
      <c r="L23" s="2"/>
      <c r="M23" s="2"/>
      <c r="N23" s="2"/>
      <c r="O23" s="2"/>
      <c r="Q23" s="2"/>
      <c r="R23" s="62"/>
    </row>
    <row r="24">
      <c r="A24" s="2"/>
      <c r="B24" s="62"/>
      <c r="C24" s="2"/>
      <c r="D24" s="2"/>
      <c r="E24" s="2"/>
      <c r="F24" s="2"/>
      <c r="G24" s="2"/>
      <c r="H24" s="60"/>
      <c r="I24" s="60"/>
      <c r="J24" s="2"/>
      <c r="K24" s="2"/>
      <c r="L24" s="2"/>
      <c r="M24" s="2"/>
      <c r="N24" s="2"/>
      <c r="O24" s="2"/>
      <c r="P24" s="2"/>
      <c r="Q24" s="2"/>
      <c r="R24" s="62"/>
    </row>
    <row r="25">
      <c r="A25" s="2"/>
      <c r="B25" s="62"/>
      <c r="C25" s="2"/>
      <c r="D25" s="2"/>
      <c r="E25" s="2"/>
      <c r="F25" s="2"/>
      <c r="G25" s="2"/>
      <c r="H25" s="60"/>
      <c r="I25" s="60"/>
      <c r="J25" s="2"/>
      <c r="K25" s="2"/>
      <c r="L25" s="2"/>
      <c r="M25" s="2"/>
      <c r="N25" s="2"/>
      <c r="O25" s="2"/>
      <c r="Q25" s="2"/>
      <c r="R25" s="62"/>
    </row>
    <row r="26">
      <c r="A26" s="2"/>
      <c r="B26" s="62"/>
      <c r="C26" s="2"/>
      <c r="D26" s="2"/>
      <c r="E26" s="2"/>
      <c r="F26" s="2"/>
      <c r="G26" s="2"/>
      <c r="H26" s="60"/>
      <c r="I26" s="60"/>
      <c r="J26" s="2"/>
      <c r="K26" s="2"/>
      <c r="L26" s="2"/>
      <c r="M26" s="2"/>
      <c r="N26" s="2"/>
      <c r="O26" s="2"/>
      <c r="P26" s="2"/>
      <c r="Q26" s="2"/>
      <c r="R26" s="62"/>
    </row>
    <row r="27">
      <c r="A27" s="2"/>
      <c r="B27" s="62"/>
      <c r="C27" s="2"/>
      <c r="D27" s="2"/>
      <c r="E27" s="2"/>
      <c r="F27" s="2"/>
      <c r="G27" s="2"/>
      <c r="H27" s="60"/>
      <c r="I27" s="60"/>
      <c r="J27" s="2"/>
      <c r="K27" s="2"/>
      <c r="L27" s="2"/>
      <c r="M27" s="2"/>
      <c r="N27" s="2"/>
      <c r="O27" s="2"/>
      <c r="Q27" s="2"/>
      <c r="R27" s="62"/>
    </row>
    <row r="28">
      <c r="A28" s="2"/>
      <c r="B28" s="62"/>
      <c r="C28" s="2"/>
      <c r="D28" s="2"/>
      <c r="E28" s="2"/>
      <c r="F28" s="2"/>
      <c r="G28" s="2"/>
      <c r="H28" s="60"/>
      <c r="I28" s="60"/>
      <c r="J28" s="2"/>
      <c r="K28" s="2"/>
      <c r="L28" s="2"/>
      <c r="M28" s="2"/>
      <c r="N28" s="2"/>
      <c r="O28" s="2"/>
      <c r="P28" s="2"/>
      <c r="Q28" s="2"/>
      <c r="R28" s="62"/>
    </row>
    <row r="29">
      <c r="A29" s="2"/>
      <c r="B29" s="62"/>
      <c r="C29" s="2"/>
      <c r="D29" s="2"/>
      <c r="E29" s="2"/>
      <c r="F29" s="2"/>
      <c r="G29" s="2"/>
      <c r="H29" s="60"/>
      <c r="I29" s="60"/>
      <c r="J29" s="2"/>
      <c r="K29" s="2"/>
      <c r="L29" s="2"/>
      <c r="M29" s="2"/>
      <c r="N29" s="2"/>
      <c r="O29" s="2"/>
      <c r="Q29" s="2"/>
      <c r="R29" s="62"/>
    </row>
    <row r="30">
      <c r="A30" s="2"/>
      <c r="B30" s="62"/>
      <c r="C30" s="2"/>
      <c r="D30" s="2"/>
      <c r="E30" s="2"/>
      <c r="F30" s="2"/>
      <c r="G30" s="2"/>
      <c r="H30" s="60"/>
      <c r="I30" s="60"/>
      <c r="J30" s="2"/>
      <c r="K30" s="2"/>
      <c r="L30" s="2"/>
      <c r="M30" s="2"/>
      <c r="N30" s="2"/>
      <c r="O30" s="2"/>
      <c r="P30" s="2"/>
      <c r="Q30" s="2"/>
      <c r="R30" s="62"/>
    </row>
    <row r="31">
      <c r="A31" s="2"/>
      <c r="B31" s="62"/>
      <c r="C31" s="2"/>
      <c r="D31" s="2"/>
      <c r="E31" s="2"/>
      <c r="F31" s="2"/>
      <c r="G31" s="2"/>
      <c r="H31" s="60"/>
      <c r="I31" s="60"/>
      <c r="J31" s="2"/>
      <c r="K31" s="2"/>
      <c r="L31" s="2"/>
      <c r="M31" s="2"/>
      <c r="N31" s="2"/>
      <c r="O31" s="2"/>
      <c r="Q31" s="2"/>
      <c r="R31" s="62"/>
    </row>
    <row r="32">
      <c r="A32" s="2"/>
      <c r="B32" s="62"/>
      <c r="C32" s="2"/>
      <c r="D32" s="2"/>
      <c r="E32" s="2"/>
      <c r="F32" s="2"/>
      <c r="G32" s="2"/>
      <c r="H32" s="60"/>
      <c r="I32" s="60"/>
      <c r="J32" s="2"/>
      <c r="K32" s="2"/>
      <c r="L32" s="2"/>
      <c r="M32" s="2"/>
      <c r="N32" s="2"/>
      <c r="O32" s="2"/>
      <c r="Q32" s="2"/>
      <c r="R32" s="62"/>
    </row>
    <row r="33">
      <c r="A33" s="2"/>
      <c r="B33" s="62"/>
      <c r="C33" s="2"/>
      <c r="D33" s="2"/>
      <c r="E33" s="2"/>
      <c r="F33" s="2"/>
      <c r="G33" s="2"/>
      <c r="H33" s="60"/>
      <c r="I33" s="60"/>
      <c r="J33" s="2"/>
      <c r="K33" s="2"/>
      <c r="L33" s="2"/>
      <c r="M33" s="2"/>
      <c r="N33" s="2"/>
      <c r="O33" s="2"/>
      <c r="Q33" s="2"/>
      <c r="R33" s="62"/>
    </row>
    <row r="34">
      <c r="A34" s="2"/>
      <c r="B34" s="62"/>
      <c r="C34" s="2"/>
      <c r="D34" s="2"/>
      <c r="E34" s="2"/>
      <c r="F34" s="2"/>
      <c r="G34" s="2"/>
      <c r="H34" s="60"/>
      <c r="I34" s="60"/>
      <c r="J34" s="2"/>
      <c r="K34" s="2"/>
      <c r="L34" s="2"/>
      <c r="M34" s="2"/>
      <c r="N34" s="2"/>
      <c r="O34" s="2"/>
      <c r="Q34" s="2"/>
      <c r="R34" s="62"/>
    </row>
    <row r="35">
      <c r="A35" s="2"/>
      <c r="B35" s="62"/>
      <c r="C35" s="2"/>
      <c r="D35" s="2"/>
      <c r="E35" s="2"/>
      <c r="F35" s="2"/>
      <c r="G35" s="2"/>
      <c r="H35" s="60"/>
      <c r="I35" s="60"/>
      <c r="J35" s="2"/>
      <c r="K35" s="2"/>
      <c r="L35" s="2"/>
      <c r="M35" s="2"/>
      <c r="N35" s="2"/>
      <c r="O35" s="2"/>
      <c r="P35" s="2"/>
      <c r="Q35" s="2"/>
      <c r="R35" s="62"/>
    </row>
    <row r="36">
      <c r="A36" s="2"/>
      <c r="B36" s="62"/>
      <c r="C36" s="2"/>
      <c r="D36" s="2"/>
      <c r="E36" s="2"/>
      <c r="F36" s="2"/>
      <c r="G36" s="2"/>
      <c r="H36" s="60"/>
      <c r="I36" s="60"/>
      <c r="J36" s="2"/>
      <c r="K36" s="2"/>
      <c r="L36" s="2"/>
      <c r="M36" s="2"/>
      <c r="N36" s="2"/>
      <c r="O36" s="2"/>
      <c r="P36" s="2"/>
      <c r="Q36" s="2"/>
      <c r="R36" s="62"/>
    </row>
    <row r="37">
      <c r="A37" s="2"/>
      <c r="B37" s="62"/>
      <c r="C37" s="2"/>
      <c r="D37" s="2"/>
      <c r="E37" s="2"/>
      <c r="F37" s="2"/>
      <c r="G37" s="2"/>
      <c r="H37" s="60"/>
      <c r="I37" s="60"/>
      <c r="J37" s="2"/>
      <c r="K37" s="2"/>
      <c r="L37" s="2"/>
      <c r="M37" s="2"/>
      <c r="N37" s="2"/>
      <c r="O37" s="2"/>
      <c r="Q37" s="2"/>
      <c r="R37" s="62"/>
    </row>
    <row r="38">
      <c r="A38" s="2"/>
      <c r="B38" s="62"/>
      <c r="C38" s="2"/>
      <c r="D38" s="2"/>
      <c r="E38" s="2"/>
      <c r="F38" s="2"/>
      <c r="G38" s="2"/>
      <c r="H38" s="60"/>
      <c r="I38" s="60"/>
      <c r="J38" s="2"/>
      <c r="K38" s="2"/>
      <c r="L38" s="2"/>
      <c r="M38" s="2"/>
      <c r="N38" s="2"/>
      <c r="O38" s="2"/>
      <c r="Q38" s="2"/>
      <c r="R38" s="62"/>
    </row>
    <row r="39">
      <c r="A39" s="2"/>
      <c r="B39" s="62"/>
      <c r="C39" s="2"/>
      <c r="D39" s="2"/>
      <c r="E39" s="2"/>
      <c r="F39" s="2"/>
      <c r="G39" s="2"/>
      <c r="H39" s="60"/>
      <c r="I39" s="60"/>
      <c r="J39" s="2"/>
      <c r="K39" s="2"/>
      <c r="L39" s="2"/>
      <c r="M39" s="2"/>
      <c r="N39" s="2"/>
      <c r="O39" s="2"/>
      <c r="Q39" s="2"/>
      <c r="R39" s="62"/>
    </row>
    <row r="40">
      <c r="A40" s="2"/>
      <c r="B40" s="62"/>
      <c r="C40" s="2"/>
      <c r="D40" s="2"/>
      <c r="E40" s="2"/>
      <c r="F40" s="2"/>
      <c r="G40" s="2"/>
      <c r="H40" s="60"/>
      <c r="I40" s="60"/>
      <c r="J40" s="2"/>
      <c r="K40" s="2"/>
      <c r="L40" s="2"/>
      <c r="M40" s="2"/>
      <c r="N40" s="2"/>
      <c r="O40" s="2"/>
      <c r="Q40" s="2"/>
      <c r="R40" s="62"/>
    </row>
    <row r="41">
      <c r="A41" s="2"/>
      <c r="B41" s="62"/>
      <c r="C41" s="2"/>
      <c r="D41" s="2"/>
      <c r="E41" s="2"/>
      <c r="F41" s="2"/>
      <c r="G41" s="2"/>
      <c r="H41" s="60"/>
      <c r="I41" s="60"/>
      <c r="J41" s="2"/>
      <c r="K41" s="2"/>
      <c r="L41" s="2"/>
      <c r="M41" s="2"/>
      <c r="N41" s="2"/>
      <c r="O41" s="2"/>
      <c r="P41" s="2"/>
      <c r="Q41" s="2"/>
      <c r="R41" s="62"/>
    </row>
    <row r="42">
      <c r="A42" s="2"/>
      <c r="B42" s="62"/>
      <c r="C42" s="2"/>
      <c r="D42" s="2"/>
      <c r="E42" s="2"/>
      <c r="F42" s="2"/>
      <c r="G42" s="2"/>
      <c r="H42" s="60"/>
      <c r="I42" s="60"/>
      <c r="J42" s="2"/>
      <c r="K42" s="2"/>
      <c r="L42" s="2"/>
      <c r="M42" s="2"/>
      <c r="N42" s="2"/>
      <c r="O42" s="2"/>
      <c r="Q42" s="2"/>
      <c r="R42" s="62"/>
    </row>
    <row r="43">
      <c r="A43" s="2"/>
      <c r="B43" s="62"/>
      <c r="C43" s="2"/>
      <c r="D43" s="2"/>
      <c r="E43" s="2"/>
      <c r="F43" s="2"/>
      <c r="G43" s="2"/>
      <c r="H43" s="60"/>
      <c r="I43" s="60"/>
      <c r="J43" s="2"/>
      <c r="K43" s="2"/>
      <c r="L43" s="2"/>
      <c r="M43" s="2"/>
      <c r="N43" s="2"/>
      <c r="O43" s="2"/>
      <c r="P43" s="2"/>
      <c r="Q43" s="2"/>
      <c r="R43" s="62"/>
    </row>
    <row r="44">
      <c r="A44" s="2"/>
      <c r="B44" s="62"/>
      <c r="C44" s="2"/>
      <c r="D44" s="2"/>
      <c r="E44" s="2"/>
      <c r="F44" s="2"/>
      <c r="G44" s="2"/>
      <c r="H44" s="60"/>
      <c r="I44" s="60"/>
      <c r="J44" s="2"/>
      <c r="K44" s="2"/>
      <c r="L44" s="2"/>
      <c r="M44" s="2"/>
      <c r="N44" s="2"/>
      <c r="O44" s="2"/>
      <c r="P44" s="2"/>
      <c r="Q44" s="2"/>
      <c r="R44" s="62"/>
    </row>
    <row r="45">
      <c r="A45" s="2"/>
      <c r="B45" s="62"/>
      <c r="C45" s="2"/>
      <c r="D45" s="2"/>
      <c r="E45" s="2"/>
      <c r="F45" s="2"/>
      <c r="G45" s="2"/>
      <c r="H45" s="60"/>
      <c r="I45" s="60"/>
      <c r="J45" s="2"/>
      <c r="K45" s="2"/>
      <c r="L45" s="2"/>
      <c r="M45" s="2"/>
      <c r="N45" s="2"/>
      <c r="O45" s="2"/>
      <c r="Q45" s="2"/>
      <c r="R45" s="62"/>
    </row>
    <row r="46">
      <c r="A46" s="2"/>
      <c r="B46" s="62"/>
      <c r="C46" s="2"/>
      <c r="D46" s="2"/>
      <c r="E46" s="2"/>
      <c r="F46" s="2"/>
      <c r="G46" s="2"/>
      <c r="H46" s="60"/>
      <c r="I46" s="60"/>
      <c r="J46" s="2"/>
      <c r="K46" s="2"/>
      <c r="L46" s="2"/>
      <c r="M46" s="2"/>
      <c r="N46" s="2"/>
      <c r="O46" s="2"/>
      <c r="P46" s="2"/>
      <c r="Q46" s="2"/>
      <c r="R46" s="62"/>
    </row>
    <row r="47">
      <c r="A47" s="2"/>
      <c r="B47" s="62"/>
      <c r="C47" s="2"/>
      <c r="D47" s="2"/>
      <c r="E47" s="2"/>
      <c r="F47" s="2"/>
      <c r="G47" s="2"/>
      <c r="H47" s="60"/>
      <c r="I47" s="60"/>
      <c r="J47" s="2"/>
      <c r="K47" s="2"/>
      <c r="L47" s="2"/>
      <c r="M47" s="2"/>
      <c r="N47" s="2"/>
      <c r="O47" s="2"/>
      <c r="P47" s="2"/>
      <c r="Q47" s="2"/>
      <c r="R47" s="62"/>
    </row>
    <row r="48">
      <c r="A48" s="2"/>
      <c r="B48" s="62"/>
      <c r="C48" s="2"/>
      <c r="D48" s="2"/>
      <c r="E48" s="2"/>
      <c r="F48" s="2"/>
      <c r="G48" s="2"/>
      <c r="H48" s="60"/>
      <c r="I48" s="60"/>
      <c r="J48" s="2"/>
      <c r="K48" s="2"/>
      <c r="L48" s="2"/>
      <c r="M48" s="2"/>
      <c r="N48" s="2"/>
      <c r="O48" s="2"/>
      <c r="Q48" s="2"/>
      <c r="R48" s="62"/>
    </row>
    <row r="49">
      <c r="A49" s="2"/>
      <c r="B49" s="62"/>
      <c r="C49" s="2"/>
      <c r="D49" s="2"/>
      <c r="E49" s="2"/>
      <c r="F49" s="2"/>
      <c r="G49" s="2"/>
      <c r="H49" s="60"/>
      <c r="I49" s="60"/>
      <c r="J49" s="2"/>
      <c r="K49" s="2"/>
      <c r="L49" s="2"/>
      <c r="M49" s="2"/>
      <c r="N49" s="2"/>
      <c r="O49" s="2"/>
      <c r="P49" s="2"/>
      <c r="Q49" s="2"/>
      <c r="R49" s="62"/>
    </row>
    <row r="50">
      <c r="A50" s="2"/>
      <c r="B50" s="62"/>
      <c r="C50" s="2"/>
      <c r="D50" s="2"/>
      <c r="E50" s="2"/>
      <c r="F50" s="2"/>
      <c r="G50" s="2"/>
      <c r="H50" s="60"/>
      <c r="I50" s="60"/>
      <c r="J50" s="2"/>
      <c r="K50" s="2"/>
      <c r="L50" s="2"/>
      <c r="M50" s="2"/>
      <c r="N50" s="2"/>
      <c r="O50" s="2"/>
      <c r="Q50" s="2"/>
      <c r="R50" s="62"/>
    </row>
    <row r="51">
      <c r="A51" s="2"/>
      <c r="B51" s="62"/>
      <c r="C51" s="2"/>
      <c r="D51" s="2"/>
      <c r="E51" s="2"/>
      <c r="F51" s="2"/>
      <c r="G51" s="2"/>
      <c r="H51" s="60"/>
      <c r="I51" s="60"/>
      <c r="J51" s="2"/>
      <c r="K51" s="2"/>
      <c r="L51" s="2"/>
      <c r="M51" s="2"/>
      <c r="N51" s="2"/>
      <c r="O51" s="2"/>
      <c r="Q51" s="2"/>
      <c r="R51" s="62"/>
    </row>
    <row r="52">
      <c r="A52" s="2"/>
      <c r="B52" s="62"/>
      <c r="C52" s="2"/>
      <c r="D52" s="2"/>
      <c r="E52" s="2"/>
      <c r="F52" s="2"/>
      <c r="G52" s="2"/>
      <c r="H52" s="60"/>
      <c r="I52" s="60"/>
      <c r="J52" s="2"/>
      <c r="K52" s="2"/>
      <c r="L52" s="2"/>
      <c r="M52" s="2"/>
      <c r="N52" s="2"/>
      <c r="O52" s="2"/>
      <c r="P52" s="2"/>
      <c r="Q52" s="2"/>
      <c r="R52" s="62"/>
    </row>
    <row r="53">
      <c r="A53" s="2"/>
      <c r="B53" s="62"/>
      <c r="C53" s="2"/>
      <c r="D53" s="2"/>
      <c r="E53" s="2"/>
      <c r="F53" s="2"/>
      <c r="G53" s="2"/>
      <c r="H53" s="60"/>
      <c r="I53" s="60"/>
      <c r="J53" s="2"/>
      <c r="K53" s="2"/>
      <c r="L53" s="2"/>
      <c r="M53" s="2"/>
      <c r="N53" s="2"/>
      <c r="O53" s="2"/>
      <c r="Q53" s="2"/>
      <c r="R53" s="62"/>
    </row>
    <row r="54">
      <c r="A54" s="2"/>
      <c r="B54" s="62"/>
      <c r="C54" s="2"/>
      <c r="D54" s="2"/>
      <c r="E54" s="2"/>
      <c r="F54" s="2"/>
      <c r="G54" s="2"/>
      <c r="H54" s="60"/>
      <c r="I54" s="60"/>
      <c r="J54" s="2"/>
      <c r="K54" s="2"/>
      <c r="L54" s="2"/>
      <c r="M54" s="2"/>
      <c r="N54" s="2"/>
      <c r="O54" s="2"/>
      <c r="P54" s="2"/>
      <c r="Q54" s="2"/>
      <c r="R54" s="62"/>
    </row>
    <row r="55">
      <c r="A55" s="2"/>
      <c r="B55" s="62"/>
      <c r="C55" s="2"/>
      <c r="D55" s="2"/>
      <c r="E55" s="2"/>
      <c r="F55" s="2"/>
      <c r="G55" s="2"/>
      <c r="H55" s="60"/>
      <c r="I55" s="60"/>
      <c r="J55" s="2"/>
      <c r="K55" s="2"/>
      <c r="L55" s="2"/>
      <c r="M55" s="2"/>
      <c r="N55" s="2"/>
      <c r="O55" s="2"/>
      <c r="P55" s="2"/>
      <c r="Q55" s="2"/>
      <c r="R55" s="62"/>
    </row>
    <row r="56">
      <c r="A56" s="2"/>
      <c r="B56" s="62"/>
      <c r="C56" s="2"/>
      <c r="D56" s="2"/>
      <c r="E56" s="2"/>
      <c r="F56" s="2"/>
      <c r="G56" s="2"/>
      <c r="H56" s="60"/>
      <c r="I56" s="60"/>
      <c r="J56" s="2"/>
      <c r="K56" s="2"/>
      <c r="L56" s="2"/>
      <c r="M56" s="2"/>
      <c r="N56" s="2"/>
      <c r="O56" s="2"/>
      <c r="P56" s="2"/>
      <c r="Q56" s="2"/>
      <c r="R56" s="62"/>
    </row>
    <row r="57">
      <c r="A57" s="2"/>
      <c r="B57" s="62"/>
      <c r="C57" s="2"/>
      <c r="D57" s="2"/>
      <c r="E57" s="2"/>
      <c r="F57" s="2"/>
      <c r="G57" s="2"/>
      <c r="H57" s="60"/>
      <c r="I57" s="60"/>
      <c r="J57" s="2"/>
      <c r="K57" s="2"/>
      <c r="L57" s="2"/>
      <c r="M57" s="2"/>
      <c r="N57" s="2"/>
      <c r="O57" s="2"/>
      <c r="P57" s="2"/>
      <c r="Q57" s="2"/>
      <c r="R57" s="62"/>
    </row>
    <row r="58">
      <c r="A58" s="2"/>
      <c r="B58" s="62"/>
      <c r="C58" s="2"/>
      <c r="D58" s="2"/>
      <c r="E58" s="2"/>
      <c r="F58" s="2"/>
      <c r="G58" s="2"/>
      <c r="H58" s="60"/>
      <c r="I58" s="60"/>
      <c r="J58" s="2"/>
      <c r="K58" s="2"/>
      <c r="L58" s="2"/>
      <c r="M58" s="2"/>
      <c r="N58" s="2"/>
      <c r="O58" s="2"/>
      <c r="P58" s="2"/>
      <c r="Q58" s="2"/>
      <c r="R58" s="62"/>
    </row>
    <row r="59">
      <c r="A59" s="2"/>
      <c r="B59" s="62"/>
      <c r="C59" s="2"/>
      <c r="D59" s="2"/>
      <c r="E59" s="2"/>
      <c r="F59" s="2"/>
      <c r="G59" s="2"/>
      <c r="H59" s="60"/>
      <c r="I59" s="60"/>
      <c r="J59" s="2"/>
      <c r="K59" s="2"/>
      <c r="L59" s="2"/>
      <c r="M59" s="2"/>
      <c r="N59" s="2"/>
      <c r="O59" s="2"/>
      <c r="P59" s="2"/>
      <c r="Q59" s="2"/>
      <c r="R59" s="62"/>
    </row>
    <row r="60">
      <c r="A60" s="2"/>
      <c r="B60" s="62"/>
      <c r="C60" s="2"/>
      <c r="D60" s="2"/>
      <c r="E60" s="2"/>
      <c r="F60" s="2"/>
      <c r="G60" s="2"/>
      <c r="H60" s="60"/>
      <c r="I60" s="60"/>
      <c r="J60" s="2"/>
      <c r="K60" s="2"/>
      <c r="L60" s="2"/>
      <c r="M60" s="2"/>
      <c r="N60" s="2"/>
      <c r="O60" s="2"/>
      <c r="P60" s="2"/>
      <c r="Q60" s="2"/>
      <c r="R60" s="62"/>
    </row>
    <row r="61">
      <c r="A61" s="2"/>
      <c r="B61" s="62"/>
      <c r="C61" s="2"/>
      <c r="D61" s="2"/>
      <c r="E61" s="2"/>
      <c r="F61" s="2"/>
      <c r="G61" s="2"/>
      <c r="H61" s="60"/>
      <c r="I61" s="60"/>
      <c r="J61" s="2"/>
      <c r="K61" s="2"/>
      <c r="L61" s="2"/>
      <c r="M61" s="2"/>
      <c r="N61" s="2"/>
      <c r="O61" s="2"/>
      <c r="P61" s="2"/>
      <c r="Q61" s="2"/>
      <c r="R61" s="62"/>
    </row>
    <row r="62">
      <c r="A62" s="2"/>
      <c r="B62" s="62"/>
      <c r="C62" s="2"/>
      <c r="D62" s="2"/>
      <c r="E62" s="2"/>
      <c r="F62" s="2"/>
      <c r="G62" s="2"/>
      <c r="H62" s="60"/>
      <c r="I62" s="60"/>
      <c r="J62" s="2"/>
      <c r="K62" s="2"/>
      <c r="L62" s="2"/>
      <c r="M62" s="2"/>
      <c r="N62" s="2"/>
      <c r="O62" s="2"/>
      <c r="P62" s="2"/>
      <c r="Q62" s="2"/>
      <c r="R62" s="62"/>
    </row>
    <row r="63">
      <c r="A63" s="2"/>
      <c r="B63" s="62"/>
      <c r="C63" s="2"/>
      <c r="D63" s="2"/>
      <c r="E63" s="2"/>
      <c r="F63" s="2"/>
      <c r="G63" s="2"/>
      <c r="H63" s="60"/>
      <c r="I63" s="60"/>
      <c r="J63" s="2"/>
      <c r="K63" s="2"/>
      <c r="L63" s="2"/>
      <c r="M63" s="2"/>
      <c r="N63" s="2"/>
      <c r="O63" s="2"/>
      <c r="P63" s="2"/>
      <c r="Q63" s="2"/>
      <c r="R63" s="62"/>
    </row>
    <row r="64">
      <c r="A64" s="2"/>
      <c r="B64" s="62"/>
      <c r="C64" s="2"/>
      <c r="D64" s="2"/>
      <c r="E64" s="2"/>
      <c r="F64" s="2"/>
      <c r="G64" s="2"/>
      <c r="H64" s="60"/>
      <c r="I64" s="60"/>
      <c r="J64" s="2"/>
      <c r="K64" s="2"/>
      <c r="L64" s="2"/>
      <c r="M64" s="2"/>
      <c r="N64" s="2"/>
      <c r="O64" s="2"/>
      <c r="P64" s="2"/>
      <c r="Q64" s="2"/>
      <c r="R64" s="62"/>
    </row>
    <row r="65">
      <c r="A65" s="2"/>
      <c r="B65" s="62"/>
      <c r="C65" s="2"/>
      <c r="D65" s="2"/>
      <c r="E65" s="2"/>
      <c r="F65" s="2"/>
      <c r="G65" s="2"/>
      <c r="H65" s="60"/>
      <c r="I65" s="60"/>
      <c r="J65" s="2"/>
      <c r="K65" s="2"/>
      <c r="L65" s="2"/>
      <c r="M65" s="2"/>
      <c r="N65" s="2"/>
      <c r="O65" s="2"/>
      <c r="P65" s="2"/>
      <c r="Q65" s="2"/>
      <c r="R65" s="62"/>
    </row>
    <row r="66">
      <c r="A66" s="2"/>
      <c r="B66" s="62"/>
      <c r="C66" s="2"/>
      <c r="D66" s="2"/>
      <c r="E66" s="2"/>
      <c r="F66" s="2"/>
      <c r="G66" s="2"/>
      <c r="H66" s="60"/>
      <c r="I66" s="60"/>
      <c r="J66" s="2"/>
      <c r="K66" s="2"/>
      <c r="L66" s="2"/>
      <c r="M66" s="2"/>
      <c r="N66" s="2"/>
      <c r="O66" s="2"/>
      <c r="P66" s="2"/>
      <c r="Q66" s="2"/>
      <c r="R66" s="62"/>
    </row>
    <row r="67">
      <c r="A67" s="2"/>
      <c r="B67" s="62"/>
      <c r="C67" s="2"/>
      <c r="D67" s="2"/>
      <c r="E67" s="2"/>
      <c r="F67" s="2"/>
      <c r="G67" s="2"/>
      <c r="H67" s="60"/>
      <c r="I67" s="60"/>
      <c r="J67" s="2"/>
      <c r="K67" s="2"/>
      <c r="L67" s="2"/>
      <c r="M67" s="2"/>
      <c r="N67" s="2"/>
      <c r="O67" s="2"/>
      <c r="P67" s="2"/>
      <c r="Q67" s="2"/>
      <c r="R67" s="62"/>
    </row>
    <row r="68">
      <c r="A68" s="2"/>
      <c r="B68" s="62"/>
      <c r="C68" s="2"/>
      <c r="D68" s="2"/>
      <c r="E68" s="2"/>
      <c r="F68" s="2"/>
      <c r="G68" s="2"/>
      <c r="H68" s="60"/>
      <c r="I68" s="60"/>
      <c r="J68" s="2"/>
      <c r="K68" s="2"/>
      <c r="L68" s="2"/>
      <c r="M68" s="2"/>
      <c r="N68" s="2"/>
      <c r="O68" s="2"/>
      <c r="P68" s="2"/>
      <c r="Q68" s="2"/>
      <c r="R68" s="62"/>
    </row>
    <row r="69">
      <c r="A69" s="2"/>
      <c r="B69" s="62"/>
      <c r="C69" s="2"/>
      <c r="D69" s="2"/>
      <c r="E69" s="2"/>
      <c r="F69" s="2"/>
      <c r="G69" s="2"/>
      <c r="H69" s="60"/>
      <c r="I69" s="60"/>
      <c r="J69" s="2"/>
      <c r="K69" s="2"/>
      <c r="L69" s="2"/>
      <c r="M69" s="2"/>
      <c r="N69" s="2"/>
      <c r="O69" s="2"/>
      <c r="P69" s="2"/>
      <c r="Q69" s="2"/>
      <c r="R69" s="62"/>
    </row>
    <row r="70">
      <c r="A70" s="2"/>
      <c r="B70" s="62"/>
      <c r="C70" s="2"/>
      <c r="D70" s="2"/>
      <c r="E70" s="2"/>
      <c r="F70" s="2"/>
      <c r="G70" s="2"/>
      <c r="H70" s="60"/>
      <c r="I70" s="60"/>
      <c r="J70" s="2"/>
      <c r="K70" s="2"/>
      <c r="L70" s="2"/>
      <c r="M70" s="2"/>
      <c r="N70" s="2"/>
      <c r="O70" s="2"/>
      <c r="P70" s="2"/>
      <c r="Q70" s="2"/>
      <c r="R70" s="62"/>
    </row>
    <row r="71">
      <c r="A71" s="2"/>
      <c r="B71" s="62"/>
      <c r="C71" s="2"/>
      <c r="D71" s="2"/>
      <c r="E71" s="2"/>
      <c r="F71" s="2"/>
      <c r="G71" s="2"/>
      <c r="H71" s="60"/>
      <c r="I71" s="60"/>
      <c r="J71" s="2"/>
      <c r="K71" s="2"/>
      <c r="L71" s="2"/>
      <c r="M71" s="2"/>
      <c r="N71" s="2"/>
      <c r="O71" s="2"/>
      <c r="Q71" s="2"/>
      <c r="R71" s="62"/>
    </row>
    <row r="72">
      <c r="A72" s="2"/>
      <c r="B72" s="62"/>
      <c r="C72" s="2"/>
      <c r="D72" s="2"/>
      <c r="E72" s="2"/>
      <c r="F72" s="2"/>
      <c r="G72" s="2"/>
      <c r="H72" s="60"/>
      <c r="I72" s="60"/>
      <c r="J72" s="2"/>
      <c r="K72" s="2"/>
      <c r="L72" s="2"/>
      <c r="M72" s="2"/>
      <c r="N72" s="2"/>
      <c r="O72" s="2"/>
      <c r="P72" s="2"/>
      <c r="Q72" s="2"/>
      <c r="R72" s="62"/>
    </row>
    <row r="73">
      <c r="A73" s="2"/>
      <c r="B73" s="62"/>
      <c r="C73" s="2"/>
      <c r="D73" s="2"/>
      <c r="E73" s="2"/>
      <c r="F73" s="2"/>
      <c r="G73" s="2"/>
      <c r="H73" s="60"/>
      <c r="I73" s="60"/>
      <c r="J73" s="2"/>
      <c r="K73" s="2"/>
      <c r="L73" s="2"/>
      <c r="M73" s="2"/>
      <c r="N73" s="2"/>
      <c r="O73" s="2"/>
      <c r="Q73" s="2"/>
      <c r="R73" s="62"/>
    </row>
    <row r="74">
      <c r="A74" s="2"/>
      <c r="B74" s="62"/>
      <c r="C74" s="2"/>
      <c r="D74" s="2"/>
      <c r="E74" s="2"/>
      <c r="F74" s="2"/>
      <c r="G74" s="2"/>
      <c r="H74" s="60"/>
      <c r="I74" s="60"/>
      <c r="J74" s="2"/>
      <c r="K74" s="2"/>
      <c r="L74" s="2"/>
      <c r="M74" s="2"/>
      <c r="N74" s="2"/>
      <c r="O74" s="2"/>
      <c r="P74" s="2"/>
      <c r="Q74" s="2"/>
      <c r="R74" s="62"/>
    </row>
    <row r="75">
      <c r="A75" s="2"/>
      <c r="B75" s="62"/>
      <c r="C75" s="2"/>
      <c r="D75" s="2"/>
      <c r="E75" s="2"/>
      <c r="F75" s="2"/>
      <c r="G75" s="2"/>
      <c r="H75" s="60"/>
      <c r="I75" s="60"/>
      <c r="J75" s="2"/>
      <c r="K75" s="2"/>
      <c r="L75" s="2"/>
      <c r="M75" s="2"/>
      <c r="N75" s="2"/>
      <c r="O75" s="2"/>
      <c r="P75" s="2"/>
      <c r="Q75" s="2"/>
      <c r="R75" s="62"/>
    </row>
    <row r="76">
      <c r="A76" s="2"/>
      <c r="B76" s="62"/>
      <c r="C76" s="2"/>
      <c r="D76" s="2"/>
      <c r="E76" s="2"/>
      <c r="F76" s="2"/>
      <c r="G76" s="2"/>
      <c r="H76" s="60"/>
      <c r="I76" s="60"/>
      <c r="J76" s="2"/>
      <c r="K76" s="2"/>
      <c r="L76" s="2"/>
      <c r="M76" s="2"/>
      <c r="N76" s="2"/>
      <c r="O76" s="2"/>
      <c r="P76" s="2"/>
      <c r="Q76" s="2"/>
      <c r="R76" s="62"/>
    </row>
    <row r="77">
      <c r="A77" s="2"/>
      <c r="B77" s="62"/>
      <c r="C77" s="2"/>
      <c r="D77" s="2"/>
      <c r="E77" s="2"/>
      <c r="F77" s="2"/>
      <c r="G77" s="2"/>
      <c r="H77" s="60"/>
      <c r="I77" s="60"/>
      <c r="J77" s="2"/>
      <c r="K77" s="2"/>
      <c r="L77" s="2"/>
      <c r="M77" s="2"/>
      <c r="N77" s="2"/>
      <c r="O77" s="2"/>
      <c r="P77" s="2"/>
      <c r="Q77" s="2"/>
      <c r="R77" s="62"/>
    </row>
    <row r="78">
      <c r="A78" s="2"/>
      <c r="B78" s="62"/>
      <c r="C78" s="2"/>
      <c r="D78" s="2"/>
      <c r="E78" s="2"/>
      <c r="F78" s="2"/>
      <c r="G78" s="2"/>
      <c r="H78" s="60"/>
      <c r="I78" s="60"/>
      <c r="J78" s="2"/>
      <c r="K78" s="2"/>
      <c r="L78" s="2"/>
      <c r="M78" s="2"/>
      <c r="N78" s="2"/>
      <c r="O78" s="2"/>
      <c r="Q78" s="2"/>
      <c r="R78" s="62"/>
    </row>
    <row r="79">
      <c r="A79" s="2"/>
      <c r="B79" s="62"/>
      <c r="C79" s="2"/>
      <c r="D79" s="2"/>
      <c r="E79" s="2"/>
      <c r="F79" s="2"/>
      <c r="G79" s="2"/>
      <c r="H79" s="60"/>
      <c r="I79" s="60"/>
      <c r="J79" s="2"/>
      <c r="K79" s="2"/>
      <c r="L79" s="2"/>
      <c r="M79" s="2"/>
      <c r="N79" s="2"/>
      <c r="O79" s="2"/>
      <c r="Q79" s="2"/>
      <c r="R79" s="62"/>
    </row>
    <row r="80">
      <c r="A80" s="2"/>
      <c r="B80" s="62"/>
      <c r="C80" s="2"/>
      <c r="D80" s="2"/>
      <c r="E80" s="2"/>
      <c r="F80" s="2"/>
      <c r="G80" s="2"/>
      <c r="H80" s="60"/>
      <c r="I80" s="60"/>
      <c r="J80" s="2"/>
      <c r="K80" s="2"/>
      <c r="L80" s="2"/>
      <c r="M80" s="2"/>
      <c r="N80" s="2"/>
      <c r="O80" s="2"/>
      <c r="P80" s="2"/>
      <c r="Q80" s="2"/>
      <c r="R80" s="62"/>
    </row>
    <row r="81">
      <c r="A81" s="2"/>
      <c r="B81" s="62"/>
      <c r="C81" s="2"/>
      <c r="D81" s="2"/>
      <c r="E81" s="2"/>
      <c r="F81" s="2"/>
      <c r="G81" s="2"/>
      <c r="H81" s="60"/>
      <c r="I81" s="60"/>
      <c r="J81" s="2"/>
      <c r="K81" s="2"/>
      <c r="L81" s="2"/>
      <c r="M81" s="2"/>
      <c r="N81" s="2"/>
      <c r="O81" s="2"/>
      <c r="Q81" s="2"/>
      <c r="R81" s="62"/>
    </row>
    <row r="82">
      <c r="A82" s="2"/>
      <c r="B82" s="62"/>
      <c r="C82" s="2"/>
      <c r="D82" s="2"/>
      <c r="E82" s="2"/>
      <c r="F82" s="2"/>
      <c r="G82" s="2"/>
      <c r="H82" s="60"/>
      <c r="I82" s="60"/>
      <c r="J82" s="2"/>
      <c r="K82" s="2"/>
      <c r="L82" s="2"/>
      <c r="M82" s="2"/>
      <c r="N82" s="2"/>
      <c r="O82" s="2"/>
      <c r="Q82" s="2"/>
      <c r="R82" s="62"/>
    </row>
    <row r="83">
      <c r="A83" s="2"/>
      <c r="B83" s="62"/>
      <c r="C83" s="2"/>
      <c r="D83" s="2"/>
      <c r="E83" s="2"/>
      <c r="F83" s="2"/>
      <c r="G83" s="2"/>
      <c r="H83" s="60"/>
      <c r="I83" s="60"/>
      <c r="J83" s="2"/>
      <c r="K83" s="2"/>
      <c r="L83" s="2"/>
      <c r="M83" s="2"/>
      <c r="N83" s="2"/>
      <c r="O83" s="2"/>
      <c r="P83" s="2"/>
      <c r="Q83" s="2"/>
      <c r="R83" s="62"/>
    </row>
    <row r="84">
      <c r="A84" s="2"/>
      <c r="B84" s="62"/>
      <c r="C84" s="2"/>
      <c r="D84" s="2"/>
      <c r="E84" s="2"/>
      <c r="F84" s="2"/>
      <c r="G84" s="2"/>
      <c r="H84" s="60"/>
      <c r="I84" s="60"/>
      <c r="J84" s="2"/>
      <c r="K84" s="2"/>
      <c r="L84" s="2"/>
      <c r="M84" s="2"/>
      <c r="N84" s="2"/>
      <c r="O84" s="2"/>
      <c r="P84" s="2"/>
      <c r="Q84" s="2"/>
      <c r="R84" s="62"/>
    </row>
    <row r="85">
      <c r="A85" s="2"/>
      <c r="B85" s="62"/>
      <c r="C85" s="2"/>
      <c r="D85" s="2"/>
      <c r="E85" s="2"/>
      <c r="F85" s="2"/>
      <c r="G85" s="2"/>
      <c r="H85" s="60"/>
      <c r="I85" s="60"/>
      <c r="J85" s="2"/>
      <c r="K85" s="2"/>
      <c r="L85" s="2"/>
      <c r="M85" s="2"/>
      <c r="N85" s="2"/>
      <c r="O85" s="2"/>
      <c r="P85" s="2"/>
      <c r="Q85" s="2"/>
      <c r="R85" s="62"/>
    </row>
    <row r="86">
      <c r="A86" s="2"/>
      <c r="B86" s="62"/>
      <c r="C86" s="2"/>
      <c r="D86" s="2"/>
      <c r="E86" s="2"/>
      <c r="F86" s="2"/>
      <c r="G86" s="2"/>
      <c r="H86" s="60"/>
      <c r="I86" s="60"/>
      <c r="J86" s="2"/>
      <c r="K86" s="2"/>
      <c r="L86" s="2"/>
      <c r="M86" s="2"/>
      <c r="N86" s="2"/>
      <c r="O86" s="2"/>
      <c r="Q86" s="2"/>
      <c r="R86" s="62"/>
    </row>
    <row r="87">
      <c r="A87" s="2"/>
      <c r="B87" s="62"/>
      <c r="C87" s="2"/>
      <c r="D87" s="2"/>
      <c r="E87" s="2"/>
      <c r="F87" s="2"/>
      <c r="G87" s="2"/>
      <c r="H87" s="60"/>
      <c r="I87" s="60"/>
      <c r="J87" s="2"/>
      <c r="K87" s="2"/>
      <c r="L87" s="2"/>
      <c r="M87" s="2"/>
      <c r="N87" s="2"/>
      <c r="O87" s="2"/>
      <c r="Q87" s="2"/>
      <c r="R87" s="62"/>
    </row>
    <row r="88">
      <c r="A88" s="2"/>
      <c r="B88" s="62"/>
      <c r="C88" s="2"/>
      <c r="D88" s="2"/>
      <c r="E88" s="2"/>
      <c r="F88" s="2"/>
      <c r="G88" s="2"/>
      <c r="H88" s="60"/>
      <c r="I88" s="60"/>
      <c r="J88" s="2"/>
      <c r="K88" s="2"/>
      <c r="L88" s="2"/>
      <c r="M88" s="2"/>
      <c r="N88" s="2"/>
      <c r="O88" s="2"/>
      <c r="Q88" s="2"/>
      <c r="R88" s="62"/>
    </row>
    <row r="89">
      <c r="A89" s="2"/>
      <c r="B89" s="62"/>
      <c r="C89" s="2"/>
      <c r="D89" s="2"/>
      <c r="E89" s="2"/>
      <c r="F89" s="2"/>
      <c r="G89" s="2"/>
      <c r="H89" s="60"/>
      <c r="I89" s="60"/>
      <c r="J89" s="2"/>
      <c r="K89" s="2"/>
      <c r="L89" s="2"/>
      <c r="M89" s="2"/>
      <c r="N89" s="2"/>
      <c r="O89" s="2"/>
      <c r="P89" s="2"/>
      <c r="Q89" s="2"/>
      <c r="R89" s="62"/>
    </row>
    <row r="90">
      <c r="A90" s="2"/>
      <c r="B90" s="62"/>
      <c r="C90" s="2"/>
      <c r="D90" s="2"/>
      <c r="E90" s="2"/>
      <c r="F90" s="2"/>
      <c r="G90" s="2"/>
      <c r="H90" s="60"/>
      <c r="I90" s="60"/>
      <c r="J90" s="2"/>
      <c r="K90" s="2"/>
      <c r="L90" s="2"/>
      <c r="M90" s="2"/>
      <c r="N90" s="2"/>
      <c r="O90" s="2"/>
      <c r="P90" s="2"/>
      <c r="Q90" s="2"/>
      <c r="R90" s="62"/>
    </row>
    <row r="91">
      <c r="A91" s="2"/>
      <c r="B91" s="62"/>
      <c r="C91" s="2"/>
      <c r="D91" s="2"/>
      <c r="E91" s="2"/>
      <c r="F91" s="2"/>
      <c r="G91" s="2"/>
      <c r="H91" s="60"/>
      <c r="I91" s="60"/>
      <c r="J91" s="2"/>
      <c r="K91" s="2"/>
      <c r="L91" s="2"/>
      <c r="M91" s="2"/>
      <c r="N91" s="2"/>
      <c r="O91" s="2"/>
      <c r="P91" s="2"/>
      <c r="Q91" s="2"/>
      <c r="R91" s="62"/>
    </row>
    <row r="92">
      <c r="A92" s="2"/>
      <c r="B92" s="62"/>
      <c r="C92" s="2"/>
      <c r="D92" s="2"/>
      <c r="E92" s="2"/>
      <c r="F92" s="2"/>
      <c r="G92" s="2"/>
      <c r="H92" s="60"/>
      <c r="I92" s="60"/>
      <c r="J92" s="2"/>
      <c r="K92" s="2"/>
      <c r="L92" s="2"/>
      <c r="M92" s="2"/>
      <c r="N92" s="2"/>
      <c r="O92" s="2"/>
      <c r="P92" s="2"/>
      <c r="Q92" s="2"/>
      <c r="R92" s="62"/>
    </row>
    <row r="93">
      <c r="A93" s="2"/>
      <c r="B93" s="62"/>
      <c r="C93" s="2"/>
      <c r="D93" s="2"/>
      <c r="E93" s="2"/>
      <c r="F93" s="2"/>
      <c r="G93" s="2"/>
      <c r="H93" s="60"/>
      <c r="I93" s="60"/>
      <c r="J93" s="2"/>
      <c r="K93" s="2"/>
      <c r="L93" s="2"/>
      <c r="M93" s="2"/>
      <c r="N93" s="2"/>
      <c r="O93" s="2"/>
      <c r="P93" s="2"/>
      <c r="Q93" s="2"/>
      <c r="R93" s="62"/>
    </row>
    <row r="94">
      <c r="A94" s="2"/>
      <c r="B94" s="62"/>
      <c r="C94" s="2"/>
      <c r="D94" s="2"/>
      <c r="E94" s="2"/>
      <c r="F94" s="2"/>
      <c r="G94" s="2"/>
      <c r="H94" s="60"/>
      <c r="I94" s="60"/>
      <c r="J94" s="2"/>
      <c r="K94" s="2"/>
      <c r="L94" s="2"/>
      <c r="M94" s="2"/>
      <c r="N94" s="2"/>
      <c r="O94" s="2"/>
      <c r="Q94" s="2"/>
      <c r="R94" s="62"/>
    </row>
    <row r="95">
      <c r="A95" s="2"/>
      <c r="B95" s="62"/>
      <c r="C95" s="2"/>
      <c r="D95" s="2"/>
      <c r="E95" s="2"/>
      <c r="F95" s="2"/>
      <c r="G95" s="2"/>
      <c r="H95" s="60"/>
      <c r="I95" s="60"/>
      <c r="J95" s="2"/>
      <c r="K95" s="2"/>
      <c r="L95" s="2"/>
      <c r="M95" s="2"/>
      <c r="N95" s="2"/>
      <c r="O95" s="2"/>
      <c r="P95" s="2"/>
      <c r="Q95" s="2"/>
      <c r="R95" s="62"/>
    </row>
    <row r="96">
      <c r="A96" s="2"/>
      <c r="B96" s="62"/>
      <c r="C96" s="2"/>
      <c r="D96" s="2"/>
      <c r="E96" s="2"/>
      <c r="F96" s="2"/>
      <c r="G96" s="2"/>
      <c r="H96" s="60"/>
      <c r="I96" s="60"/>
      <c r="J96" s="2"/>
      <c r="K96" s="2"/>
      <c r="L96" s="2"/>
      <c r="M96" s="2"/>
      <c r="N96" s="2"/>
      <c r="O96" s="2"/>
      <c r="P96" s="2"/>
      <c r="Q96" s="2"/>
      <c r="R96" s="62"/>
    </row>
    <row r="97">
      <c r="A97" s="2"/>
      <c r="B97" s="62"/>
      <c r="C97" s="2"/>
      <c r="D97" s="2"/>
      <c r="E97" s="2"/>
      <c r="F97" s="2"/>
      <c r="G97" s="2"/>
      <c r="H97" s="60"/>
      <c r="I97" s="60"/>
      <c r="J97" s="2"/>
      <c r="K97" s="2"/>
      <c r="L97" s="2"/>
      <c r="M97" s="2"/>
      <c r="N97" s="2"/>
      <c r="O97" s="2"/>
      <c r="Q97" s="2"/>
      <c r="R97" s="62"/>
    </row>
    <row r="98">
      <c r="A98" s="2"/>
      <c r="B98" s="62"/>
      <c r="C98" s="2"/>
      <c r="D98" s="2"/>
      <c r="E98" s="2"/>
      <c r="F98" s="2"/>
      <c r="G98" s="2"/>
      <c r="H98" s="60"/>
      <c r="I98" s="60"/>
      <c r="J98" s="2"/>
      <c r="K98" s="2"/>
      <c r="L98" s="2"/>
      <c r="M98" s="2"/>
      <c r="N98" s="2"/>
      <c r="O98" s="2"/>
      <c r="P98" s="2"/>
      <c r="Q98" s="2"/>
      <c r="R98" s="62"/>
    </row>
    <row r="99">
      <c r="A99" s="2"/>
      <c r="B99" s="62"/>
      <c r="C99" s="2"/>
      <c r="D99" s="2"/>
      <c r="E99" s="2"/>
      <c r="F99" s="2"/>
      <c r="G99" s="2"/>
      <c r="H99" s="60"/>
      <c r="I99" s="60"/>
      <c r="J99" s="2"/>
      <c r="K99" s="2"/>
      <c r="L99" s="2"/>
      <c r="M99" s="2"/>
      <c r="N99" s="2"/>
      <c r="O99" s="2"/>
      <c r="Q99" s="2"/>
      <c r="R99" s="62"/>
    </row>
    <row r="100">
      <c r="A100" s="2"/>
      <c r="B100" s="62"/>
      <c r="C100" s="2"/>
      <c r="D100" s="2"/>
      <c r="E100" s="2"/>
      <c r="F100" s="2"/>
      <c r="G100" s="2"/>
      <c r="H100" s="60"/>
      <c r="I100" s="60"/>
      <c r="J100" s="2"/>
      <c r="K100" s="2"/>
      <c r="L100" s="2"/>
      <c r="M100" s="2"/>
      <c r="N100" s="2"/>
      <c r="O100" s="2"/>
      <c r="P100" s="2"/>
      <c r="Q100" s="2"/>
      <c r="R100" s="62"/>
    </row>
    <row r="101">
      <c r="A101" s="2"/>
      <c r="B101" s="62"/>
      <c r="C101" s="2"/>
      <c r="D101" s="2"/>
      <c r="E101" s="2"/>
      <c r="F101" s="2"/>
      <c r="G101" s="2"/>
      <c r="H101" s="60"/>
      <c r="I101" s="60"/>
      <c r="J101" s="2"/>
      <c r="K101" s="2"/>
      <c r="L101" s="2"/>
      <c r="M101" s="2"/>
      <c r="N101" s="2"/>
      <c r="O101" s="2"/>
      <c r="P101" s="2"/>
      <c r="Q101" s="2"/>
      <c r="R101" s="62"/>
    </row>
    <row r="102">
      <c r="A102" s="2"/>
      <c r="B102" s="62"/>
      <c r="C102" s="2"/>
      <c r="D102" s="2"/>
      <c r="E102" s="2"/>
      <c r="F102" s="2"/>
      <c r="G102" s="2"/>
      <c r="H102" s="60"/>
      <c r="I102" s="60"/>
      <c r="J102" s="2"/>
      <c r="K102" s="2"/>
      <c r="L102" s="2"/>
      <c r="M102" s="2"/>
      <c r="N102" s="2"/>
      <c r="O102" s="2"/>
      <c r="Q102" s="2"/>
      <c r="R102" s="62"/>
    </row>
    <row r="103">
      <c r="A103" s="2"/>
      <c r="B103" s="62"/>
      <c r="C103" s="2"/>
      <c r="D103" s="2"/>
      <c r="E103" s="2"/>
      <c r="F103" s="2"/>
      <c r="G103" s="2"/>
      <c r="H103" s="60"/>
      <c r="I103" s="60"/>
      <c r="J103" s="2"/>
      <c r="K103" s="2"/>
      <c r="L103" s="2"/>
      <c r="M103" s="2"/>
      <c r="N103" s="2"/>
      <c r="O103" s="2"/>
      <c r="P103" s="2"/>
      <c r="Q103" s="2"/>
      <c r="R103" s="62"/>
    </row>
    <row r="104">
      <c r="A104" s="2"/>
      <c r="B104" s="62"/>
      <c r="C104" s="2"/>
      <c r="D104" s="2"/>
      <c r="E104" s="2"/>
      <c r="F104" s="2"/>
      <c r="G104" s="2"/>
      <c r="H104" s="60"/>
      <c r="I104" s="60"/>
      <c r="J104" s="2"/>
      <c r="K104" s="2"/>
      <c r="L104" s="2"/>
      <c r="M104" s="2"/>
      <c r="N104" s="2"/>
      <c r="O104" s="2"/>
      <c r="P104" s="2"/>
      <c r="Q104" s="2"/>
      <c r="R104" s="62"/>
    </row>
    <row r="105">
      <c r="A105" s="2"/>
      <c r="B105" s="62"/>
      <c r="C105" s="2"/>
      <c r="D105" s="2"/>
      <c r="E105" s="2"/>
      <c r="F105" s="2"/>
      <c r="G105" s="2"/>
      <c r="H105" s="60"/>
      <c r="I105" s="60"/>
      <c r="J105" s="2"/>
      <c r="K105" s="2"/>
      <c r="L105" s="2"/>
      <c r="M105" s="2"/>
      <c r="N105" s="2"/>
      <c r="O105" s="2"/>
      <c r="Q105" s="2"/>
      <c r="R105" s="62"/>
    </row>
    <row r="106">
      <c r="A106" s="2"/>
      <c r="B106" s="62"/>
      <c r="C106" s="2"/>
      <c r="D106" s="2"/>
      <c r="E106" s="2"/>
      <c r="F106" s="2"/>
      <c r="G106" s="2"/>
      <c r="H106" s="60"/>
      <c r="I106" s="60"/>
      <c r="J106" s="2"/>
      <c r="K106" s="2"/>
      <c r="L106" s="2"/>
      <c r="M106" s="2"/>
      <c r="N106" s="2"/>
      <c r="O106" s="2"/>
      <c r="Q106" s="2"/>
      <c r="R106" s="62"/>
    </row>
    <row r="107">
      <c r="A107" s="2"/>
      <c r="B107" s="62"/>
      <c r="C107" s="2"/>
      <c r="D107" s="2"/>
      <c r="E107" s="2"/>
      <c r="F107" s="2"/>
      <c r="G107" s="2"/>
      <c r="H107" s="60"/>
      <c r="I107" s="60"/>
      <c r="J107" s="2"/>
      <c r="K107" s="2"/>
      <c r="L107" s="2"/>
      <c r="M107" s="2"/>
      <c r="N107" s="2"/>
      <c r="O107" s="2"/>
      <c r="P107" s="2"/>
      <c r="Q107" s="2"/>
      <c r="R107" s="62"/>
    </row>
    <row r="108">
      <c r="A108" s="2"/>
      <c r="B108" s="62"/>
      <c r="C108" s="2"/>
      <c r="D108" s="2"/>
      <c r="E108" s="2"/>
      <c r="F108" s="2"/>
      <c r="G108" s="2"/>
      <c r="H108" s="60"/>
      <c r="I108" s="60"/>
      <c r="J108" s="2"/>
      <c r="K108" s="2"/>
      <c r="L108" s="2"/>
      <c r="M108" s="2"/>
      <c r="N108" s="2"/>
      <c r="O108" s="2"/>
      <c r="P108" s="2"/>
      <c r="Q108" s="2"/>
      <c r="R108" s="62"/>
    </row>
    <row r="109">
      <c r="A109" s="2"/>
      <c r="B109" s="62"/>
      <c r="C109" s="2"/>
      <c r="D109" s="2"/>
      <c r="E109" s="2"/>
      <c r="F109" s="2"/>
      <c r="G109" s="2"/>
      <c r="H109" s="60"/>
      <c r="I109" s="60"/>
      <c r="J109" s="2"/>
      <c r="K109" s="2"/>
      <c r="L109" s="2"/>
      <c r="M109" s="2"/>
      <c r="N109" s="2"/>
      <c r="O109" s="2"/>
      <c r="P109" s="2"/>
      <c r="Q109" s="2"/>
      <c r="R109" s="62"/>
    </row>
    <row r="110">
      <c r="A110" s="2"/>
      <c r="B110" s="62"/>
      <c r="C110" s="2"/>
      <c r="D110" s="2"/>
      <c r="E110" s="2"/>
      <c r="F110" s="2"/>
      <c r="G110" s="2"/>
      <c r="H110" s="60"/>
      <c r="I110" s="60"/>
      <c r="J110" s="2"/>
      <c r="K110" s="2"/>
      <c r="L110" s="2"/>
      <c r="M110" s="2"/>
      <c r="N110" s="2"/>
      <c r="O110" s="2"/>
      <c r="P110" s="2"/>
      <c r="Q110" s="2"/>
      <c r="R110" s="62"/>
    </row>
    <row r="111">
      <c r="A111" s="2"/>
      <c r="B111" s="62"/>
      <c r="C111" s="2"/>
      <c r="D111" s="2"/>
      <c r="E111" s="2"/>
      <c r="F111" s="2"/>
      <c r="G111" s="2"/>
      <c r="H111" s="60"/>
      <c r="I111" s="60"/>
      <c r="J111" s="2"/>
      <c r="K111" s="2"/>
      <c r="L111" s="2"/>
      <c r="M111" s="2"/>
      <c r="N111" s="2"/>
      <c r="O111" s="2"/>
      <c r="Q111" s="2"/>
      <c r="R111" s="62"/>
    </row>
    <row r="112">
      <c r="A112" s="2"/>
      <c r="B112" s="62"/>
      <c r="C112" s="2"/>
      <c r="D112" s="2"/>
      <c r="E112" s="2"/>
      <c r="F112" s="2"/>
      <c r="G112" s="2"/>
      <c r="H112" s="60"/>
      <c r="I112" s="60"/>
      <c r="J112" s="2"/>
      <c r="K112" s="2"/>
      <c r="L112" s="2"/>
      <c r="M112" s="2"/>
      <c r="N112" s="2"/>
      <c r="O112" s="2"/>
      <c r="P112" s="2"/>
      <c r="Q112" s="2"/>
      <c r="R112" s="62"/>
    </row>
    <row r="113">
      <c r="A113" s="2"/>
      <c r="B113" s="62"/>
      <c r="C113" s="2"/>
      <c r="D113" s="2"/>
      <c r="E113" s="2"/>
      <c r="F113" s="2"/>
      <c r="G113" s="2"/>
      <c r="H113" s="60"/>
      <c r="I113" s="60"/>
      <c r="J113" s="2"/>
      <c r="K113" s="2"/>
      <c r="L113" s="2"/>
      <c r="M113" s="2"/>
      <c r="N113" s="2"/>
      <c r="O113" s="2"/>
      <c r="Q113" s="2"/>
      <c r="R113" s="62"/>
    </row>
    <row r="114">
      <c r="A114" s="2"/>
      <c r="B114" s="62"/>
      <c r="C114" s="2"/>
      <c r="D114" s="2"/>
      <c r="E114" s="2"/>
      <c r="F114" s="2"/>
      <c r="G114" s="2"/>
      <c r="H114" s="60"/>
      <c r="I114" s="60"/>
      <c r="J114" s="2"/>
      <c r="K114" s="2"/>
      <c r="L114" s="2"/>
      <c r="M114" s="2"/>
      <c r="N114" s="2"/>
      <c r="O114" s="2"/>
      <c r="Q114" s="2"/>
      <c r="R114" s="62"/>
    </row>
    <row r="115">
      <c r="A115" s="2"/>
      <c r="B115" s="62"/>
      <c r="C115" s="2"/>
      <c r="D115" s="2"/>
      <c r="E115" s="2"/>
      <c r="F115" s="2"/>
      <c r="G115" s="2"/>
      <c r="H115" s="60"/>
      <c r="I115" s="60"/>
      <c r="J115" s="2"/>
      <c r="K115" s="2"/>
      <c r="L115" s="2"/>
      <c r="M115" s="2"/>
      <c r="N115" s="2"/>
      <c r="O115" s="2"/>
      <c r="Q115" s="2"/>
      <c r="R115" s="62"/>
    </row>
    <row r="116">
      <c r="A116" s="2"/>
      <c r="B116" s="62"/>
      <c r="C116" s="2"/>
      <c r="D116" s="2"/>
      <c r="E116" s="2"/>
      <c r="F116" s="2"/>
      <c r="G116" s="2"/>
      <c r="H116" s="60"/>
      <c r="I116" s="60"/>
      <c r="J116" s="2"/>
      <c r="K116" s="2"/>
      <c r="L116" s="2"/>
      <c r="M116" s="2"/>
      <c r="N116" s="2"/>
      <c r="O116" s="2"/>
      <c r="P116" s="2"/>
      <c r="Q116" s="2"/>
      <c r="R116" s="62"/>
    </row>
    <row r="117">
      <c r="A117" s="2"/>
      <c r="B117" s="62"/>
      <c r="C117" s="2"/>
      <c r="D117" s="2"/>
      <c r="E117" s="2"/>
      <c r="F117" s="2"/>
      <c r="G117" s="2"/>
      <c r="H117" s="60"/>
      <c r="I117" s="60"/>
      <c r="J117" s="2"/>
      <c r="K117" s="2"/>
      <c r="L117" s="2"/>
      <c r="M117" s="2"/>
      <c r="N117" s="2"/>
      <c r="O117" s="2"/>
      <c r="Q117" s="2"/>
      <c r="R117" s="62"/>
    </row>
    <row r="118">
      <c r="A118" s="2"/>
      <c r="B118" s="62"/>
      <c r="C118" s="2"/>
      <c r="D118" s="2"/>
      <c r="E118" s="2"/>
      <c r="F118" s="2"/>
      <c r="G118" s="2"/>
      <c r="H118" s="60"/>
      <c r="I118" s="60"/>
      <c r="J118" s="2"/>
      <c r="K118" s="2"/>
      <c r="L118" s="2"/>
      <c r="M118" s="2"/>
      <c r="N118" s="2"/>
      <c r="O118" s="2"/>
      <c r="Q118" s="2"/>
      <c r="R118" s="62"/>
    </row>
    <row r="119">
      <c r="A119" s="2"/>
      <c r="B119" s="62"/>
      <c r="C119" s="2"/>
      <c r="D119" s="2"/>
      <c r="E119" s="2"/>
      <c r="F119" s="2"/>
      <c r="G119" s="2"/>
      <c r="H119" s="60"/>
      <c r="I119" s="60"/>
      <c r="J119" s="2"/>
      <c r="K119" s="2"/>
      <c r="L119" s="2"/>
      <c r="M119" s="2"/>
      <c r="N119" s="2"/>
      <c r="O119" s="2"/>
      <c r="Q119" s="2"/>
      <c r="R119" s="62"/>
    </row>
    <row r="120">
      <c r="A120" s="2"/>
      <c r="B120" s="62"/>
      <c r="C120" s="2"/>
      <c r="D120" s="2"/>
      <c r="E120" s="2"/>
      <c r="F120" s="2"/>
      <c r="G120" s="2"/>
      <c r="H120" s="60"/>
      <c r="I120" s="60"/>
      <c r="J120" s="2"/>
      <c r="K120" s="2"/>
      <c r="L120" s="2"/>
      <c r="M120" s="2"/>
      <c r="N120" s="2"/>
      <c r="O120" s="2"/>
      <c r="Q120" s="2"/>
      <c r="R120" s="62"/>
    </row>
    <row r="121">
      <c r="A121" s="2"/>
      <c r="B121" s="62"/>
      <c r="C121" s="2"/>
      <c r="D121" s="2"/>
      <c r="E121" s="2"/>
      <c r="F121" s="2"/>
      <c r="G121" s="2"/>
      <c r="H121" s="60"/>
      <c r="I121" s="60"/>
      <c r="J121" s="2"/>
      <c r="K121" s="2"/>
      <c r="L121" s="2"/>
      <c r="M121" s="2"/>
      <c r="N121" s="2"/>
      <c r="O121" s="2"/>
      <c r="P121" s="2"/>
      <c r="Q121" s="2"/>
      <c r="R121" s="62"/>
    </row>
    <row r="122">
      <c r="A122" s="2"/>
      <c r="B122" s="62"/>
      <c r="C122" s="2"/>
      <c r="D122" s="2"/>
      <c r="E122" s="2"/>
      <c r="F122" s="2"/>
      <c r="G122" s="2"/>
      <c r="H122" s="60"/>
      <c r="I122" s="60"/>
      <c r="J122" s="2"/>
      <c r="K122" s="2"/>
      <c r="L122" s="2"/>
      <c r="M122" s="2"/>
      <c r="N122" s="2"/>
      <c r="O122" s="2"/>
      <c r="P122" s="2"/>
      <c r="Q122" s="2"/>
      <c r="R122" s="62"/>
    </row>
    <row r="123">
      <c r="A123" s="2"/>
      <c r="B123" s="62"/>
      <c r="C123" s="2"/>
      <c r="D123" s="2"/>
      <c r="E123" s="2"/>
      <c r="F123" s="2"/>
      <c r="G123" s="2"/>
      <c r="H123" s="60"/>
      <c r="I123" s="60"/>
      <c r="J123" s="2"/>
      <c r="K123" s="2"/>
      <c r="L123" s="2"/>
      <c r="M123" s="2"/>
      <c r="N123" s="2"/>
      <c r="O123" s="2"/>
      <c r="P123" s="2"/>
      <c r="Q123" s="2"/>
      <c r="R123" s="62"/>
    </row>
    <row r="124">
      <c r="A124" s="2"/>
      <c r="B124" s="62"/>
      <c r="C124" s="2"/>
      <c r="D124" s="2"/>
      <c r="E124" s="2"/>
      <c r="F124" s="2"/>
      <c r="G124" s="2"/>
      <c r="H124" s="60"/>
      <c r="I124" s="60"/>
      <c r="J124" s="2"/>
      <c r="K124" s="2"/>
      <c r="L124" s="2"/>
      <c r="M124" s="2"/>
      <c r="N124" s="2"/>
      <c r="O124" s="2"/>
      <c r="P124" s="2"/>
      <c r="Q124" s="2"/>
      <c r="R124" s="62"/>
    </row>
    <row r="125">
      <c r="A125" s="2"/>
      <c r="B125" s="62"/>
      <c r="C125" s="2"/>
      <c r="D125" s="2"/>
      <c r="E125" s="2"/>
      <c r="F125" s="2"/>
      <c r="G125" s="2"/>
      <c r="H125" s="60"/>
      <c r="I125" s="60"/>
      <c r="J125" s="2"/>
      <c r="K125" s="2"/>
      <c r="L125" s="2"/>
      <c r="M125" s="2"/>
      <c r="N125" s="2"/>
      <c r="O125" s="2"/>
      <c r="Q125" s="2"/>
      <c r="R125" s="62"/>
    </row>
    <row r="126">
      <c r="A126" s="2"/>
      <c r="B126" s="62"/>
      <c r="C126" s="2"/>
      <c r="D126" s="2"/>
      <c r="E126" s="2"/>
      <c r="F126" s="2"/>
      <c r="G126" s="2"/>
      <c r="H126" s="60"/>
      <c r="I126" s="60"/>
      <c r="J126" s="2"/>
      <c r="K126" s="2"/>
      <c r="L126" s="2"/>
      <c r="M126" s="2"/>
      <c r="N126" s="2"/>
      <c r="O126" s="2"/>
      <c r="P126" s="2"/>
      <c r="Q126" s="2"/>
      <c r="R126" s="62"/>
    </row>
    <row r="127">
      <c r="A127" s="2"/>
      <c r="B127" s="62"/>
      <c r="C127" s="2"/>
      <c r="D127" s="2"/>
      <c r="E127" s="2"/>
      <c r="F127" s="2"/>
      <c r="G127" s="2"/>
      <c r="H127" s="60"/>
      <c r="I127" s="60"/>
      <c r="J127" s="2"/>
      <c r="K127" s="2"/>
      <c r="L127" s="2"/>
      <c r="M127" s="2"/>
      <c r="N127" s="2"/>
      <c r="O127" s="2"/>
      <c r="Q127" s="2"/>
      <c r="R127" s="62"/>
    </row>
    <row r="128">
      <c r="A128" s="2"/>
      <c r="B128" s="62"/>
      <c r="C128" s="2"/>
      <c r="D128" s="2"/>
      <c r="E128" s="2"/>
      <c r="F128" s="2"/>
      <c r="G128" s="2"/>
      <c r="H128" s="60"/>
      <c r="I128" s="60"/>
      <c r="J128" s="2"/>
      <c r="K128" s="2"/>
      <c r="L128" s="2"/>
      <c r="M128" s="2"/>
      <c r="N128" s="2"/>
      <c r="O128" s="2"/>
      <c r="Q128" s="2"/>
      <c r="R128" s="62"/>
    </row>
    <row r="129">
      <c r="A129" s="2"/>
      <c r="B129" s="62"/>
      <c r="C129" s="2"/>
      <c r="D129" s="2"/>
      <c r="E129" s="2"/>
      <c r="F129" s="2"/>
      <c r="G129" s="2"/>
      <c r="H129" s="60"/>
      <c r="I129" s="60"/>
      <c r="J129" s="2"/>
      <c r="K129" s="2"/>
      <c r="L129" s="2"/>
      <c r="M129" s="2"/>
      <c r="N129" s="2"/>
      <c r="O129" s="2"/>
      <c r="P129" s="2"/>
      <c r="Q129" s="2"/>
      <c r="R129" s="62"/>
    </row>
    <row r="130">
      <c r="A130" s="2"/>
      <c r="B130" s="62"/>
      <c r="C130" s="2"/>
      <c r="D130" s="2"/>
      <c r="E130" s="2"/>
      <c r="F130" s="2"/>
      <c r="G130" s="2"/>
      <c r="H130" s="60"/>
      <c r="I130" s="60"/>
      <c r="J130" s="2"/>
      <c r="K130" s="2"/>
      <c r="L130" s="2"/>
      <c r="M130" s="2"/>
      <c r="N130" s="2"/>
      <c r="O130" s="2"/>
      <c r="P130" s="2"/>
      <c r="Q130" s="2"/>
      <c r="R130" s="62"/>
    </row>
    <row r="131">
      <c r="A131" s="2"/>
      <c r="B131" s="62"/>
      <c r="C131" s="2"/>
      <c r="D131" s="2"/>
      <c r="E131" s="2"/>
      <c r="F131" s="2"/>
      <c r="G131" s="2"/>
      <c r="H131" s="60"/>
      <c r="I131" s="60"/>
      <c r="J131" s="2"/>
      <c r="K131" s="2"/>
      <c r="L131" s="2"/>
      <c r="M131" s="2"/>
      <c r="N131" s="2"/>
      <c r="O131" s="2"/>
      <c r="Q131" s="2"/>
      <c r="R131" s="62"/>
    </row>
    <row r="132">
      <c r="A132" s="2"/>
      <c r="B132" s="62"/>
      <c r="C132" s="2"/>
      <c r="D132" s="2"/>
      <c r="E132" s="2"/>
      <c r="F132" s="2"/>
      <c r="G132" s="2"/>
      <c r="H132" s="60"/>
      <c r="I132" s="60"/>
      <c r="J132" s="2"/>
      <c r="K132" s="2"/>
      <c r="L132" s="2"/>
      <c r="M132" s="2"/>
      <c r="N132" s="2"/>
      <c r="O132" s="2"/>
      <c r="P132" s="2"/>
      <c r="Q132" s="2"/>
      <c r="R132" s="62"/>
    </row>
    <row r="133">
      <c r="A133" s="2"/>
      <c r="B133" s="62"/>
      <c r="C133" s="2"/>
      <c r="D133" s="2"/>
      <c r="E133" s="2"/>
      <c r="F133" s="2"/>
      <c r="G133" s="2"/>
      <c r="H133" s="60"/>
      <c r="I133" s="60"/>
      <c r="J133" s="2"/>
      <c r="K133" s="2"/>
      <c r="L133" s="2"/>
      <c r="M133" s="2"/>
      <c r="N133" s="2"/>
      <c r="O133" s="2"/>
      <c r="Q133" s="2"/>
      <c r="R133" s="62"/>
    </row>
    <row r="134">
      <c r="A134" s="2"/>
      <c r="B134" s="62"/>
      <c r="C134" s="2"/>
      <c r="D134" s="2"/>
      <c r="E134" s="2"/>
      <c r="F134" s="2"/>
      <c r="G134" s="2"/>
      <c r="H134" s="60"/>
      <c r="I134" s="60"/>
      <c r="J134" s="2"/>
      <c r="K134" s="2"/>
      <c r="L134" s="2"/>
      <c r="M134" s="2"/>
      <c r="N134" s="2"/>
      <c r="O134" s="2"/>
      <c r="Q134" s="2"/>
      <c r="R134" s="62"/>
    </row>
    <row r="135">
      <c r="A135" s="2"/>
      <c r="B135" s="62"/>
      <c r="C135" s="2"/>
      <c r="D135" s="2"/>
      <c r="E135" s="2"/>
      <c r="F135" s="2"/>
      <c r="G135" s="2"/>
      <c r="H135" s="60"/>
      <c r="I135" s="60"/>
      <c r="J135" s="2"/>
      <c r="K135" s="2"/>
      <c r="L135" s="2"/>
      <c r="M135" s="2"/>
      <c r="N135" s="2"/>
      <c r="O135" s="2"/>
      <c r="P135" s="2"/>
      <c r="Q135" s="2"/>
      <c r="R135" s="62"/>
    </row>
    <row r="136">
      <c r="A136" s="2"/>
      <c r="B136" s="62"/>
      <c r="C136" s="2"/>
      <c r="D136" s="2"/>
      <c r="E136" s="2"/>
      <c r="F136" s="2"/>
      <c r="G136" s="2"/>
      <c r="H136" s="60"/>
      <c r="I136" s="60"/>
      <c r="J136" s="2"/>
      <c r="K136" s="2"/>
      <c r="L136" s="2"/>
      <c r="M136" s="2"/>
      <c r="N136" s="2"/>
      <c r="O136" s="2"/>
      <c r="P136" s="2"/>
      <c r="Q136" s="2"/>
      <c r="R136" s="62"/>
    </row>
    <row r="137">
      <c r="A137" s="2"/>
      <c r="B137" s="62"/>
      <c r="C137" s="2"/>
      <c r="D137" s="2"/>
      <c r="E137" s="2"/>
      <c r="F137" s="2"/>
      <c r="G137" s="2"/>
      <c r="H137" s="60"/>
      <c r="I137" s="60"/>
      <c r="J137" s="2"/>
      <c r="K137" s="2"/>
      <c r="L137" s="2"/>
      <c r="M137" s="2"/>
      <c r="N137" s="2"/>
      <c r="O137" s="2"/>
      <c r="Q137" s="2"/>
      <c r="R137" s="62"/>
    </row>
    <row r="138">
      <c r="A138" s="2"/>
      <c r="B138" s="62"/>
      <c r="C138" s="2"/>
      <c r="D138" s="2"/>
      <c r="E138" s="2"/>
      <c r="F138" s="2"/>
      <c r="G138" s="2"/>
      <c r="H138" s="60"/>
      <c r="I138" s="60"/>
      <c r="J138" s="2"/>
      <c r="K138" s="2"/>
      <c r="L138" s="2"/>
      <c r="M138" s="2"/>
      <c r="N138" s="2"/>
      <c r="O138" s="2"/>
      <c r="Q138" s="2"/>
      <c r="R138" s="62"/>
    </row>
    <row r="139">
      <c r="A139" s="2"/>
      <c r="B139" s="62"/>
      <c r="C139" s="2"/>
      <c r="D139" s="2"/>
      <c r="E139" s="2"/>
      <c r="F139" s="2"/>
      <c r="G139" s="2"/>
      <c r="H139" s="60"/>
      <c r="I139" s="60"/>
      <c r="J139" s="2"/>
      <c r="K139" s="2"/>
      <c r="L139" s="2"/>
      <c r="M139" s="2"/>
      <c r="N139" s="2"/>
      <c r="O139" s="2"/>
      <c r="Q139" s="2"/>
      <c r="R139" s="62"/>
    </row>
    <row r="140">
      <c r="A140" s="2"/>
      <c r="B140" s="62"/>
      <c r="C140" s="2"/>
      <c r="D140" s="2"/>
      <c r="E140" s="2"/>
      <c r="F140" s="2"/>
      <c r="G140" s="2"/>
      <c r="H140" s="60"/>
      <c r="I140" s="60"/>
      <c r="J140" s="2"/>
      <c r="K140" s="2"/>
      <c r="L140" s="2"/>
      <c r="M140" s="2"/>
      <c r="N140" s="2"/>
      <c r="O140" s="2"/>
      <c r="Q140" s="2"/>
      <c r="R140" s="62"/>
    </row>
    <row r="141">
      <c r="A141" s="2"/>
      <c r="B141" s="62"/>
      <c r="C141" s="2"/>
      <c r="D141" s="2"/>
      <c r="E141" s="2"/>
      <c r="F141" s="2"/>
      <c r="G141" s="2"/>
      <c r="H141" s="60"/>
      <c r="I141" s="60"/>
      <c r="J141" s="2"/>
      <c r="K141" s="2"/>
      <c r="L141" s="2"/>
      <c r="M141" s="2"/>
      <c r="N141" s="2"/>
      <c r="O141" s="2"/>
      <c r="Q141" s="2"/>
      <c r="R141" s="62"/>
    </row>
    <row r="142">
      <c r="A142" s="2"/>
      <c r="B142" s="62"/>
      <c r="C142" s="2"/>
      <c r="D142" s="2"/>
      <c r="E142" s="2"/>
      <c r="F142" s="2"/>
      <c r="G142" s="2"/>
      <c r="H142" s="60"/>
      <c r="I142" s="60"/>
      <c r="J142" s="2"/>
      <c r="K142" s="2"/>
      <c r="L142" s="2"/>
      <c r="M142" s="2"/>
      <c r="N142" s="2"/>
      <c r="O142" s="2"/>
      <c r="Q142" s="2"/>
      <c r="R142" s="62"/>
    </row>
    <row r="143">
      <c r="A143" s="2"/>
      <c r="B143" s="62"/>
      <c r="C143" s="2"/>
      <c r="D143" s="2"/>
      <c r="E143" s="2"/>
      <c r="F143" s="2"/>
      <c r="G143" s="2"/>
      <c r="H143" s="60"/>
      <c r="I143" s="60"/>
      <c r="J143" s="2"/>
      <c r="K143" s="2"/>
      <c r="L143" s="2"/>
      <c r="M143" s="2"/>
      <c r="N143" s="2"/>
      <c r="O143" s="2"/>
      <c r="P143" s="2"/>
      <c r="Q143" s="2"/>
      <c r="R143" s="62"/>
    </row>
    <row r="144">
      <c r="A144" s="2"/>
      <c r="B144" s="62"/>
      <c r="C144" s="2"/>
      <c r="D144" s="2"/>
      <c r="E144" s="2"/>
      <c r="F144" s="2"/>
      <c r="G144" s="2"/>
      <c r="H144" s="60"/>
      <c r="I144" s="60"/>
      <c r="J144" s="2"/>
      <c r="K144" s="2"/>
      <c r="L144" s="2"/>
      <c r="M144" s="2"/>
      <c r="N144" s="2"/>
      <c r="O144" s="2"/>
      <c r="Q144" s="2"/>
      <c r="R144" s="62"/>
    </row>
    <row r="145">
      <c r="A145" s="2"/>
      <c r="B145" s="62"/>
      <c r="C145" s="2"/>
      <c r="D145" s="2"/>
      <c r="E145" s="2"/>
      <c r="F145" s="2"/>
      <c r="G145" s="2"/>
      <c r="H145" s="60"/>
      <c r="I145" s="60"/>
      <c r="J145" s="2"/>
      <c r="K145" s="2"/>
      <c r="L145" s="2"/>
      <c r="M145" s="2"/>
      <c r="N145" s="2"/>
      <c r="O145" s="2"/>
      <c r="P145" s="2"/>
      <c r="Q145" s="2"/>
      <c r="R145" s="62"/>
    </row>
    <row r="146">
      <c r="A146" s="2"/>
      <c r="B146" s="62"/>
      <c r="C146" s="2"/>
      <c r="D146" s="2"/>
      <c r="E146" s="2"/>
      <c r="F146" s="2"/>
      <c r="G146" s="2"/>
      <c r="H146" s="60"/>
      <c r="I146" s="60"/>
      <c r="J146" s="2"/>
      <c r="K146" s="2"/>
      <c r="L146" s="2"/>
      <c r="M146" s="2"/>
      <c r="N146" s="2"/>
      <c r="O146" s="2"/>
      <c r="Q146" s="2"/>
      <c r="R146" s="62"/>
    </row>
    <row r="147">
      <c r="A147" s="2"/>
      <c r="B147" s="62"/>
      <c r="C147" s="2"/>
      <c r="D147" s="2"/>
      <c r="E147" s="2"/>
      <c r="F147" s="2"/>
      <c r="G147" s="2"/>
      <c r="H147" s="60"/>
      <c r="I147" s="60"/>
      <c r="J147" s="2"/>
      <c r="K147" s="2"/>
      <c r="L147" s="2"/>
      <c r="M147" s="2"/>
      <c r="N147" s="2"/>
      <c r="O147" s="2"/>
      <c r="P147" s="2"/>
      <c r="Q147" s="2"/>
      <c r="R147" s="62"/>
    </row>
    <row r="148">
      <c r="A148" s="2"/>
      <c r="B148" s="62"/>
      <c r="C148" s="2"/>
      <c r="D148" s="2"/>
      <c r="E148" s="2"/>
      <c r="F148" s="2"/>
      <c r="G148" s="2"/>
      <c r="H148" s="60"/>
      <c r="I148" s="60"/>
      <c r="J148" s="2"/>
      <c r="K148" s="2"/>
      <c r="L148" s="2"/>
      <c r="M148" s="2"/>
      <c r="N148" s="2"/>
      <c r="O148" s="2"/>
      <c r="P148" s="2"/>
      <c r="Q148" s="2"/>
      <c r="R148" s="62"/>
    </row>
    <row r="149">
      <c r="A149" s="2"/>
      <c r="B149" s="62"/>
      <c r="C149" s="2"/>
      <c r="D149" s="2"/>
      <c r="E149" s="2"/>
      <c r="F149" s="2"/>
      <c r="G149" s="2"/>
      <c r="H149" s="60"/>
      <c r="I149" s="60"/>
      <c r="J149" s="2"/>
      <c r="K149" s="2"/>
      <c r="L149" s="2"/>
      <c r="M149" s="2"/>
      <c r="N149" s="2"/>
      <c r="O149" s="2"/>
      <c r="Q149" s="2"/>
      <c r="R149" s="62"/>
    </row>
    <row r="150">
      <c r="A150" s="2"/>
      <c r="B150" s="62"/>
      <c r="C150" s="2"/>
      <c r="D150" s="2"/>
      <c r="E150" s="2"/>
      <c r="F150" s="2"/>
      <c r="G150" s="2"/>
      <c r="H150" s="60"/>
      <c r="I150" s="60"/>
      <c r="J150" s="2"/>
      <c r="K150" s="2"/>
      <c r="L150" s="2"/>
      <c r="M150" s="2"/>
      <c r="N150" s="2"/>
      <c r="O150" s="2"/>
      <c r="P150" s="2"/>
      <c r="Q150" s="2"/>
      <c r="R150" s="62"/>
    </row>
    <row r="151">
      <c r="A151" s="2"/>
      <c r="B151" s="62"/>
      <c r="C151" s="2"/>
      <c r="D151" s="2"/>
      <c r="E151" s="2"/>
      <c r="F151" s="2"/>
      <c r="G151" s="2"/>
      <c r="H151" s="60"/>
      <c r="I151" s="60"/>
      <c r="J151" s="2"/>
      <c r="K151" s="2"/>
      <c r="L151" s="2"/>
      <c r="M151" s="2"/>
      <c r="N151" s="2"/>
      <c r="O151" s="2"/>
      <c r="Q151" s="2"/>
      <c r="R151" s="62"/>
    </row>
    <row r="152">
      <c r="A152" s="2"/>
      <c r="B152" s="62"/>
      <c r="C152" s="2"/>
      <c r="D152" s="2"/>
      <c r="E152" s="2"/>
      <c r="F152" s="2"/>
      <c r="G152" s="2"/>
      <c r="H152" s="60"/>
      <c r="I152" s="60"/>
      <c r="J152" s="2"/>
      <c r="K152" s="2"/>
      <c r="L152" s="2"/>
      <c r="M152" s="2"/>
      <c r="N152" s="2"/>
      <c r="O152" s="2"/>
      <c r="P152" s="2"/>
      <c r="Q152" s="2"/>
      <c r="R152" s="62"/>
    </row>
    <row r="153">
      <c r="A153" s="2"/>
      <c r="B153" s="62"/>
      <c r="C153" s="2"/>
      <c r="D153" s="2"/>
      <c r="E153" s="2"/>
      <c r="F153" s="2"/>
      <c r="G153" s="2"/>
      <c r="H153" s="60"/>
      <c r="I153" s="60"/>
      <c r="J153" s="2"/>
      <c r="K153" s="2"/>
      <c r="L153" s="2"/>
      <c r="M153" s="2"/>
      <c r="N153" s="2"/>
      <c r="O153" s="2"/>
      <c r="Q153" s="2"/>
      <c r="R153" s="62"/>
    </row>
    <row r="154">
      <c r="A154" s="2"/>
      <c r="B154" s="62"/>
      <c r="C154" s="2"/>
      <c r="D154" s="2"/>
      <c r="E154" s="2"/>
      <c r="F154" s="2"/>
      <c r="G154" s="2"/>
      <c r="H154" s="60"/>
      <c r="I154" s="60"/>
      <c r="J154" s="2"/>
      <c r="K154" s="2"/>
      <c r="L154" s="2"/>
      <c r="M154" s="2"/>
      <c r="N154" s="2"/>
      <c r="O154" s="2"/>
      <c r="Q154" s="2"/>
      <c r="R154" s="62"/>
    </row>
    <row r="155">
      <c r="A155" s="2"/>
      <c r="B155" s="62"/>
      <c r="C155" s="2"/>
      <c r="D155" s="2"/>
      <c r="E155" s="2"/>
      <c r="F155" s="2"/>
      <c r="G155" s="2"/>
      <c r="H155" s="60"/>
      <c r="I155" s="60"/>
      <c r="J155" s="2"/>
      <c r="K155" s="2"/>
      <c r="L155" s="2"/>
      <c r="M155" s="2"/>
      <c r="N155" s="2"/>
      <c r="O155" s="2"/>
      <c r="P155" s="2"/>
      <c r="Q155" s="2"/>
      <c r="R155" s="62"/>
    </row>
    <row r="156">
      <c r="A156" s="2"/>
      <c r="B156" s="62"/>
      <c r="C156" s="2"/>
      <c r="D156" s="2"/>
      <c r="E156" s="2"/>
      <c r="F156" s="2"/>
      <c r="G156" s="2"/>
      <c r="H156" s="60"/>
      <c r="I156" s="60"/>
      <c r="J156" s="2"/>
      <c r="K156" s="2"/>
      <c r="L156" s="2"/>
      <c r="M156" s="2"/>
      <c r="N156" s="2"/>
      <c r="O156" s="2"/>
      <c r="Q156" s="2"/>
      <c r="R156" s="62"/>
    </row>
    <row r="157">
      <c r="A157" s="2"/>
      <c r="B157" s="62"/>
      <c r="C157" s="2"/>
      <c r="D157" s="2"/>
      <c r="E157" s="2"/>
      <c r="F157" s="2"/>
      <c r="G157" s="2"/>
      <c r="H157" s="60"/>
      <c r="I157" s="60"/>
      <c r="J157" s="2"/>
      <c r="K157" s="2"/>
      <c r="L157" s="2"/>
      <c r="M157" s="2"/>
      <c r="N157" s="2"/>
      <c r="O157" s="2"/>
      <c r="P157" s="2"/>
      <c r="Q157" s="2"/>
      <c r="R157" s="62"/>
    </row>
    <row r="158">
      <c r="A158" s="2"/>
      <c r="B158" s="62"/>
      <c r="C158" s="2"/>
      <c r="D158" s="2"/>
      <c r="E158" s="2"/>
      <c r="F158" s="2"/>
      <c r="G158" s="2"/>
      <c r="H158" s="60"/>
      <c r="I158" s="60"/>
      <c r="J158" s="2"/>
      <c r="K158" s="2"/>
      <c r="L158" s="2"/>
      <c r="M158" s="2"/>
      <c r="N158" s="2"/>
      <c r="O158" s="2"/>
      <c r="P158" s="2"/>
      <c r="Q158" s="2"/>
      <c r="R158" s="62"/>
    </row>
    <row r="159">
      <c r="A159" s="2"/>
      <c r="B159" s="62"/>
      <c r="C159" s="2"/>
      <c r="D159" s="2"/>
      <c r="E159" s="2"/>
      <c r="F159" s="2"/>
      <c r="G159" s="2"/>
      <c r="H159" s="60"/>
      <c r="I159" s="60"/>
      <c r="J159" s="2"/>
      <c r="K159" s="2"/>
      <c r="L159" s="2"/>
      <c r="M159" s="2"/>
      <c r="N159" s="2"/>
      <c r="O159" s="2"/>
      <c r="P159" s="2"/>
      <c r="Q159" s="2"/>
      <c r="R159" s="62"/>
    </row>
    <row r="160">
      <c r="A160" s="2"/>
      <c r="B160" s="62"/>
      <c r="C160" s="2"/>
      <c r="D160" s="2"/>
      <c r="E160" s="2"/>
      <c r="F160" s="2"/>
      <c r="G160" s="2"/>
      <c r="H160" s="60"/>
      <c r="I160" s="60"/>
      <c r="J160" s="2"/>
      <c r="K160" s="2"/>
      <c r="L160" s="2"/>
      <c r="M160" s="2"/>
      <c r="N160" s="2"/>
      <c r="O160" s="2"/>
      <c r="P160" s="2"/>
      <c r="Q160" s="2"/>
      <c r="R160" s="62"/>
    </row>
    <row r="161">
      <c r="A161" s="2"/>
      <c r="B161" s="62"/>
      <c r="C161" s="2"/>
      <c r="D161" s="2"/>
      <c r="E161" s="2"/>
      <c r="F161" s="2"/>
      <c r="G161" s="2"/>
      <c r="H161" s="60"/>
      <c r="I161" s="60"/>
      <c r="J161" s="2"/>
      <c r="K161" s="2"/>
      <c r="L161" s="2"/>
      <c r="M161" s="2"/>
      <c r="N161" s="2"/>
      <c r="O161" s="2"/>
      <c r="P161" s="2"/>
      <c r="Q161" s="2"/>
      <c r="R161" s="62"/>
    </row>
    <row r="162">
      <c r="A162" s="2"/>
      <c r="B162" s="62"/>
      <c r="C162" s="2"/>
      <c r="D162" s="2"/>
      <c r="E162" s="2"/>
      <c r="F162" s="2"/>
      <c r="G162" s="2"/>
      <c r="H162" s="60"/>
      <c r="I162" s="60"/>
      <c r="J162" s="2"/>
      <c r="K162" s="2"/>
      <c r="L162" s="2"/>
      <c r="M162" s="2"/>
      <c r="N162" s="2"/>
      <c r="O162" s="2"/>
      <c r="P162" s="2"/>
      <c r="Q162" s="2"/>
      <c r="R162" s="62"/>
    </row>
    <row r="163">
      <c r="A163" s="2"/>
      <c r="B163" s="62"/>
      <c r="C163" s="2"/>
      <c r="D163" s="2"/>
      <c r="E163" s="2"/>
      <c r="F163" s="2"/>
      <c r="G163" s="2"/>
      <c r="H163" s="60"/>
      <c r="I163" s="60"/>
      <c r="J163" s="2"/>
      <c r="K163" s="2"/>
      <c r="L163" s="2"/>
      <c r="M163" s="2"/>
      <c r="N163" s="2"/>
      <c r="O163" s="2"/>
      <c r="Q163" s="2"/>
      <c r="R163" s="62"/>
    </row>
    <row r="164">
      <c r="A164" s="2"/>
      <c r="B164" s="62"/>
      <c r="C164" s="2"/>
      <c r="D164" s="2"/>
      <c r="E164" s="2"/>
      <c r="F164" s="2"/>
      <c r="G164" s="2"/>
      <c r="H164" s="60"/>
      <c r="I164" s="60"/>
      <c r="J164" s="2"/>
      <c r="K164" s="2"/>
      <c r="L164" s="2"/>
      <c r="M164" s="2"/>
      <c r="N164" s="2"/>
      <c r="O164" s="2"/>
      <c r="P164" s="2"/>
      <c r="Q164" s="2"/>
      <c r="R164" s="62"/>
    </row>
    <row r="165">
      <c r="A165" s="2"/>
      <c r="B165" s="62"/>
      <c r="C165" s="2"/>
      <c r="D165" s="2"/>
      <c r="E165" s="2"/>
      <c r="F165" s="2"/>
      <c r="G165" s="2"/>
      <c r="H165" s="60"/>
      <c r="I165" s="60"/>
      <c r="J165" s="2"/>
      <c r="K165" s="2"/>
      <c r="L165" s="2"/>
      <c r="M165" s="2"/>
      <c r="N165" s="2"/>
      <c r="O165" s="2"/>
      <c r="Q165" s="2"/>
      <c r="R165" s="62"/>
    </row>
    <row r="166">
      <c r="A166" s="2"/>
      <c r="B166" s="62"/>
      <c r="C166" s="2"/>
      <c r="D166" s="2"/>
      <c r="E166" s="2"/>
      <c r="F166" s="2"/>
      <c r="G166" s="2"/>
      <c r="H166" s="60"/>
      <c r="I166" s="60"/>
      <c r="J166" s="2"/>
      <c r="K166" s="2"/>
      <c r="L166" s="2"/>
      <c r="M166" s="2"/>
      <c r="N166" s="2"/>
      <c r="O166" s="2"/>
      <c r="Q166" s="2"/>
      <c r="R166" s="62"/>
    </row>
    <row r="167">
      <c r="A167" s="2"/>
      <c r="B167" s="62"/>
      <c r="C167" s="2"/>
      <c r="D167" s="2"/>
      <c r="E167" s="2"/>
      <c r="F167" s="2"/>
      <c r="G167" s="2"/>
      <c r="H167" s="60"/>
      <c r="I167" s="60"/>
      <c r="J167" s="2"/>
      <c r="K167" s="2"/>
      <c r="L167" s="2"/>
      <c r="M167" s="2"/>
      <c r="N167" s="2"/>
      <c r="O167" s="2"/>
      <c r="P167" s="2"/>
      <c r="Q167" s="2"/>
      <c r="R167" s="62"/>
    </row>
    <row r="168">
      <c r="A168" s="2"/>
      <c r="B168" s="62"/>
      <c r="C168" s="2"/>
      <c r="D168" s="2"/>
      <c r="E168" s="2"/>
      <c r="F168" s="2"/>
      <c r="G168" s="2"/>
      <c r="H168" s="60"/>
      <c r="I168" s="60"/>
      <c r="J168" s="2"/>
      <c r="K168" s="2"/>
      <c r="L168" s="2"/>
      <c r="M168" s="2"/>
      <c r="N168" s="2"/>
      <c r="O168" s="2"/>
      <c r="P168" s="2"/>
      <c r="Q168" s="2"/>
      <c r="R168" s="62"/>
    </row>
    <row r="169">
      <c r="A169" s="2"/>
      <c r="B169" s="62"/>
      <c r="C169" s="2"/>
      <c r="D169" s="2"/>
      <c r="E169" s="2"/>
      <c r="F169" s="2"/>
      <c r="G169" s="2"/>
      <c r="H169" s="60"/>
      <c r="I169" s="60"/>
      <c r="J169" s="2"/>
      <c r="K169" s="2"/>
      <c r="L169" s="2"/>
      <c r="M169" s="2"/>
      <c r="N169" s="2"/>
      <c r="O169" s="2"/>
      <c r="Q169" s="2"/>
      <c r="R169" s="62"/>
    </row>
    <row r="170">
      <c r="A170" s="2"/>
      <c r="B170" s="62"/>
      <c r="C170" s="2"/>
      <c r="D170" s="2"/>
      <c r="E170" s="2"/>
      <c r="F170" s="2"/>
      <c r="G170" s="2"/>
      <c r="H170" s="60"/>
      <c r="I170" s="60"/>
      <c r="J170" s="2"/>
      <c r="K170" s="2"/>
      <c r="L170" s="2"/>
      <c r="M170" s="2"/>
      <c r="N170" s="2"/>
      <c r="O170" s="2"/>
      <c r="P170" s="2"/>
      <c r="Q170" s="2"/>
      <c r="R170" s="62"/>
    </row>
    <row r="171">
      <c r="A171" s="2"/>
      <c r="B171" s="62"/>
      <c r="C171" s="2"/>
      <c r="D171" s="2"/>
      <c r="E171" s="2"/>
      <c r="F171" s="2"/>
      <c r="G171" s="2"/>
      <c r="H171" s="60"/>
      <c r="I171" s="60"/>
      <c r="J171" s="2"/>
      <c r="K171" s="2"/>
      <c r="L171" s="2"/>
      <c r="M171" s="2"/>
      <c r="N171" s="2"/>
      <c r="O171" s="2"/>
      <c r="P171" s="2"/>
      <c r="Q171" s="2"/>
      <c r="R171" s="62"/>
    </row>
    <row r="172">
      <c r="A172" s="2"/>
      <c r="B172" s="62"/>
      <c r="C172" s="2"/>
      <c r="D172" s="2"/>
      <c r="E172" s="2"/>
      <c r="F172" s="2"/>
      <c r="G172" s="2"/>
      <c r="H172" s="60"/>
      <c r="I172" s="60"/>
      <c r="J172" s="2"/>
      <c r="K172" s="2"/>
      <c r="L172" s="2"/>
      <c r="M172" s="2"/>
      <c r="N172" s="2"/>
      <c r="O172" s="2"/>
      <c r="P172" s="2"/>
      <c r="Q172" s="2"/>
      <c r="R172" s="62"/>
    </row>
    <row r="173">
      <c r="A173" s="2"/>
      <c r="B173" s="62"/>
      <c r="C173" s="2"/>
      <c r="D173" s="2"/>
      <c r="E173" s="2"/>
      <c r="F173" s="2"/>
      <c r="G173" s="2"/>
      <c r="H173" s="60"/>
      <c r="I173" s="60"/>
      <c r="J173" s="2"/>
      <c r="K173" s="2"/>
      <c r="L173" s="2"/>
      <c r="M173" s="2"/>
      <c r="N173" s="2"/>
      <c r="O173" s="2"/>
      <c r="P173" s="2"/>
      <c r="Q173" s="2"/>
      <c r="R173" s="62"/>
    </row>
    <row r="174">
      <c r="A174" s="2"/>
      <c r="B174" s="62"/>
      <c r="C174" s="2"/>
      <c r="D174" s="2"/>
      <c r="E174" s="2"/>
      <c r="F174" s="2"/>
      <c r="G174" s="2"/>
      <c r="H174" s="60"/>
      <c r="I174" s="60"/>
      <c r="J174" s="2"/>
      <c r="K174" s="2"/>
      <c r="L174" s="2"/>
      <c r="M174" s="2"/>
      <c r="N174" s="2"/>
      <c r="O174" s="2"/>
      <c r="P174" s="2"/>
      <c r="Q174" s="2"/>
      <c r="R174" s="62"/>
    </row>
    <row r="175">
      <c r="A175" s="2"/>
      <c r="B175" s="62"/>
      <c r="C175" s="2"/>
      <c r="D175" s="2"/>
      <c r="E175" s="2"/>
      <c r="F175" s="2"/>
      <c r="G175" s="2"/>
      <c r="H175" s="60"/>
      <c r="I175" s="60"/>
      <c r="J175" s="2"/>
      <c r="K175" s="2"/>
      <c r="L175" s="2"/>
      <c r="M175" s="2"/>
      <c r="N175" s="2"/>
      <c r="O175" s="2"/>
      <c r="P175" s="2"/>
      <c r="Q175" s="2"/>
      <c r="R175" s="62"/>
    </row>
    <row r="176">
      <c r="A176" s="2"/>
      <c r="B176" s="62"/>
      <c r="C176" s="2"/>
      <c r="D176" s="2"/>
      <c r="E176" s="2"/>
      <c r="F176" s="2"/>
      <c r="G176" s="2"/>
      <c r="H176" s="60"/>
      <c r="I176" s="60"/>
      <c r="J176" s="2"/>
      <c r="K176" s="2"/>
      <c r="L176" s="2"/>
      <c r="M176" s="2"/>
      <c r="N176" s="2"/>
      <c r="O176" s="2"/>
      <c r="P176" s="2"/>
      <c r="Q176" s="2"/>
      <c r="R176" s="62"/>
    </row>
    <row r="177">
      <c r="A177" s="2"/>
      <c r="B177" s="62"/>
      <c r="C177" s="2"/>
      <c r="D177" s="2"/>
      <c r="E177" s="2"/>
      <c r="F177" s="2"/>
      <c r="G177" s="2"/>
      <c r="H177" s="60"/>
      <c r="I177" s="60"/>
      <c r="J177" s="2"/>
      <c r="K177" s="2"/>
      <c r="L177" s="2"/>
      <c r="M177" s="2"/>
      <c r="N177" s="2"/>
      <c r="O177" s="2"/>
      <c r="P177" s="2"/>
      <c r="Q177" s="2"/>
      <c r="R177" s="62"/>
    </row>
    <row r="178">
      <c r="A178" s="2"/>
      <c r="B178" s="62"/>
      <c r="C178" s="2"/>
      <c r="D178" s="2"/>
      <c r="E178" s="2"/>
      <c r="F178" s="2"/>
      <c r="G178" s="2"/>
      <c r="H178" s="60"/>
      <c r="I178" s="60"/>
      <c r="J178" s="2"/>
      <c r="K178" s="2"/>
      <c r="L178" s="2"/>
      <c r="M178" s="2"/>
      <c r="N178" s="2"/>
      <c r="O178" s="2"/>
      <c r="P178" s="2"/>
      <c r="Q178" s="2"/>
      <c r="R178" s="62"/>
    </row>
    <row r="179">
      <c r="A179" s="2"/>
      <c r="B179" s="62"/>
      <c r="C179" s="2"/>
      <c r="D179" s="2"/>
      <c r="E179" s="2"/>
      <c r="F179" s="2"/>
      <c r="G179" s="2"/>
      <c r="H179" s="60"/>
      <c r="I179" s="60"/>
      <c r="J179" s="2"/>
      <c r="K179" s="2"/>
      <c r="L179" s="2"/>
      <c r="M179" s="2"/>
      <c r="N179" s="2"/>
      <c r="O179" s="2"/>
      <c r="P179" s="2"/>
      <c r="Q179" s="2"/>
      <c r="R179" s="62"/>
    </row>
    <row r="180">
      <c r="A180" s="2"/>
      <c r="B180" s="62"/>
      <c r="C180" s="2"/>
      <c r="D180" s="2"/>
      <c r="E180" s="2"/>
      <c r="F180" s="2"/>
      <c r="G180" s="2"/>
      <c r="H180" s="60"/>
      <c r="I180" s="60"/>
      <c r="J180" s="2"/>
      <c r="K180" s="2"/>
      <c r="L180" s="2"/>
      <c r="M180" s="2"/>
      <c r="N180" s="2"/>
      <c r="O180" s="2"/>
      <c r="P180" s="2"/>
      <c r="Q180" s="2"/>
      <c r="R180" s="62"/>
    </row>
    <row r="181">
      <c r="A181" s="2"/>
      <c r="B181" s="62"/>
      <c r="C181" s="2"/>
      <c r="D181" s="2"/>
      <c r="E181" s="2"/>
      <c r="F181" s="2"/>
      <c r="G181" s="2"/>
      <c r="H181" s="60"/>
      <c r="I181" s="60"/>
      <c r="J181" s="2"/>
      <c r="K181" s="2"/>
      <c r="L181" s="2"/>
      <c r="M181" s="2"/>
      <c r="N181" s="2"/>
      <c r="O181" s="2"/>
      <c r="Q181" s="2"/>
      <c r="R181" s="62"/>
    </row>
    <row r="182">
      <c r="A182" s="2"/>
      <c r="B182" s="62"/>
      <c r="C182" s="2"/>
      <c r="D182" s="2"/>
      <c r="E182" s="2"/>
      <c r="F182" s="2"/>
      <c r="G182" s="2"/>
      <c r="H182" s="60"/>
      <c r="I182" s="60"/>
      <c r="J182" s="2"/>
      <c r="K182" s="2"/>
      <c r="L182" s="2"/>
      <c r="M182" s="2"/>
      <c r="N182" s="2"/>
      <c r="O182" s="2"/>
      <c r="P182" s="2"/>
      <c r="Q182" s="2"/>
      <c r="R182" s="62"/>
    </row>
    <row r="183">
      <c r="A183" s="2"/>
      <c r="B183" s="62"/>
      <c r="C183" s="2"/>
      <c r="D183" s="2"/>
      <c r="E183" s="2"/>
      <c r="F183" s="2"/>
      <c r="G183" s="2"/>
      <c r="H183" s="60"/>
      <c r="I183" s="60"/>
      <c r="J183" s="2"/>
      <c r="K183" s="2"/>
      <c r="L183" s="2"/>
      <c r="M183" s="2"/>
      <c r="N183" s="2"/>
      <c r="O183" s="2"/>
      <c r="P183" s="2"/>
      <c r="Q183" s="2"/>
      <c r="R183" s="62"/>
    </row>
    <row r="184">
      <c r="A184" s="2"/>
      <c r="B184" s="62"/>
      <c r="C184" s="2"/>
      <c r="D184" s="2"/>
      <c r="E184" s="2"/>
      <c r="F184" s="2"/>
      <c r="G184" s="2"/>
      <c r="H184" s="60"/>
      <c r="I184" s="60"/>
      <c r="J184" s="2"/>
      <c r="K184" s="2"/>
      <c r="L184" s="2"/>
      <c r="M184" s="2"/>
      <c r="N184" s="2"/>
      <c r="O184" s="2"/>
      <c r="P184" s="2"/>
      <c r="Q184" s="2"/>
      <c r="R184" s="62"/>
    </row>
    <row r="185">
      <c r="A185" s="2"/>
      <c r="B185" s="62"/>
      <c r="C185" s="2"/>
      <c r="D185" s="2"/>
      <c r="E185" s="2"/>
      <c r="F185" s="2"/>
      <c r="G185" s="2"/>
      <c r="H185" s="60"/>
      <c r="I185" s="60"/>
      <c r="J185" s="2"/>
      <c r="K185" s="2"/>
      <c r="L185" s="2"/>
      <c r="M185" s="2"/>
      <c r="N185" s="2"/>
      <c r="O185" s="2"/>
      <c r="Q185" s="2"/>
      <c r="R185" s="62"/>
    </row>
    <row r="186">
      <c r="A186" s="2"/>
      <c r="B186" s="62"/>
      <c r="C186" s="2"/>
      <c r="D186" s="2"/>
      <c r="E186" s="2"/>
      <c r="F186" s="2"/>
      <c r="G186" s="2"/>
      <c r="H186" s="60"/>
      <c r="I186" s="60"/>
      <c r="J186" s="2"/>
      <c r="K186" s="2"/>
      <c r="L186" s="2"/>
      <c r="M186" s="2"/>
      <c r="N186" s="2"/>
      <c r="O186" s="2"/>
      <c r="Q186" s="2"/>
      <c r="R186" s="62"/>
    </row>
    <row r="187">
      <c r="A187" s="2"/>
      <c r="B187" s="62"/>
      <c r="C187" s="2"/>
      <c r="D187" s="2"/>
      <c r="E187" s="2"/>
      <c r="F187" s="2"/>
      <c r="G187" s="2"/>
      <c r="H187" s="60"/>
      <c r="I187" s="60"/>
      <c r="J187" s="2"/>
      <c r="K187" s="2"/>
      <c r="L187" s="2"/>
      <c r="M187" s="2"/>
      <c r="N187" s="2"/>
      <c r="O187" s="2"/>
      <c r="Q187" s="2"/>
      <c r="R187" s="62"/>
    </row>
    <row r="188">
      <c r="A188" s="2"/>
      <c r="B188" s="62"/>
      <c r="C188" s="2"/>
      <c r="D188" s="2"/>
      <c r="E188" s="2"/>
      <c r="F188" s="2"/>
      <c r="G188" s="2"/>
      <c r="H188" s="60"/>
      <c r="I188" s="60"/>
      <c r="J188" s="2"/>
      <c r="K188" s="2"/>
      <c r="L188" s="2"/>
      <c r="M188" s="2"/>
      <c r="N188" s="2"/>
      <c r="O188" s="2"/>
      <c r="P188" s="2"/>
      <c r="Q188" s="2"/>
      <c r="R188" s="62"/>
    </row>
    <row r="189">
      <c r="A189" s="2"/>
      <c r="B189" s="62"/>
      <c r="C189" s="2"/>
      <c r="D189" s="2"/>
      <c r="E189" s="2"/>
      <c r="F189" s="2"/>
      <c r="G189" s="2"/>
      <c r="H189" s="60"/>
      <c r="I189" s="60"/>
      <c r="J189" s="2"/>
      <c r="K189" s="2"/>
      <c r="L189" s="2"/>
      <c r="M189" s="2"/>
      <c r="N189" s="2"/>
      <c r="O189" s="2"/>
      <c r="P189" s="2"/>
      <c r="Q189" s="2"/>
      <c r="R189" s="62"/>
    </row>
    <row r="190">
      <c r="A190" s="2"/>
      <c r="B190" s="62"/>
      <c r="C190" s="2"/>
      <c r="D190" s="2"/>
      <c r="E190" s="2"/>
      <c r="F190" s="2"/>
      <c r="G190" s="2"/>
      <c r="H190" s="60"/>
      <c r="I190" s="60"/>
      <c r="J190" s="2"/>
      <c r="K190" s="2"/>
      <c r="L190" s="2"/>
      <c r="M190" s="2"/>
      <c r="N190" s="2"/>
      <c r="O190" s="2"/>
      <c r="Q190" s="2"/>
      <c r="R190" s="62"/>
    </row>
    <row r="191">
      <c r="A191" s="2"/>
      <c r="B191" s="62"/>
      <c r="C191" s="2"/>
      <c r="D191" s="2"/>
      <c r="E191" s="2"/>
      <c r="F191" s="2"/>
      <c r="G191" s="2"/>
      <c r="H191" s="60"/>
      <c r="I191" s="60"/>
      <c r="J191" s="2"/>
      <c r="K191" s="2"/>
      <c r="L191" s="2"/>
      <c r="M191" s="2"/>
      <c r="N191" s="2"/>
      <c r="O191" s="2"/>
      <c r="P191" s="2"/>
      <c r="Q191" s="2"/>
      <c r="R191" s="62"/>
    </row>
    <row r="192">
      <c r="A192" s="2"/>
      <c r="B192" s="62"/>
      <c r="C192" s="2"/>
      <c r="D192" s="2"/>
      <c r="E192" s="2"/>
      <c r="F192" s="2"/>
      <c r="G192" s="2"/>
      <c r="H192" s="60"/>
      <c r="I192" s="60"/>
      <c r="J192" s="2"/>
      <c r="K192" s="2"/>
      <c r="L192" s="2"/>
      <c r="M192" s="2"/>
      <c r="N192" s="2"/>
      <c r="O192" s="2"/>
      <c r="P192" s="2"/>
      <c r="Q192" s="2"/>
      <c r="R192" s="62"/>
    </row>
    <row r="193">
      <c r="A193" s="2"/>
      <c r="B193" s="62"/>
      <c r="C193" s="2"/>
      <c r="D193" s="2"/>
      <c r="E193" s="2"/>
      <c r="F193" s="2"/>
      <c r="G193" s="2"/>
      <c r="H193" s="60"/>
      <c r="I193" s="60"/>
      <c r="J193" s="2"/>
      <c r="K193" s="2"/>
      <c r="L193" s="2"/>
      <c r="M193" s="2"/>
      <c r="N193" s="2"/>
      <c r="O193" s="2"/>
      <c r="Q193" s="2"/>
      <c r="R193" s="62"/>
    </row>
    <row r="194">
      <c r="A194" s="2"/>
      <c r="B194" s="62"/>
      <c r="C194" s="2"/>
      <c r="D194" s="2"/>
      <c r="E194" s="2"/>
      <c r="F194" s="2"/>
      <c r="G194" s="2"/>
      <c r="H194" s="60"/>
      <c r="I194" s="60"/>
      <c r="J194" s="2"/>
      <c r="K194" s="2"/>
      <c r="L194" s="2"/>
      <c r="M194" s="2"/>
      <c r="N194" s="2"/>
      <c r="O194" s="2"/>
      <c r="Q194" s="2"/>
      <c r="R194" s="62"/>
    </row>
    <row r="195">
      <c r="A195" s="2"/>
      <c r="B195" s="62"/>
      <c r="C195" s="2"/>
      <c r="D195" s="2"/>
      <c r="E195" s="2"/>
      <c r="F195" s="2"/>
      <c r="G195" s="2"/>
      <c r="H195" s="60"/>
      <c r="I195" s="60"/>
      <c r="J195" s="2"/>
      <c r="K195" s="2"/>
      <c r="L195" s="2"/>
      <c r="M195" s="2"/>
      <c r="N195" s="2"/>
      <c r="O195" s="2"/>
      <c r="Q195" s="2"/>
      <c r="R195" s="62"/>
    </row>
    <row r="196">
      <c r="A196" s="2"/>
      <c r="B196" s="62"/>
      <c r="C196" s="2"/>
      <c r="D196" s="2"/>
      <c r="E196" s="2"/>
      <c r="F196" s="2"/>
      <c r="G196" s="2"/>
      <c r="H196" s="60"/>
      <c r="I196" s="60"/>
      <c r="J196" s="2"/>
      <c r="K196" s="2"/>
      <c r="L196" s="2"/>
      <c r="M196" s="2"/>
      <c r="N196" s="2"/>
      <c r="O196" s="2"/>
      <c r="Q196" s="2"/>
      <c r="R196" s="62"/>
    </row>
    <row r="197">
      <c r="A197" s="2"/>
      <c r="B197" s="62"/>
      <c r="C197" s="2"/>
      <c r="D197" s="2"/>
      <c r="E197" s="2"/>
      <c r="F197" s="2"/>
      <c r="G197" s="2"/>
      <c r="H197" s="60"/>
      <c r="I197" s="60"/>
      <c r="J197" s="2"/>
      <c r="K197" s="2"/>
      <c r="L197" s="2"/>
      <c r="M197" s="2"/>
      <c r="N197" s="2"/>
      <c r="O197" s="2"/>
      <c r="P197" s="2"/>
      <c r="Q197" s="2"/>
      <c r="R197" s="62"/>
    </row>
    <row r="198">
      <c r="A198" s="2"/>
      <c r="B198" s="62"/>
      <c r="C198" s="2"/>
      <c r="D198" s="2"/>
      <c r="E198" s="2"/>
      <c r="F198" s="2"/>
      <c r="G198" s="2"/>
      <c r="H198" s="60"/>
      <c r="I198" s="60"/>
      <c r="J198" s="2"/>
      <c r="K198" s="2"/>
      <c r="L198" s="2"/>
      <c r="M198" s="2"/>
      <c r="N198" s="2"/>
      <c r="O198" s="2"/>
      <c r="Q198" s="2"/>
      <c r="R198" s="62"/>
    </row>
    <row r="199">
      <c r="A199" s="2"/>
      <c r="B199" s="62"/>
      <c r="C199" s="2"/>
      <c r="D199" s="2"/>
      <c r="E199" s="2"/>
      <c r="F199" s="2"/>
      <c r="G199" s="2"/>
      <c r="H199" s="60"/>
      <c r="I199" s="60"/>
      <c r="J199" s="2"/>
      <c r="K199" s="2"/>
      <c r="L199" s="2"/>
      <c r="M199" s="2"/>
      <c r="N199" s="2"/>
      <c r="O199" s="2"/>
      <c r="Q199" s="2"/>
      <c r="R199" s="62"/>
    </row>
    <row r="200">
      <c r="A200" s="2"/>
      <c r="B200" s="62"/>
      <c r="C200" s="2"/>
      <c r="D200" s="2"/>
      <c r="E200" s="2"/>
      <c r="F200" s="2"/>
      <c r="G200" s="2"/>
      <c r="H200" s="60"/>
      <c r="I200" s="60"/>
      <c r="J200" s="2"/>
      <c r="K200" s="2"/>
      <c r="L200" s="2"/>
      <c r="M200" s="2"/>
      <c r="N200" s="2"/>
      <c r="O200" s="2"/>
      <c r="Q200" s="2"/>
      <c r="R200" s="62"/>
    </row>
    <row r="201">
      <c r="A201" s="2"/>
      <c r="B201" s="62"/>
      <c r="C201" s="2"/>
      <c r="D201" s="2"/>
      <c r="E201" s="2"/>
      <c r="F201" s="2"/>
      <c r="G201" s="2"/>
      <c r="H201" s="60"/>
      <c r="I201" s="60"/>
      <c r="J201" s="2"/>
      <c r="K201" s="2"/>
      <c r="L201" s="2"/>
      <c r="M201" s="2"/>
      <c r="N201" s="2"/>
      <c r="O201" s="2"/>
      <c r="P201" s="2"/>
      <c r="Q201" s="2"/>
      <c r="R201" s="62"/>
    </row>
    <row r="202">
      <c r="A202" s="2"/>
      <c r="B202" s="62"/>
      <c r="C202" s="2"/>
      <c r="D202" s="2"/>
      <c r="E202" s="2"/>
      <c r="F202" s="2"/>
      <c r="G202" s="2"/>
      <c r="H202" s="60"/>
      <c r="I202" s="60"/>
      <c r="J202" s="2"/>
      <c r="K202" s="2"/>
      <c r="L202" s="2"/>
      <c r="M202" s="2"/>
      <c r="N202" s="2"/>
      <c r="O202" s="2"/>
      <c r="Q202" s="2"/>
      <c r="R202" s="62"/>
    </row>
    <row r="203">
      <c r="A203" s="2"/>
      <c r="B203" s="62"/>
      <c r="C203" s="2"/>
      <c r="D203" s="2"/>
      <c r="E203" s="2"/>
      <c r="F203" s="2"/>
      <c r="G203" s="2"/>
      <c r="H203" s="60"/>
      <c r="I203" s="60"/>
      <c r="J203" s="2"/>
      <c r="K203" s="2"/>
      <c r="L203" s="2"/>
      <c r="M203" s="2"/>
      <c r="N203" s="2"/>
      <c r="O203" s="2"/>
      <c r="Q203" s="2"/>
      <c r="R203" s="62"/>
    </row>
    <row r="204">
      <c r="A204" s="2"/>
      <c r="B204" s="62"/>
      <c r="C204" s="2"/>
      <c r="D204" s="2"/>
      <c r="E204" s="2"/>
      <c r="F204" s="2"/>
      <c r="G204" s="2"/>
      <c r="H204" s="60"/>
      <c r="I204" s="60"/>
      <c r="J204" s="2"/>
      <c r="K204" s="2"/>
      <c r="L204" s="2"/>
      <c r="M204" s="2"/>
      <c r="N204" s="2"/>
      <c r="O204" s="2"/>
      <c r="Q204" s="2"/>
      <c r="R204" s="62"/>
    </row>
    <row r="205">
      <c r="A205" s="2"/>
      <c r="B205" s="62"/>
      <c r="C205" s="2"/>
      <c r="D205" s="2"/>
      <c r="E205" s="2"/>
      <c r="F205" s="2"/>
      <c r="G205" s="2"/>
      <c r="H205" s="60"/>
      <c r="I205" s="60"/>
      <c r="J205" s="2"/>
      <c r="K205" s="2"/>
      <c r="L205" s="2"/>
      <c r="M205" s="2"/>
      <c r="N205" s="2"/>
      <c r="O205" s="2"/>
      <c r="Q205" s="2"/>
      <c r="R205" s="62"/>
    </row>
    <row r="206">
      <c r="A206" s="2"/>
      <c r="B206" s="62"/>
      <c r="C206" s="2"/>
      <c r="D206" s="2"/>
      <c r="E206" s="2"/>
      <c r="F206" s="2"/>
      <c r="G206" s="2"/>
      <c r="H206" s="60"/>
      <c r="I206" s="60"/>
      <c r="J206" s="2"/>
      <c r="K206" s="2"/>
      <c r="L206" s="2"/>
      <c r="M206" s="2"/>
      <c r="N206" s="2"/>
      <c r="O206" s="2"/>
      <c r="Q206" s="2"/>
      <c r="R206" s="62"/>
    </row>
    <row r="207">
      <c r="A207" s="2"/>
      <c r="B207" s="62"/>
      <c r="C207" s="2"/>
      <c r="D207" s="2"/>
      <c r="E207" s="2"/>
      <c r="F207" s="2"/>
      <c r="G207" s="2"/>
      <c r="H207" s="60"/>
      <c r="I207" s="60"/>
      <c r="J207" s="2"/>
      <c r="K207" s="2"/>
      <c r="L207" s="2"/>
      <c r="M207" s="2"/>
      <c r="N207" s="2"/>
      <c r="O207" s="2"/>
      <c r="P207" s="2"/>
      <c r="Q207" s="2"/>
      <c r="R207" s="62"/>
    </row>
    <row r="208">
      <c r="A208" s="2"/>
      <c r="B208" s="62"/>
      <c r="C208" s="2"/>
      <c r="D208" s="2"/>
      <c r="E208" s="2"/>
      <c r="F208" s="2"/>
      <c r="G208" s="2"/>
      <c r="H208" s="60"/>
      <c r="I208" s="60"/>
      <c r="J208" s="2"/>
      <c r="K208" s="2"/>
      <c r="L208" s="2"/>
      <c r="M208" s="2"/>
      <c r="N208" s="2"/>
      <c r="O208" s="2"/>
      <c r="P208" s="2"/>
      <c r="Q208" s="2"/>
      <c r="R208" s="62"/>
    </row>
    <row r="209">
      <c r="A209" s="2"/>
      <c r="B209" s="62"/>
      <c r="C209" s="2"/>
      <c r="D209" s="2"/>
      <c r="E209" s="2"/>
      <c r="F209" s="2"/>
      <c r="G209" s="2"/>
      <c r="H209" s="60"/>
      <c r="I209" s="60"/>
      <c r="J209" s="2"/>
      <c r="K209" s="2"/>
      <c r="L209" s="2"/>
      <c r="M209" s="2"/>
      <c r="N209" s="2"/>
      <c r="O209" s="2"/>
      <c r="Q209" s="2"/>
      <c r="R209" s="62"/>
    </row>
    <row r="210">
      <c r="A210" s="2"/>
      <c r="B210" s="62"/>
      <c r="C210" s="2"/>
      <c r="D210" s="2"/>
      <c r="E210" s="2"/>
      <c r="F210" s="2"/>
      <c r="G210" s="2"/>
      <c r="H210" s="60"/>
      <c r="I210" s="60"/>
      <c r="J210" s="2"/>
      <c r="K210" s="2"/>
      <c r="L210" s="2"/>
      <c r="M210" s="2"/>
      <c r="N210" s="2"/>
      <c r="O210" s="2"/>
      <c r="P210" s="2"/>
      <c r="Q210" s="2"/>
      <c r="R210" s="62"/>
    </row>
    <row r="211">
      <c r="A211" s="2"/>
      <c r="B211" s="62"/>
      <c r="C211" s="2"/>
      <c r="D211" s="2"/>
      <c r="E211" s="2"/>
      <c r="F211" s="2"/>
      <c r="G211" s="2"/>
      <c r="H211" s="60"/>
      <c r="I211" s="60"/>
      <c r="J211" s="2"/>
      <c r="K211" s="2"/>
      <c r="L211" s="2"/>
      <c r="M211" s="2"/>
      <c r="N211" s="2"/>
      <c r="O211" s="2"/>
      <c r="P211" s="2"/>
      <c r="Q211" s="2"/>
      <c r="R211" s="62"/>
    </row>
    <row r="212">
      <c r="A212" s="2"/>
      <c r="B212" s="62"/>
      <c r="C212" s="2"/>
      <c r="D212" s="2"/>
      <c r="E212" s="2"/>
      <c r="F212" s="2"/>
      <c r="G212" s="2"/>
      <c r="H212" s="60"/>
      <c r="I212" s="60"/>
      <c r="J212" s="2"/>
      <c r="K212" s="2"/>
      <c r="L212" s="2"/>
      <c r="M212" s="2"/>
      <c r="N212" s="2"/>
      <c r="O212" s="2"/>
      <c r="P212" s="2"/>
      <c r="Q212" s="2"/>
      <c r="R212" s="62"/>
    </row>
    <row r="213">
      <c r="A213" s="2"/>
      <c r="B213" s="62"/>
      <c r="C213" s="2"/>
      <c r="D213" s="2"/>
      <c r="E213" s="2"/>
      <c r="F213" s="2"/>
      <c r="G213" s="2"/>
      <c r="H213" s="60"/>
      <c r="I213" s="60"/>
      <c r="J213" s="2"/>
      <c r="K213" s="2"/>
      <c r="L213" s="2"/>
      <c r="M213" s="2"/>
      <c r="N213" s="2"/>
      <c r="O213" s="2"/>
      <c r="P213" s="2"/>
      <c r="Q213" s="2"/>
      <c r="R213" s="62"/>
    </row>
    <row r="214">
      <c r="A214" s="2"/>
      <c r="B214" s="62"/>
      <c r="C214" s="2"/>
      <c r="D214" s="2"/>
      <c r="E214" s="2"/>
      <c r="F214" s="2"/>
      <c r="G214" s="2"/>
      <c r="H214" s="60"/>
      <c r="I214" s="60"/>
      <c r="J214" s="2"/>
      <c r="K214" s="2"/>
      <c r="L214" s="2"/>
      <c r="M214" s="2"/>
      <c r="N214" s="2"/>
      <c r="O214" s="2"/>
      <c r="P214" s="2"/>
      <c r="Q214" s="2"/>
      <c r="R214" s="62"/>
    </row>
    <row r="215">
      <c r="A215" s="2"/>
      <c r="B215" s="62"/>
      <c r="C215" s="2"/>
      <c r="D215" s="2"/>
      <c r="E215" s="2"/>
      <c r="F215" s="2"/>
      <c r="G215" s="2"/>
      <c r="H215" s="60"/>
      <c r="I215" s="60"/>
      <c r="J215" s="2"/>
      <c r="K215" s="2"/>
      <c r="L215" s="2"/>
      <c r="M215" s="2"/>
      <c r="N215" s="2"/>
      <c r="O215" s="2"/>
      <c r="Q215" s="2"/>
      <c r="R215" s="62"/>
    </row>
    <row r="216">
      <c r="A216" s="2"/>
      <c r="B216" s="62"/>
      <c r="C216" s="2"/>
      <c r="D216" s="2"/>
      <c r="E216" s="2"/>
      <c r="F216" s="2"/>
      <c r="G216" s="2"/>
      <c r="H216" s="60"/>
      <c r="I216" s="60"/>
      <c r="J216" s="2"/>
      <c r="K216" s="2"/>
      <c r="L216" s="2"/>
      <c r="M216" s="2"/>
      <c r="N216" s="2"/>
      <c r="O216" s="2"/>
      <c r="Q216" s="2"/>
      <c r="R216" s="62"/>
    </row>
    <row r="217">
      <c r="A217" s="2"/>
      <c r="B217" s="62"/>
      <c r="C217" s="2"/>
      <c r="D217" s="2"/>
      <c r="E217" s="2"/>
      <c r="F217" s="2"/>
      <c r="G217" s="2"/>
      <c r="H217" s="60"/>
      <c r="I217" s="60"/>
      <c r="J217" s="2"/>
      <c r="K217" s="2"/>
      <c r="L217" s="2"/>
      <c r="M217" s="2"/>
      <c r="N217" s="2"/>
      <c r="O217" s="2"/>
      <c r="P217" s="2"/>
      <c r="Q217" s="2"/>
      <c r="R217" s="62"/>
    </row>
    <row r="218">
      <c r="A218" s="2"/>
      <c r="B218" s="62"/>
      <c r="C218" s="2"/>
      <c r="D218" s="2"/>
      <c r="E218" s="2"/>
      <c r="F218" s="2"/>
      <c r="G218" s="2"/>
      <c r="H218" s="60"/>
      <c r="I218" s="60"/>
      <c r="J218" s="2"/>
      <c r="K218" s="2"/>
      <c r="L218" s="2"/>
      <c r="M218" s="2"/>
      <c r="N218" s="2"/>
      <c r="O218" s="2"/>
      <c r="Q218" s="2"/>
      <c r="R218" s="62"/>
    </row>
    <row r="219">
      <c r="A219" s="2"/>
      <c r="B219" s="62"/>
      <c r="C219" s="2"/>
      <c r="D219" s="2"/>
      <c r="E219" s="2"/>
      <c r="F219" s="2"/>
      <c r="G219" s="2"/>
      <c r="H219" s="60"/>
      <c r="I219" s="60"/>
      <c r="J219" s="2"/>
      <c r="K219" s="2"/>
      <c r="L219" s="2"/>
      <c r="M219" s="2"/>
      <c r="N219" s="2"/>
      <c r="O219" s="2"/>
      <c r="Q219" s="2"/>
      <c r="R219" s="62"/>
    </row>
    <row r="220">
      <c r="A220" s="2"/>
      <c r="B220" s="62"/>
      <c r="C220" s="2"/>
      <c r="D220" s="2"/>
      <c r="E220" s="2"/>
      <c r="F220" s="2"/>
      <c r="G220" s="2"/>
      <c r="H220" s="60"/>
      <c r="I220" s="60"/>
      <c r="J220" s="2"/>
      <c r="K220" s="2"/>
      <c r="L220" s="2"/>
      <c r="M220" s="2"/>
      <c r="N220" s="2"/>
      <c r="O220" s="2"/>
      <c r="P220" s="2"/>
      <c r="Q220" s="2"/>
      <c r="R220" s="62"/>
    </row>
    <row r="221">
      <c r="A221" s="2"/>
      <c r="B221" s="62"/>
      <c r="C221" s="2"/>
      <c r="D221" s="2"/>
      <c r="E221" s="2"/>
      <c r="F221" s="2"/>
      <c r="G221" s="2"/>
      <c r="H221" s="60"/>
      <c r="I221" s="60"/>
      <c r="J221" s="2"/>
      <c r="K221" s="2"/>
      <c r="L221" s="2"/>
      <c r="M221" s="2"/>
      <c r="N221" s="2"/>
      <c r="O221" s="2"/>
      <c r="P221" s="2"/>
      <c r="Q221" s="2"/>
      <c r="R221" s="62"/>
    </row>
    <row r="222">
      <c r="A222" s="2"/>
      <c r="B222" s="62"/>
      <c r="C222" s="2"/>
      <c r="D222" s="2"/>
      <c r="E222" s="2"/>
      <c r="F222" s="2"/>
      <c r="G222" s="2"/>
      <c r="H222" s="60"/>
      <c r="I222" s="60"/>
      <c r="J222" s="2"/>
      <c r="K222" s="2"/>
      <c r="L222" s="2"/>
      <c r="M222" s="2"/>
      <c r="N222" s="2"/>
      <c r="O222" s="2"/>
      <c r="P222" s="2"/>
      <c r="Q222" s="2"/>
      <c r="R222" s="62"/>
    </row>
    <row r="223">
      <c r="A223" s="2"/>
      <c r="B223" s="62"/>
      <c r="C223" s="2"/>
      <c r="D223" s="2"/>
      <c r="E223" s="2"/>
      <c r="F223" s="2"/>
      <c r="G223" s="2"/>
      <c r="H223" s="60"/>
      <c r="I223" s="60"/>
      <c r="J223" s="2"/>
      <c r="K223" s="2"/>
      <c r="L223" s="2"/>
      <c r="M223" s="2"/>
      <c r="N223" s="2"/>
      <c r="O223" s="2"/>
      <c r="P223" s="2"/>
      <c r="Q223" s="2"/>
      <c r="R223" s="62"/>
    </row>
    <row r="224">
      <c r="A224" s="2"/>
      <c r="B224" s="62"/>
      <c r="C224" s="2"/>
      <c r="D224" s="2"/>
      <c r="E224" s="2"/>
      <c r="F224" s="2"/>
      <c r="G224" s="2"/>
      <c r="H224" s="60"/>
      <c r="I224" s="60"/>
      <c r="J224" s="2"/>
      <c r="K224" s="2"/>
      <c r="L224" s="2"/>
      <c r="M224" s="2"/>
      <c r="N224" s="2"/>
      <c r="O224" s="2"/>
      <c r="P224" s="2"/>
      <c r="Q224" s="2"/>
      <c r="R224" s="62"/>
    </row>
    <row r="225">
      <c r="A225" s="2"/>
      <c r="B225" s="62"/>
      <c r="C225" s="2"/>
      <c r="D225" s="2"/>
      <c r="E225" s="2"/>
      <c r="F225" s="2"/>
      <c r="G225" s="2"/>
      <c r="H225" s="60"/>
      <c r="I225" s="60"/>
      <c r="J225" s="2"/>
      <c r="K225" s="2"/>
      <c r="L225" s="2"/>
      <c r="M225" s="2"/>
      <c r="N225" s="2"/>
      <c r="O225" s="2"/>
      <c r="Q225" s="2"/>
      <c r="R225" s="62"/>
    </row>
    <row r="226">
      <c r="A226" s="2"/>
      <c r="B226" s="62"/>
      <c r="C226" s="2"/>
      <c r="D226" s="2"/>
      <c r="E226" s="2"/>
      <c r="F226" s="2"/>
      <c r="G226" s="2"/>
      <c r="H226" s="60"/>
      <c r="I226" s="60"/>
      <c r="J226" s="2"/>
      <c r="K226" s="2"/>
      <c r="L226" s="2"/>
      <c r="M226" s="2"/>
      <c r="N226" s="2"/>
      <c r="O226" s="2"/>
      <c r="P226" s="2"/>
      <c r="Q226" s="2"/>
      <c r="R226" s="62"/>
    </row>
    <row r="227">
      <c r="A227" s="2"/>
      <c r="B227" s="62"/>
      <c r="C227" s="2"/>
      <c r="D227" s="2"/>
      <c r="E227" s="2"/>
      <c r="F227" s="2"/>
      <c r="G227" s="2"/>
      <c r="H227" s="60"/>
      <c r="I227" s="60"/>
      <c r="J227" s="2"/>
      <c r="K227" s="2"/>
      <c r="L227" s="2"/>
      <c r="M227" s="2"/>
      <c r="N227" s="2"/>
      <c r="O227" s="2"/>
      <c r="Q227" s="2"/>
      <c r="R227" s="62"/>
    </row>
    <row r="228">
      <c r="A228" s="2"/>
      <c r="B228" s="62"/>
      <c r="C228" s="2"/>
      <c r="D228" s="2"/>
      <c r="E228" s="2"/>
      <c r="F228" s="2"/>
      <c r="G228" s="2"/>
      <c r="H228" s="60"/>
      <c r="I228" s="60"/>
      <c r="J228" s="2"/>
      <c r="K228" s="2"/>
      <c r="L228" s="2"/>
      <c r="M228" s="2"/>
      <c r="N228" s="2"/>
      <c r="O228" s="2"/>
      <c r="P228" s="2"/>
      <c r="Q228" s="2"/>
      <c r="R228" s="62"/>
    </row>
    <row r="229">
      <c r="A229" s="2"/>
      <c r="B229" s="62"/>
      <c r="C229" s="2"/>
      <c r="D229" s="2"/>
      <c r="E229" s="2"/>
      <c r="F229" s="2"/>
      <c r="G229" s="2"/>
      <c r="H229" s="60"/>
      <c r="I229" s="60"/>
      <c r="J229" s="2"/>
      <c r="K229" s="2"/>
      <c r="L229" s="2"/>
      <c r="M229" s="2"/>
      <c r="N229" s="2"/>
      <c r="O229" s="2"/>
      <c r="P229" s="2"/>
      <c r="Q229" s="2"/>
      <c r="R229" s="62"/>
    </row>
    <row r="230">
      <c r="A230" s="2"/>
      <c r="B230" s="62"/>
      <c r="C230" s="2"/>
      <c r="D230" s="2"/>
      <c r="E230" s="2"/>
      <c r="F230" s="2"/>
      <c r="G230" s="2"/>
      <c r="H230" s="60"/>
      <c r="I230" s="60"/>
      <c r="J230" s="2"/>
      <c r="K230" s="2"/>
      <c r="L230" s="2"/>
      <c r="M230" s="2"/>
      <c r="N230" s="2"/>
      <c r="O230" s="2"/>
      <c r="P230" s="2"/>
      <c r="Q230" s="2"/>
      <c r="R230" s="62"/>
    </row>
    <row r="231">
      <c r="A231" s="2"/>
      <c r="B231" s="62"/>
      <c r="C231" s="2"/>
      <c r="D231" s="2"/>
      <c r="E231" s="2"/>
      <c r="F231" s="2"/>
      <c r="G231" s="2"/>
      <c r="H231" s="60"/>
      <c r="I231" s="60"/>
      <c r="J231" s="2"/>
      <c r="K231" s="2"/>
      <c r="L231" s="2"/>
      <c r="M231" s="2"/>
      <c r="N231" s="2"/>
      <c r="O231" s="2"/>
      <c r="P231" s="2"/>
      <c r="Q231" s="2"/>
      <c r="R231" s="62"/>
    </row>
    <row r="232">
      <c r="A232" s="2"/>
      <c r="B232" s="62"/>
      <c r="C232" s="2"/>
      <c r="D232" s="2"/>
      <c r="E232" s="2"/>
      <c r="F232" s="2"/>
      <c r="G232" s="2"/>
      <c r="H232" s="60"/>
      <c r="I232" s="60"/>
      <c r="J232" s="2"/>
      <c r="K232" s="2"/>
      <c r="L232" s="2"/>
      <c r="M232" s="2"/>
      <c r="N232" s="2"/>
      <c r="O232" s="2"/>
      <c r="Q232" s="2"/>
      <c r="R232" s="62"/>
    </row>
    <row r="233">
      <c r="A233" s="2"/>
      <c r="B233" s="62"/>
      <c r="C233" s="2"/>
      <c r="D233" s="2"/>
      <c r="E233" s="2"/>
      <c r="F233" s="2"/>
      <c r="G233" s="2"/>
      <c r="H233" s="60"/>
      <c r="I233" s="60"/>
      <c r="J233" s="2"/>
      <c r="K233" s="2"/>
      <c r="L233" s="2"/>
      <c r="M233" s="2"/>
      <c r="N233" s="2"/>
      <c r="O233" s="2"/>
      <c r="P233" s="2"/>
      <c r="Q233" s="2"/>
      <c r="R233" s="62"/>
    </row>
    <row r="234">
      <c r="A234" s="2"/>
      <c r="B234" s="62"/>
      <c r="C234" s="2"/>
      <c r="D234" s="2"/>
      <c r="E234" s="2"/>
      <c r="F234" s="2"/>
      <c r="G234" s="2"/>
      <c r="H234" s="60"/>
      <c r="I234" s="60"/>
      <c r="J234" s="2"/>
      <c r="K234" s="2"/>
      <c r="L234" s="2"/>
      <c r="M234" s="2"/>
      <c r="N234" s="2"/>
      <c r="O234" s="2"/>
      <c r="P234" s="2"/>
      <c r="Q234" s="2"/>
      <c r="R234" s="62"/>
    </row>
    <row r="235">
      <c r="A235" s="2"/>
      <c r="B235" s="62"/>
      <c r="C235" s="2"/>
      <c r="D235" s="2"/>
      <c r="E235" s="2"/>
      <c r="F235" s="2"/>
      <c r="G235" s="2"/>
      <c r="H235" s="60"/>
      <c r="I235" s="60"/>
      <c r="J235" s="2"/>
      <c r="K235" s="2"/>
      <c r="L235" s="2"/>
      <c r="M235" s="2"/>
      <c r="N235" s="2"/>
      <c r="O235" s="2"/>
      <c r="P235" s="2"/>
      <c r="Q235" s="2"/>
      <c r="R235" s="62"/>
    </row>
    <row r="236">
      <c r="A236" s="2"/>
      <c r="B236" s="62"/>
      <c r="C236" s="2"/>
      <c r="D236" s="2"/>
      <c r="E236" s="2"/>
      <c r="F236" s="2"/>
      <c r="G236" s="2"/>
      <c r="H236" s="60"/>
      <c r="I236" s="60"/>
      <c r="J236" s="2"/>
      <c r="K236" s="2"/>
      <c r="L236" s="2"/>
      <c r="M236" s="2"/>
      <c r="N236" s="2"/>
      <c r="O236" s="2"/>
      <c r="Q236" s="2"/>
      <c r="R236" s="62"/>
    </row>
    <row r="237">
      <c r="A237" s="2"/>
      <c r="B237" s="62"/>
      <c r="C237" s="2"/>
      <c r="D237" s="2"/>
      <c r="E237" s="2"/>
      <c r="F237" s="2"/>
      <c r="G237" s="2"/>
      <c r="H237" s="60"/>
      <c r="I237" s="60"/>
      <c r="J237" s="2"/>
      <c r="K237" s="2"/>
      <c r="L237" s="2"/>
      <c r="M237" s="2"/>
      <c r="N237" s="2"/>
      <c r="O237" s="2"/>
      <c r="P237" s="2"/>
      <c r="Q237" s="2"/>
      <c r="R237" s="62"/>
    </row>
    <row r="238">
      <c r="A238" s="2"/>
      <c r="B238" s="62"/>
      <c r="C238" s="2"/>
      <c r="D238" s="2"/>
      <c r="E238" s="2"/>
      <c r="F238" s="2"/>
      <c r="G238" s="2"/>
      <c r="H238" s="60"/>
      <c r="I238" s="60"/>
      <c r="J238" s="2"/>
      <c r="K238" s="2"/>
      <c r="L238" s="2"/>
      <c r="M238" s="2"/>
      <c r="N238" s="2"/>
      <c r="O238" s="2"/>
      <c r="P238" s="2"/>
      <c r="Q238" s="2"/>
      <c r="R238" s="62"/>
    </row>
    <row r="239">
      <c r="A239" s="2"/>
      <c r="B239" s="62"/>
      <c r="C239" s="2"/>
      <c r="D239" s="2"/>
      <c r="E239" s="2"/>
      <c r="F239" s="2"/>
      <c r="G239" s="2"/>
      <c r="H239" s="60"/>
      <c r="I239" s="60"/>
      <c r="J239" s="2"/>
      <c r="K239" s="2"/>
      <c r="L239" s="2"/>
      <c r="M239" s="2"/>
      <c r="N239" s="2"/>
      <c r="O239" s="2"/>
      <c r="P239" s="2"/>
      <c r="Q239" s="2"/>
      <c r="R239" s="62"/>
    </row>
    <row r="240">
      <c r="A240" s="2"/>
      <c r="B240" s="62"/>
      <c r="C240" s="2"/>
      <c r="D240" s="2"/>
      <c r="E240" s="2"/>
      <c r="F240" s="2"/>
      <c r="G240" s="2"/>
      <c r="H240" s="60"/>
      <c r="I240" s="60"/>
      <c r="J240" s="2"/>
      <c r="K240" s="2"/>
      <c r="L240" s="2"/>
      <c r="M240" s="2"/>
      <c r="N240" s="2"/>
      <c r="O240" s="2"/>
      <c r="Q240" s="2"/>
      <c r="R240" s="62"/>
    </row>
    <row r="241">
      <c r="A241" s="2"/>
      <c r="B241" s="62"/>
      <c r="C241" s="2"/>
      <c r="D241" s="2"/>
      <c r="E241" s="2"/>
      <c r="F241" s="2"/>
      <c r="G241" s="2"/>
      <c r="H241" s="60"/>
      <c r="I241" s="60"/>
      <c r="J241" s="2"/>
      <c r="K241" s="2"/>
      <c r="L241" s="2"/>
      <c r="M241" s="2"/>
      <c r="N241" s="2"/>
      <c r="O241" s="2"/>
      <c r="Q241" s="2"/>
      <c r="R241" s="62"/>
    </row>
    <row r="242">
      <c r="A242" s="2"/>
      <c r="B242" s="62"/>
      <c r="C242" s="2"/>
      <c r="D242" s="2"/>
      <c r="E242" s="2"/>
      <c r="F242" s="2"/>
      <c r="G242" s="2"/>
      <c r="H242" s="60"/>
      <c r="I242" s="60"/>
      <c r="J242" s="2"/>
      <c r="K242" s="2"/>
      <c r="L242" s="2"/>
      <c r="M242" s="2"/>
      <c r="N242" s="2"/>
      <c r="O242" s="2"/>
      <c r="P242" s="2"/>
      <c r="Q242" s="2"/>
      <c r="R242" s="62"/>
    </row>
    <row r="243">
      <c r="A243" s="2"/>
      <c r="B243" s="62"/>
      <c r="C243" s="2"/>
      <c r="D243" s="2"/>
      <c r="E243" s="2"/>
      <c r="F243" s="2"/>
      <c r="G243" s="2"/>
      <c r="H243" s="60"/>
      <c r="I243" s="60"/>
      <c r="J243" s="2"/>
      <c r="K243" s="2"/>
      <c r="L243" s="2"/>
      <c r="M243" s="2"/>
      <c r="N243" s="2"/>
      <c r="O243" s="2"/>
      <c r="P243" s="2"/>
      <c r="Q243" s="2"/>
      <c r="R243" s="62"/>
    </row>
    <row r="244">
      <c r="A244" s="2"/>
      <c r="B244" s="62"/>
      <c r="C244" s="2"/>
      <c r="D244" s="2"/>
      <c r="E244" s="2"/>
      <c r="F244" s="2"/>
      <c r="G244" s="2"/>
      <c r="H244" s="60"/>
      <c r="I244" s="60"/>
      <c r="J244" s="2"/>
      <c r="K244" s="2"/>
      <c r="L244" s="2"/>
      <c r="M244" s="2"/>
      <c r="N244" s="2"/>
      <c r="O244" s="2"/>
      <c r="Q244" s="2"/>
      <c r="R244" s="62"/>
    </row>
    <row r="245">
      <c r="A245" s="2"/>
      <c r="B245" s="62"/>
      <c r="C245" s="2"/>
      <c r="D245" s="2"/>
      <c r="E245" s="2"/>
      <c r="F245" s="2"/>
      <c r="G245" s="2"/>
      <c r="H245" s="60"/>
      <c r="I245" s="60"/>
      <c r="J245" s="2"/>
      <c r="K245" s="2"/>
      <c r="L245" s="2"/>
      <c r="M245" s="2"/>
      <c r="N245" s="2"/>
      <c r="O245" s="2"/>
      <c r="P245" s="2"/>
      <c r="Q245" s="2"/>
      <c r="R245" s="62"/>
    </row>
    <row r="246">
      <c r="A246" s="2"/>
      <c r="B246" s="62"/>
      <c r="C246" s="2"/>
      <c r="D246" s="2"/>
      <c r="E246" s="2"/>
      <c r="F246" s="2"/>
      <c r="G246" s="2"/>
      <c r="H246" s="60"/>
      <c r="I246" s="60"/>
      <c r="J246" s="2"/>
      <c r="K246" s="2"/>
      <c r="L246" s="2"/>
      <c r="M246" s="2"/>
      <c r="N246" s="2"/>
      <c r="O246" s="2"/>
      <c r="Q246" s="2"/>
      <c r="R246" s="62"/>
    </row>
    <row r="247">
      <c r="A247" s="2"/>
      <c r="B247" s="62"/>
      <c r="C247" s="2"/>
      <c r="D247" s="2"/>
      <c r="E247" s="2"/>
      <c r="F247" s="2"/>
      <c r="G247" s="2"/>
      <c r="H247" s="60"/>
      <c r="I247" s="60"/>
      <c r="J247" s="2"/>
      <c r="K247" s="2"/>
      <c r="L247" s="2"/>
      <c r="M247" s="2"/>
      <c r="N247" s="2"/>
      <c r="O247" s="2"/>
      <c r="Q247" s="2"/>
      <c r="R247" s="62"/>
    </row>
    <row r="248">
      <c r="A248" s="2"/>
      <c r="B248" s="62"/>
      <c r="C248" s="2"/>
      <c r="D248" s="2"/>
      <c r="E248" s="2"/>
      <c r="F248" s="2"/>
      <c r="G248" s="2"/>
      <c r="H248" s="60"/>
      <c r="I248" s="60"/>
      <c r="J248" s="2"/>
      <c r="K248" s="2"/>
      <c r="L248" s="2"/>
      <c r="M248" s="2"/>
      <c r="N248" s="2"/>
      <c r="O248" s="2"/>
      <c r="Q248" s="2"/>
      <c r="R248" s="62"/>
    </row>
    <row r="249">
      <c r="A249" s="2"/>
      <c r="B249" s="62"/>
      <c r="C249" s="2"/>
      <c r="D249" s="2"/>
      <c r="E249" s="2"/>
      <c r="F249" s="2"/>
      <c r="G249" s="2"/>
      <c r="H249" s="60"/>
      <c r="I249" s="60"/>
      <c r="J249" s="2"/>
      <c r="K249" s="2"/>
      <c r="L249" s="2"/>
      <c r="M249" s="2"/>
      <c r="N249" s="2"/>
      <c r="O249" s="2"/>
      <c r="P249" s="2"/>
      <c r="Q249" s="2"/>
      <c r="R249" s="62"/>
    </row>
    <row r="250">
      <c r="A250" s="2"/>
      <c r="B250" s="62"/>
      <c r="C250" s="2"/>
      <c r="D250" s="2"/>
      <c r="E250" s="2"/>
      <c r="F250" s="2"/>
      <c r="G250" s="2"/>
      <c r="H250" s="60"/>
      <c r="I250" s="60"/>
      <c r="J250" s="2"/>
      <c r="K250" s="2"/>
      <c r="L250" s="2"/>
      <c r="M250" s="2"/>
      <c r="N250" s="2"/>
      <c r="O250" s="2"/>
      <c r="Q250" s="2"/>
      <c r="R250" s="62"/>
    </row>
    <row r="251">
      <c r="A251" s="2"/>
      <c r="B251" s="62"/>
      <c r="C251" s="2"/>
      <c r="D251" s="2"/>
      <c r="E251" s="2"/>
      <c r="F251" s="2"/>
      <c r="G251" s="2"/>
      <c r="H251" s="60"/>
      <c r="I251" s="60"/>
      <c r="J251" s="2"/>
      <c r="K251" s="2"/>
      <c r="L251" s="2"/>
      <c r="M251" s="2"/>
      <c r="N251" s="2"/>
      <c r="O251" s="2"/>
      <c r="P251" s="2"/>
      <c r="Q251" s="2"/>
      <c r="R251" s="62"/>
    </row>
    <row r="252">
      <c r="A252" s="2"/>
      <c r="B252" s="62"/>
      <c r="C252" s="2"/>
      <c r="D252" s="2"/>
      <c r="E252" s="2"/>
      <c r="F252" s="2"/>
      <c r="G252" s="2"/>
      <c r="H252" s="60"/>
      <c r="I252" s="60"/>
      <c r="J252" s="2"/>
      <c r="K252" s="2"/>
      <c r="L252" s="2"/>
      <c r="M252" s="2"/>
      <c r="N252" s="2"/>
      <c r="O252" s="2"/>
      <c r="Q252" s="2"/>
      <c r="R252" s="62"/>
    </row>
    <row r="253">
      <c r="A253" s="2"/>
      <c r="B253" s="62"/>
      <c r="C253" s="2"/>
      <c r="D253" s="2"/>
      <c r="E253" s="2"/>
      <c r="F253" s="2"/>
      <c r="G253" s="2"/>
      <c r="H253" s="60"/>
      <c r="I253" s="60"/>
      <c r="J253" s="2"/>
      <c r="K253" s="2"/>
      <c r="L253" s="2"/>
      <c r="M253" s="2"/>
      <c r="N253" s="2"/>
      <c r="O253" s="2"/>
      <c r="Q253" s="2"/>
      <c r="R253" s="62"/>
    </row>
    <row r="254">
      <c r="A254" s="2"/>
      <c r="B254" s="62"/>
      <c r="C254" s="2"/>
      <c r="D254" s="2"/>
      <c r="E254" s="2"/>
      <c r="F254" s="2"/>
      <c r="G254" s="2"/>
      <c r="H254" s="60"/>
      <c r="I254" s="60"/>
      <c r="J254" s="2"/>
      <c r="K254" s="2"/>
      <c r="L254" s="2"/>
      <c r="M254" s="2"/>
      <c r="N254" s="2"/>
      <c r="O254" s="2"/>
      <c r="Q254" s="2"/>
      <c r="R254" s="62"/>
    </row>
    <row r="255">
      <c r="A255" s="2"/>
      <c r="B255" s="62"/>
      <c r="C255" s="2"/>
      <c r="D255" s="2"/>
      <c r="E255" s="2"/>
      <c r="F255" s="2"/>
      <c r="G255" s="2"/>
      <c r="H255" s="60"/>
      <c r="I255" s="60"/>
      <c r="J255" s="2"/>
      <c r="K255" s="2"/>
      <c r="L255" s="2"/>
      <c r="M255" s="2"/>
      <c r="N255" s="2"/>
      <c r="O255" s="2"/>
      <c r="Q255" s="2"/>
      <c r="R255" s="62"/>
    </row>
    <row r="256">
      <c r="A256" s="2"/>
      <c r="B256" s="62"/>
      <c r="C256" s="2"/>
      <c r="D256" s="2"/>
      <c r="E256" s="2"/>
      <c r="F256" s="2"/>
      <c r="G256" s="2"/>
      <c r="H256" s="60"/>
      <c r="I256" s="60"/>
      <c r="J256" s="2"/>
      <c r="K256" s="2"/>
      <c r="L256" s="2"/>
      <c r="M256" s="2"/>
      <c r="N256" s="2"/>
      <c r="O256" s="2"/>
      <c r="Q256" s="2"/>
      <c r="R256" s="62"/>
    </row>
    <row r="257">
      <c r="A257" s="2"/>
      <c r="B257" s="62"/>
      <c r="C257" s="2"/>
      <c r="D257" s="2"/>
      <c r="E257" s="2"/>
      <c r="F257" s="2"/>
      <c r="G257" s="2"/>
      <c r="H257" s="60"/>
      <c r="I257" s="60"/>
      <c r="J257" s="2"/>
      <c r="K257" s="2"/>
      <c r="L257" s="2"/>
      <c r="M257" s="2"/>
      <c r="N257" s="2"/>
      <c r="O257" s="2"/>
      <c r="P257" s="2"/>
      <c r="Q257" s="2"/>
      <c r="R257" s="62"/>
    </row>
    <row r="258">
      <c r="A258" s="2"/>
      <c r="B258" s="62"/>
      <c r="C258" s="2"/>
      <c r="D258" s="2"/>
      <c r="E258" s="2"/>
      <c r="F258" s="2"/>
      <c r="G258" s="2"/>
      <c r="H258" s="60"/>
      <c r="I258" s="60"/>
      <c r="J258" s="2"/>
      <c r="K258" s="2"/>
      <c r="L258" s="2"/>
      <c r="M258" s="2"/>
      <c r="N258" s="2"/>
      <c r="O258" s="2"/>
      <c r="P258" s="2"/>
      <c r="Q258" s="2"/>
      <c r="R258" s="62"/>
    </row>
    <row r="259">
      <c r="A259" s="2"/>
      <c r="B259" s="62"/>
      <c r="C259" s="2"/>
      <c r="D259" s="2"/>
      <c r="E259" s="2"/>
      <c r="F259" s="2"/>
      <c r="G259" s="2"/>
      <c r="H259" s="60"/>
      <c r="I259" s="60"/>
      <c r="J259" s="2"/>
      <c r="K259" s="2"/>
      <c r="L259" s="2"/>
      <c r="M259" s="2"/>
      <c r="N259" s="2"/>
      <c r="O259" s="2"/>
      <c r="P259" s="2"/>
      <c r="Q259" s="2"/>
      <c r="R259" s="62"/>
    </row>
    <row r="260">
      <c r="A260" s="2"/>
      <c r="B260" s="62"/>
      <c r="C260" s="2"/>
      <c r="D260" s="2"/>
      <c r="E260" s="2"/>
      <c r="F260" s="2"/>
      <c r="G260" s="2"/>
      <c r="H260" s="60"/>
      <c r="I260" s="60"/>
      <c r="J260" s="2"/>
      <c r="K260" s="2"/>
      <c r="L260" s="2"/>
      <c r="M260" s="2"/>
      <c r="N260" s="2"/>
      <c r="O260" s="2"/>
      <c r="Q260" s="2"/>
      <c r="R260" s="62"/>
    </row>
    <row r="261">
      <c r="A261" s="2"/>
      <c r="B261" s="62"/>
      <c r="C261" s="2"/>
      <c r="D261" s="2"/>
      <c r="E261" s="2"/>
      <c r="F261" s="2"/>
      <c r="G261" s="2"/>
      <c r="H261" s="60"/>
      <c r="I261" s="60"/>
      <c r="J261" s="2"/>
      <c r="K261" s="2"/>
      <c r="L261" s="2"/>
      <c r="M261" s="2"/>
      <c r="N261" s="2"/>
      <c r="O261" s="2"/>
      <c r="P261" s="2"/>
      <c r="Q261" s="2"/>
      <c r="R261" s="62"/>
    </row>
    <row r="262">
      <c r="A262" s="2"/>
      <c r="B262" s="62"/>
      <c r="C262" s="2"/>
      <c r="D262" s="2"/>
      <c r="E262" s="2"/>
      <c r="F262" s="2"/>
      <c r="G262" s="2"/>
      <c r="H262" s="60"/>
      <c r="I262" s="60"/>
      <c r="J262" s="2"/>
      <c r="K262" s="2"/>
      <c r="L262" s="2"/>
      <c r="M262" s="2"/>
      <c r="N262" s="2"/>
      <c r="O262" s="2"/>
      <c r="Q262" s="2"/>
      <c r="R262" s="62"/>
    </row>
    <row r="263">
      <c r="A263" s="2"/>
      <c r="B263" s="62"/>
      <c r="C263" s="2"/>
      <c r="D263" s="2"/>
      <c r="E263" s="2"/>
      <c r="F263" s="2"/>
      <c r="G263" s="2"/>
      <c r="H263" s="60"/>
      <c r="I263" s="60"/>
      <c r="J263" s="2"/>
      <c r="K263" s="2"/>
      <c r="L263" s="2"/>
      <c r="M263" s="2"/>
      <c r="N263" s="2"/>
      <c r="O263" s="2"/>
      <c r="P263" s="2"/>
      <c r="Q263" s="2"/>
      <c r="R263" s="62"/>
    </row>
    <row r="264">
      <c r="A264" s="2"/>
      <c r="B264" s="62"/>
      <c r="C264" s="2"/>
      <c r="D264" s="2"/>
      <c r="E264" s="2"/>
      <c r="F264" s="2"/>
      <c r="G264" s="2"/>
      <c r="H264" s="60"/>
      <c r="I264" s="60"/>
      <c r="J264" s="2"/>
      <c r="K264" s="2"/>
      <c r="L264" s="2"/>
      <c r="M264" s="2"/>
      <c r="N264" s="2"/>
      <c r="O264" s="2"/>
      <c r="Q264" s="2"/>
      <c r="R264" s="62"/>
    </row>
    <row r="265">
      <c r="A265" s="2"/>
      <c r="B265" s="62"/>
      <c r="C265" s="2"/>
      <c r="D265" s="2"/>
      <c r="E265" s="2"/>
      <c r="F265" s="2"/>
      <c r="G265" s="2"/>
      <c r="H265" s="60"/>
      <c r="I265" s="60"/>
      <c r="J265" s="2"/>
      <c r="K265" s="2"/>
      <c r="L265" s="2"/>
      <c r="M265" s="2"/>
      <c r="N265" s="2"/>
      <c r="O265" s="2"/>
      <c r="Q265" s="2"/>
      <c r="R265" s="62"/>
    </row>
    <row r="266">
      <c r="A266" s="2"/>
      <c r="B266" s="62"/>
      <c r="C266" s="2"/>
      <c r="D266" s="2"/>
      <c r="E266" s="2"/>
      <c r="F266" s="2"/>
      <c r="G266" s="2"/>
      <c r="H266" s="60"/>
      <c r="I266" s="60"/>
      <c r="J266" s="2"/>
      <c r="K266" s="2"/>
      <c r="L266" s="2"/>
      <c r="M266" s="2"/>
      <c r="N266" s="2"/>
      <c r="O266" s="2"/>
      <c r="P266" s="2"/>
      <c r="Q266" s="2"/>
      <c r="R266" s="62"/>
    </row>
    <row r="267">
      <c r="A267" s="2"/>
      <c r="B267" s="62"/>
      <c r="C267" s="2"/>
      <c r="D267" s="2"/>
      <c r="E267" s="2"/>
      <c r="F267" s="2"/>
      <c r="G267" s="2"/>
      <c r="H267" s="60"/>
      <c r="I267" s="60"/>
      <c r="J267" s="2"/>
      <c r="K267" s="2"/>
      <c r="L267" s="2"/>
      <c r="M267" s="2"/>
      <c r="N267" s="2"/>
      <c r="O267" s="2"/>
      <c r="P267" s="2"/>
      <c r="Q267" s="2"/>
      <c r="R267" s="62"/>
    </row>
    <row r="268">
      <c r="A268" s="2"/>
      <c r="B268" s="62"/>
      <c r="C268" s="2"/>
      <c r="D268" s="2"/>
      <c r="E268" s="2"/>
      <c r="F268" s="2"/>
      <c r="G268" s="2"/>
      <c r="H268" s="60"/>
      <c r="I268" s="60"/>
      <c r="J268" s="2"/>
      <c r="K268" s="2"/>
      <c r="L268" s="2"/>
      <c r="M268" s="2"/>
      <c r="N268" s="2"/>
      <c r="O268" s="2"/>
      <c r="P268" s="2"/>
      <c r="Q268" s="2"/>
      <c r="R268" s="62"/>
    </row>
    <row r="269">
      <c r="A269" s="2"/>
      <c r="B269" s="62"/>
      <c r="C269" s="2"/>
      <c r="D269" s="2"/>
      <c r="E269" s="2"/>
      <c r="F269" s="2"/>
      <c r="G269" s="2"/>
      <c r="H269" s="60"/>
      <c r="I269" s="60"/>
      <c r="J269" s="2"/>
      <c r="K269" s="2"/>
      <c r="L269" s="2"/>
      <c r="M269" s="2"/>
      <c r="N269" s="2"/>
      <c r="O269" s="2"/>
      <c r="P269" s="2"/>
      <c r="Q269" s="2"/>
      <c r="R269" s="62"/>
    </row>
    <row r="270">
      <c r="A270" s="2"/>
      <c r="B270" s="62"/>
      <c r="C270" s="2"/>
      <c r="D270" s="2"/>
      <c r="E270" s="2"/>
      <c r="F270" s="2"/>
      <c r="G270" s="2"/>
      <c r="H270" s="60"/>
      <c r="I270" s="60"/>
      <c r="J270" s="2"/>
      <c r="K270" s="2"/>
      <c r="L270" s="2"/>
      <c r="M270" s="2"/>
      <c r="N270" s="2"/>
      <c r="O270" s="2"/>
      <c r="P270" s="2"/>
      <c r="Q270" s="2"/>
      <c r="R270" s="62"/>
    </row>
    <row r="271">
      <c r="A271" s="2"/>
      <c r="B271" s="62"/>
      <c r="C271" s="2"/>
      <c r="D271" s="2"/>
      <c r="E271" s="2"/>
      <c r="F271" s="2"/>
      <c r="G271" s="2"/>
      <c r="H271" s="60"/>
      <c r="I271" s="60"/>
      <c r="J271" s="2"/>
      <c r="K271" s="2"/>
      <c r="L271" s="2"/>
      <c r="M271" s="2"/>
      <c r="N271" s="2"/>
      <c r="O271" s="2"/>
      <c r="P271" s="2"/>
      <c r="Q271" s="2"/>
      <c r="R271" s="62"/>
    </row>
    <row r="272">
      <c r="A272" s="2"/>
      <c r="B272" s="62"/>
      <c r="C272" s="2"/>
      <c r="D272" s="2"/>
      <c r="E272" s="2"/>
      <c r="F272" s="2"/>
      <c r="G272" s="2"/>
      <c r="H272" s="60"/>
      <c r="I272" s="60"/>
      <c r="J272" s="2"/>
      <c r="K272" s="2"/>
      <c r="L272" s="2"/>
      <c r="M272" s="2"/>
      <c r="N272" s="2"/>
      <c r="O272" s="2"/>
      <c r="P272" s="2"/>
      <c r="Q272" s="2"/>
      <c r="R272" s="62"/>
    </row>
    <row r="273">
      <c r="A273" s="2"/>
      <c r="B273" s="62"/>
      <c r="C273" s="2"/>
      <c r="D273" s="2"/>
      <c r="E273" s="2"/>
      <c r="F273" s="2"/>
      <c r="G273" s="2"/>
      <c r="H273" s="60"/>
      <c r="I273" s="60"/>
      <c r="J273" s="2"/>
      <c r="K273" s="2"/>
      <c r="L273" s="2"/>
      <c r="M273" s="2"/>
      <c r="N273" s="2"/>
      <c r="O273" s="2"/>
      <c r="Q273" s="2"/>
      <c r="R273" s="62"/>
    </row>
    <row r="274">
      <c r="A274" s="2"/>
      <c r="B274" s="62"/>
      <c r="C274" s="2"/>
      <c r="D274" s="2"/>
      <c r="E274" s="2"/>
      <c r="F274" s="2"/>
      <c r="G274" s="2"/>
      <c r="H274" s="60"/>
      <c r="I274" s="60"/>
      <c r="J274" s="2"/>
      <c r="K274" s="2"/>
      <c r="L274" s="2"/>
      <c r="M274" s="2"/>
      <c r="N274" s="2"/>
      <c r="O274" s="2"/>
      <c r="P274" s="2"/>
      <c r="Q274" s="2"/>
      <c r="R274" s="62"/>
    </row>
    <row r="275">
      <c r="A275" s="2"/>
      <c r="B275" s="62"/>
      <c r="C275" s="2"/>
      <c r="D275" s="2"/>
      <c r="E275" s="2"/>
      <c r="F275" s="2"/>
      <c r="G275" s="2"/>
      <c r="H275" s="60"/>
      <c r="I275" s="60"/>
      <c r="J275" s="2"/>
      <c r="K275" s="2"/>
      <c r="L275" s="2"/>
      <c r="M275" s="2"/>
      <c r="N275" s="2"/>
      <c r="O275" s="2"/>
      <c r="P275" s="2"/>
      <c r="Q275" s="2"/>
      <c r="R275" s="62"/>
    </row>
    <row r="276">
      <c r="A276" s="2"/>
      <c r="B276" s="62"/>
      <c r="C276" s="2"/>
      <c r="D276" s="2"/>
      <c r="E276" s="2"/>
      <c r="F276" s="2"/>
      <c r="G276" s="2"/>
      <c r="H276" s="60"/>
      <c r="I276" s="60"/>
      <c r="J276" s="2"/>
      <c r="K276" s="2"/>
      <c r="L276" s="2"/>
      <c r="M276" s="2"/>
      <c r="N276" s="2"/>
      <c r="O276" s="2"/>
      <c r="Q276" s="2"/>
      <c r="R276" s="62"/>
    </row>
    <row r="277">
      <c r="A277" s="2"/>
      <c r="B277" s="62"/>
      <c r="C277" s="2"/>
      <c r="D277" s="2"/>
      <c r="E277" s="2"/>
      <c r="F277" s="2"/>
      <c r="G277" s="2"/>
      <c r="H277" s="60"/>
      <c r="I277" s="60"/>
      <c r="J277" s="2"/>
      <c r="K277" s="2"/>
      <c r="L277" s="2"/>
      <c r="M277" s="2"/>
      <c r="N277" s="2"/>
      <c r="O277" s="2"/>
      <c r="Q277" s="2"/>
      <c r="R277" s="62"/>
    </row>
    <row r="278">
      <c r="A278" s="2"/>
      <c r="B278" s="62"/>
      <c r="C278" s="2"/>
      <c r="D278" s="2"/>
      <c r="E278" s="2"/>
      <c r="F278" s="2"/>
      <c r="G278" s="2"/>
      <c r="H278" s="60"/>
      <c r="I278" s="60"/>
      <c r="J278" s="2"/>
      <c r="K278" s="2"/>
      <c r="L278" s="2"/>
      <c r="M278" s="2"/>
      <c r="N278" s="2"/>
      <c r="O278" s="2"/>
      <c r="Q278" s="2"/>
      <c r="R278" s="62"/>
    </row>
    <row r="279">
      <c r="A279" s="2"/>
      <c r="B279" s="62"/>
      <c r="C279" s="2"/>
      <c r="D279" s="2"/>
      <c r="E279" s="2"/>
      <c r="F279" s="2"/>
      <c r="G279" s="2"/>
      <c r="H279" s="60"/>
      <c r="I279" s="60"/>
      <c r="J279" s="2"/>
      <c r="K279" s="2"/>
      <c r="L279" s="2"/>
      <c r="M279" s="2"/>
      <c r="N279" s="2"/>
      <c r="O279" s="2"/>
      <c r="P279" s="2"/>
      <c r="Q279" s="2"/>
      <c r="R279" s="62"/>
    </row>
    <row r="280">
      <c r="A280" s="2"/>
      <c r="B280" s="62"/>
      <c r="C280" s="2"/>
      <c r="D280" s="2"/>
      <c r="E280" s="2"/>
      <c r="F280" s="2"/>
      <c r="G280" s="2"/>
      <c r="H280" s="60"/>
      <c r="I280" s="60"/>
      <c r="J280" s="2"/>
      <c r="K280" s="2"/>
      <c r="L280" s="2"/>
      <c r="M280" s="2"/>
      <c r="N280" s="2"/>
      <c r="O280" s="2"/>
      <c r="Q280" s="2"/>
      <c r="R280" s="62"/>
    </row>
    <row r="281">
      <c r="A281" s="2"/>
      <c r="B281" s="62"/>
      <c r="C281" s="2"/>
      <c r="D281" s="2"/>
      <c r="E281" s="2"/>
      <c r="F281" s="2"/>
      <c r="G281" s="2"/>
      <c r="H281" s="60"/>
      <c r="I281" s="60"/>
      <c r="J281" s="2"/>
      <c r="K281" s="2"/>
      <c r="L281" s="2"/>
      <c r="M281" s="2"/>
      <c r="N281" s="2"/>
      <c r="O281" s="2"/>
      <c r="P281" s="2"/>
      <c r="Q281" s="2"/>
      <c r="R281" s="62"/>
    </row>
    <row r="282">
      <c r="A282" s="2"/>
      <c r="B282" s="62"/>
      <c r="C282" s="2"/>
      <c r="D282" s="2"/>
      <c r="E282" s="2"/>
      <c r="F282" s="2"/>
      <c r="G282" s="2"/>
      <c r="H282" s="60"/>
      <c r="I282" s="60"/>
      <c r="J282" s="2"/>
      <c r="K282" s="2"/>
      <c r="L282" s="2"/>
      <c r="M282" s="2"/>
      <c r="N282" s="2"/>
      <c r="O282" s="2"/>
      <c r="Q282" s="2"/>
      <c r="R282" s="62"/>
    </row>
    <row r="283">
      <c r="A283" s="2"/>
      <c r="B283" s="62"/>
      <c r="C283" s="2"/>
      <c r="D283" s="2"/>
      <c r="E283" s="2"/>
      <c r="F283" s="2"/>
      <c r="G283" s="2"/>
      <c r="H283" s="60"/>
      <c r="I283" s="60"/>
      <c r="J283" s="2"/>
      <c r="K283" s="2"/>
      <c r="L283" s="2"/>
      <c r="M283" s="2"/>
      <c r="N283" s="2"/>
      <c r="O283" s="2"/>
      <c r="P283" s="2"/>
      <c r="Q283" s="2"/>
      <c r="R283" s="62"/>
    </row>
    <row r="284">
      <c r="A284" s="2"/>
      <c r="B284" s="62"/>
      <c r="C284" s="2"/>
      <c r="D284" s="2"/>
      <c r="E284" s="2"/>
      <c r="F284" s="2"/>
      <c r="G284" s="2"/>
      <c r="H284" s="60"/>
      <c r="I284" s="60"/>
      <c r="J284" s="2"/>
      <c r="K284" s="2"/>
      <c r="L284" s="2"/>
      <c r="M284" s="2"/>
      <c r="N284" s="2"/>
      <c r="O284" s="2"/>
      <c r="Q284" s="2"/>
      <c r="R284" s="62"/>
    </row>
    <row r="285">
      <c r="A285" s="2"/>
      <c r="B285" s="62"/>
      <c r="C285" s="2"/>
      <c r="D285" s="2"/>
      <c r="E285" s="2"/>
      <c r="F285" s="2"/>
      <c r="G285" s="2"/>
      <c r="H285" s="60"/>
      <c r="I285" s="60"/>
      <c r="J285" s="2"/>
      <c r="K285" s="2"/>
      <c r="L285" s="2"/>
      <c r="M285" s="2"/>
      <c r="N285" s="2"/>
      <c r="O285" s="2"/>
      <c r="P285" s="2"/>
      <c r="Q285" s="2"/>
      <c r="R285" s="62"/>
    </row>
    <row r="286">
      <c r="A286" s="2"/>
      <c r="B286" s="62"/>
      <c r="C286" s="2"/>
      <c r="D286" s="2"/>
      <c r="E286" s="2"/>
      <c r="F286" s="2"/>
      <c r="G286" s="2"/>
      <c r="H286" s="60"/>
      <c r="I286" s="60"/>
      <c r="J286" s="2"/>
      <c r="K286" s="2"/>
      <c r="L286" s="2"/>
      <c r="M286" s="2"/>
      <c r="N286" s="2"/>
      <c r="O286" s="2"/>
      <c r="P286" s="2"/>
      <c r="Q286" s="2"/>
      <c r="R286" s="62"/>
    </row>
    <row r="287">
      <c r="A287" s="2"/>
      <c r="B287" s="62"/>
      <c r="C287" s="2"/>
      <c r="D287" s="2"/>
      <c r="E287" s="2"/>
      <c r="F287" s="2"/>
      <c r="G287" s="2"/>
      <c r="H287" s="60"/>
      <c r="I287" s="60"/>
      <c r="J287" s="2"/>
      <c r="K287" s="2"/>
      <c r="L287" s="2"/>
      <c r="M287" s="2"/>
      <c r="N287" s="2"/>
      <c r="O287" s="2"/>
      <c r="P287" s="2"/>
      <c r="Q287" s="2"/>
      <c r="R287" s="62"/>
    </row>
    <row r="288">
      <c r="A288" s="2"/>
      <c r="B288" s="62"/>
      <c r="C288" s="2"/>
      <c r="D288" s="2"/>
      <c r="E288" s="2"/>
      <c r="F288" s="2"/>
      <c r="G288" s="2"/>
      <c r="H288" s="60"/>
      <c r="I288" s="60"/>
      <c r="J288" s="2"/>
      <c r="K288" s="2"/>
      <c r="L288" s="2"/>
      <c r="M288" s="2"/>
      <c r="N288" s="2"/>
      <c r="O288" s="2"/>
      <c r="P288" s="2"/>
      <c r="Q288" s="2"/>
      <c r="R288" s="62"/>
    </row>
    <row r="289">
      <c r="A289" s="2"/>
      <c r="B289" s="62"/>
      <c r="C289" s="2"/>
      <c r="D289" s="2"/>
      <c r="E289" s="2"/>
      <c r="F289" s="2"/>
      <c r="G289" s="2"/>
      <c r="H289" s="60"/>
      <c r="I289" s="60"/>
      <c r="J289" s="2"/>
      <c r="K289" s="2"/>
      <c r="L289" s="2"/>
      <c r="M289" s="2"/>
      <c r="N289" s="2"/>
      <c r="O289" s="2"/>
      <c r="Q289" s="2"/>
      <c r="R289" s="62"/>
    </row>
    <row r="290">
      <c r="A290" s="2"/>
      <c r="B290" s="62"/>
      <c r="C290" s="2"/>
      <c r="D290" s="2"/>
      <c r="E290" s="2"/>
      <c r="F290" s="2"/>
      <c r="G290" s="2"/>
      <c r="H290" s="60"/>
      <c r="I290" s="60"/>
      <c r="J290" s="2"/>
      <c r="K290" s="2"/>
      <c r="L290" s="2"/>
      <c r="M290" s="2"/>
      <c r="N290" s="2"/>
      <c r="O290" s="2"/>
      <c r="Q290" s="2"/>
      <c r="R290" s="62"/>
    </row>
    <row r="291">
      <c r="A291" s="2"/>
      <c r="B291" s="62"/>
      <c r="C291" s="2"/>
      <c r="D291" s="2"/>
      <c r="E291" s="2"/>
      <c r="F291" s="2"/>
      <c r="G291" s="2"/>
      <c r="H291" s="60"/>
      <c r="I291" s="60"/>
      <c r="J291" s="2"/>
      <c r="K291" s="2"/>
      <c r="L291" s="2"/>
      <c r="M291" s="2"/>
      <c r="N291" s="2"/>
      <c r="O291" s="2"/>
      <c r="Q291" s="2"/>
      <c r="R291" s="62"/>
    </row>
    <row r="292">
      <c r="A292" s="2"/>
      <c r="B292" s="62"/>
      <c r="C292" s="2"/>
      <c r="D292" s="2"/>
      <c r="E292" s="2"/>
      <c r="F292" s="2"/>
      <c r="G292" s="2"/>
      <c r="H292" s="60"/>
      <c r="I292" s="60"/>
      <c r="J292" s="2"/>
      <c r="K292" s="2"/>
      <c r="L292" s="2"/>
      <c r="M292" s="2"/>
      <c r="N292" s="2"/>
      <c r="O292" s="2"/>
      <c r="P292" s="2"/>
      <c r="Q292" s="2"/>
      <c r="R292" s="62"/>
    </row>
    <row r="293">
      <c r="A293" s="2"/>
      <c r="B293" s="62"/>
      <c r="C293" s="2"/>
      <c r="D293" s="2"/>
      <c r="E293" s="2"/>
      <c r="F293" s="2"/>
      <c r="G293" s="2"/>
      <c r="H293" s="60"/>
      <c r="I293" s="60"/>
      <c r="J293" s="2"/>
      <c r="K293" s="2"/>
      <c r="L293" s="2"/>
      <c r="M293" s="2"/>
      <c r="N293" s="2"/>
      <c r="O293" s="2"/>
      <c r="P293" s="2"/>
      <c r="Q293" s="2"/>
      <c r="R293" s="62"/>
    </row>
    <row r="294">
      <c r="A294" s="2"/>
      <c r="B294" s="62"/>
      <c r="C294" s="2"/>
      <c r="D294" s="2"/>
      <c r="E294" s="2"/>
      <c r="F294" s="2"/>
      <c r="G294" s="2"/>
      <c r="H294" s="60"/>
      <c r="I294" s="60"/>
      <c r="J294" s="2"/>
      <c r="K294" s="2"/>
      <c r="L294" s="2"/>
      <c r="M294" s="2"/>
      <c r="N294" s="2"/>
      <c r="O294" s="2"/>
      <c r="P294" s="2"/>
      <c r="Q294" s="2"/>
      <c r="R294" s="62"/>
    </row>
    <row r="295">
      <c r="A295" s="2"/>
      <c r="B295" s="62"/>
      <c r="C295" s="2"/>
      <c r="D295" s="2"/>
      <c r="E295" s="2"/>
      <c r="F295" s="2"/>
      <c r="G295" s="2"/>
      <c r="H295" s="60"/>
      <c r="I295" s="60"/>
      <c r="J295" s="2"/>
      <c r="K295" s="2"/>
      <c r="L295" s="2"/>
      <c r="M295" s="2"/>
      <c r="N295" s="2"/>
      <c r="O295" s="2"/>
      <c r="P295" s="2"/>
      <c r="Q295" s="2"/>
      <c r="R295" s="62"/>
    </row>
    <row r="296">
      <c r="A296" s="2"/>
      <c r="B296" s="62"/>
      <c r="C296" s="2"/>
      <c r="D296" s="2"/>
      <c r="E296" s="2"/>
      <c r="F296" s="2"/>
      <c r="G296" s="2"/>
      <c r="H296" s="60"/>
      <c r="I296" s="60"/>
      <c r="J296" s="2"/>
      <c r="K296" s="2"/>
      <c r="L296" s="2"/>
      <c r="M296" s="2"/>
      <c r="N296" s="2"/>
      <c r="O296" s="2"/>
      <c r="Q296" s="2"/>
      <c r="R296" s="62"/>
    </row>
    <row r="297">
      <c r="A297" s="2"/>
      <c r="B297" s="62"/>
      <c r="C297" s="2"/>
      <c r="D297" s="2"/>
      <c r="E297" s="2"/>
      <c r="F297" s="2"/>
      <c r="G297" s="2"/>
      <c r="H297" s="60"/>
      <c r="I297" s="60"/>
      <c r="J297" s="2"/>
      <c r="K297" s="2"/>
      <c r="L297" s="2"/>
      <c r="M297" s="2"/>
      <c r="N297" s="2"/>
      <c r="O297" s="2"/>
      <c r="P297" s="2"/>
      <c r="Q297" s="2"/>
      <c r="R297" s="62"/>
    </row>
    <row r="298">
      <c r="A298" s="2"/>
      <c r="B298" s="62"/>
      <c r="C298" s="2"/>
      <c r="D298" s="2"/>
      <c r="E298" s="2"/>
      <c r="F298" s="2"/>
      <c r="G298" s="2"/>
      <c r="H298" s="60"/>
      <c r="I298" s="60"/>
      <c r="J298" s="2"/>
      <c r="K298" s="2"/>
      <c r="L298" s="2"/>
      <c r="M298" s="2"/>
      <c r="N298" s="2"/>
      <c r="O298" s="2"/>
      <c r="P298" s="2"/>
      <c r="Q298" s="2"/>
      <c r="R298" s="62"/>
    </row>
    <row r="299">
      <c r="A299" s="2"/>
      <c r="B299" s="62"/>
      <c r="C299" s="2"/>
      <c r="D299" s="2"/>
      <c r="E299" s="2"/>
      <c r="F299" s="2"/>
      <c r="G299" s="2"/>
      <c r="H299" s="60"/>
      <c r="I299" s="60"/>
      <c r="J299" s="2"/>
      <c r="K299" s="2"/>
      <c r="L299" s="2"/>
      <c r="M299" s="2"/>
      <c r="N299" s="2"/>
      <c r="O299" s="2"/>
      <c r="P299" s="2"/>
      <c r="Q299" s="2"/>
      <c r="R299" s="62"/>
    </row>
    <row r="300">
      <c r="A300" s="2"/>
      <c r="B300" s="62"/>
      <c r="C300" s="2"/>
      <c r="D300" s="2"/>
      <c r="E300" s="2"/>
      <c r="F300" s="2"/>
      <c r="G300" s="2"/>
      <c r="H300" s="60"/>
      <c r="I300" s="60"/>
      <c r="J300" s="2"/>
      <c r="K300" s="2"/>
      <c r="L300" s="2"/>
      <c r="M300" s="2"/>
      <c r="N300" s="2"/>
      <c r="O300" s="2"/>
      <c r="Q300" s="2"/>
      <c r="R300" s="62"/>
    </row>
    <row r="301">
      <c r="A301" s="2"/>
      <c r="B301" s="62"/>
      <c r="C301" s="2"/>
      <c r="D301" s="2"/>
      <c r="E301" s="2"/>
      <c r="F301" s="2"/>
      <c r="G301" s="2"/>
      <c r="H301" s="60"/>
      <c r="I301" s="60"/>
      <c r="J301" s="2"/>
      <c r="K301" s="2"/>
      <c r="L301" s="2"/>
      <c r="M301" s="2"/>
      <c r="N301" s="2"/>
      <c r="O301" s="2"/>
      <c r="P301" s="2"/>
      <c r="Q301" s="2"/>
      <c r="R301" s="62"/>
    </row>
    <row r="302">
      <c r="A302" s="2"/>
      <c r="B302" s="62"/>
      <c r="C302" s="2"/>
      <c r="D302" s="2"/>
      <c r="E302" s="2"/>
      <c r="F302" s="2"/>
      <c r="G302" s="2"/>
      <c r="H302" s="60"/>
      <c r="I302" s="60"/>
      <c r="J302" s="2"/>
      <c r="K302" s="2"/>
      <c r="L302" s="2"/>
      <c r="M302" s="2"/>
      <c r="N302" s="2"/>
      <c r="O302" s="2"/>
      <c r="Q302" s="2"/>
      <c r="R302" s="62"/>
    </row>
    <row r="303">
      <c r="A303" s="2"/>
      <c r="B303" s="62"/>
      <c r="C303" s="2"/>
      <c r="D303" s="2"/>
      <c r="E303" s="2"/>
      <c r="F303" s="2"/>
      <c r="G303" s="2"/>
      <c r="H303" s="60"/>
      <c r="I303" s="60"/>
      <c r="J303" s="2"/>
      <c r="K303" s="2"/>
      <c r="L303" s="2"/>
      <c r="M303" s="2"/>
      <c r="N303" s="2"/>
      <c r="O303" s="2"/>
      <c r="P303" s="2"/>
      <c r="Q303" s="2"/>
      <c r="R303" s="62"/>
    </row>
    <row r="304">
      <c r="A304" s="2"/>
      <c r="B304" s="62"/>
      <c r="C304" s="2"/>
      <c r="D304" s="2"/>
      <c r="E304" s="2"/>
      <c r="F304" s="2"/>
      <c r="G304" s="2"/>
      <c r="H304" s="60"/>
      <c r="I304" s="60"/>
      <c r="J304" s="2"/>
      <c r="K304" s="2"/>
      <c r="L304" s="2"/>
      <c r="M304" s="2"/>
      <c r="N304" s="2"/>
      <c r="O304" s="2"/>
      <c r="P304" s="2"/>
      <c r="Q304" s="2"/>
      <c r="R304" s="62"/>
    </row>
    <row r="305">
      <c r="A305" s="2"/>
      <c r="B305" s="62"/>
      <c r="C305" s="2"/>
      <c r="D305" s="2"/>
      <c r="E305" s="2"/>
      <c r="F305" s="2"/>
      <c r="G305" s="2"/>
      <c r="H305" s="60"/>
      <c r="I305" s="60"/>
      <c r="J305" s="2"/>
      <c r="K305" s="2"/>
      <c r="L305" s="2"/>
      <c r="M305" s="2"/>
      <c r="N305" s="2"/>
      <c r="O305" s="2"/>
      <c r="P305" s="2"/>
      <c r="Q305" s="2"/>
      <c r="R305" s="62"/>
    </row>
    <row r="306">
      <c r="A306" s="2"/>
      <c r="B306" s="62"/>
      <c r="C306" s="2"/>
      <c r="D306" s="2"/>
      <c r="E306" s="2"/>
      <c r="F306" s="2"/>
      <c r="G306" s="2"/>
      <c r="H306" s="60"/>
      <c r="I306" s="60"/>
      <c r="J306" s="2"/>
      <c r="K306" s="2"/>
      <c r="L306" s="2"/>
      <c r="M306" s="2"/>
      <c r="N306" s="2"/>
      <c r="O306" s="2"/>
      <c r="P306" s="2"/>
      <c r="Q306" s="2"/>
      <c r="R306" s="62"/>
    </row>
    <row r="307">
      <c r="A307" s="2"/>
      <c r="B307" s="62"/>
      <c r="C307" s="2"/>
      <c r="D307" s="2"/>
      <c r="E307" s="2"/>
      <c r="F307" s="2"/>
      <c r="G307" s="2"/>
      <c r="H307" s="60"/>
      <c r="I307" s="60"/>
      <c r="J307" s="2"/>
      <c r="K307" s="2"/>
      <c r="L307" s="2"/>
      <c r="M307" s="2"/>
      <c r="N307" s="2"/>
      <c r="O307" s="2"/>
      <c r="Q307" s="2"/>
      <c r="R307" s="62"/>
    </row>
    <row r="308">
      <c r="A308" s="2"/>
      <c r="B308" s="62"/>
      <c r="C308" s="2"/>
      <c r="D308" s="2"/>
      <c r="E308" s="2"/>
      <c r="F308" s="2"/>
      <c r="G308" s="2"/>
      <c r="H308" s="60"/>
      <c r="I308" s="60"/>
      <c r="J308" s="2"/>
      <c r="K308" s="2"/>
      <c r="L308" s="2"/>
      <c r="M308" s="2"/>
      <c r="N308" s="2"/>
      <c r="O308" s="2"/>
      <c r="Q308" s="2"/>
      <c r="R308" s="62"/>
    </row>
    <row r="309">
      <c r="A309" s="2"/>
      <c r="B309" s="62"/>
      <c r="C309" s="2"/>
      <c r="D309" s="2"/>
      <c r="E309" s="2"/>
      <c r="F309" s="2"/>
      <c r="G309" s="2"/>
      <c r="H309" s="60"/>
      <c r="I309" s="60"/>
      <c r="J309" s="2"/>
      <c r="K309" s="2"/>
      <c r="L309" s="2"/>
      <c r="M309" s="2"/>
      <c r="N309" s="2"/>
      <c r="O309" s="2"/>
      <c r="P309" s="2"/>
      <c r="Q309" s="2"/>
      <c r="R309" s="62"/>
    </row>
    <row r="310">
      <c r="A310" s="2"/>
      <c r="B310" s="62"/>
      <c r="C310" s="2"/>
      <c r="D310" s="2"/>
      <c r="E310" s="2"/>
      <c r="F310" s="2"/>
      <c r="G310" s="2"/>
      <c r="H310" s="60"/>
      <c r="I310" s="60"/>
      <c r="J310" s="2"/>
      <c r="K310" s="2"/>
      <c r="L310" s="2"/>
      <c r="M310" s="2"/>
      <c r="N310" s="2"/>
      <c r="O310" s="2"/>
      <c r="Q310" s="2"/>
      <c r="R310" s="62"/>
    </row>
    <row r="311">
      <c r="A311" s="2"/>
      <c r="B311" s="62"/>
      <c r="C311" s="2"/>
      <c r="D311" s="2"/>
      <c r="E311" s="2"/>
      <c r="F311" s="2"/>
      <c r="G311" s="2"/>
      <c r="H311" s="60"/>
      <c r="I311" s="60"/>
      <c r="J311" s="2"/>
      <c r="K311" s="2"/>
      <c r="L311" s="2"/>
      <c r="M311" s="2"/>
      <c r="N311" s="2"/>
      <c r="O311" s="2"/>
      <c r="P311" s="2"/>
      <c r="Q311" s="2"/>
      <c r="R311" s="62"/>
    </row>
    <row r="312">
      <c r="A312" s="2"/>
      <c r="B312" s="62"/>
      <c r="C312" s="2"/>
      <c r="D312" s="2"/>
      <c r="E312" s="2"/>
      <c r="F312" s="2"/>
      <c r="G312" s="2"/>
      <c r="H312" s="60"/>
      <c r="I312" s="60"/>
      <c r="J312" s="2"/>
      <c r="K312" s="2"/>
      <c r="L312" s="2"/>
      <c r="M312" s="2"/>
      <c r="N312" s="2"/>
      <c r="O312" s="2"/>
      <c r="P312" s="2"/>
      <c r="Q312" s="2"/>
      <c r="R312" s="62"/>
    </row>
    <row r="313">
      <c r="A313" s="2"/>
      <c r="B313" s="62"/>
      <c r="C313" s="2"/>
      <c r="D313" s="2"/>
      <c r="E313" s="2"/>
      <c r="F313" s="2"/>
      <c r="G313" s="2"/>
      <c r="H313" s="60"/>
      <c r="I313" s="60"/>
      <c r="J313" s="2"/>
      <c r="K313" s="2"/>
      <c r="L313" s="2"/>
      <c r="M313" s="2"/>
      <c r="N313" s="2"/>
      <c r="O313" s="2"/>
      <c r="P313" s="2"/>
      <c r="Q313" s="2"/>
      <c r="R313" s="62"/>
    </row>
    <row r="314">
      <c r="A314" s="2"/>
      <c r="B314" s="62"/>
      <c r="C314" s="2"/>
      <c r="D314" s="2"/>
      <c r="E314" s="2"/>
      <c r="F314" s="2"/>
      <c r="G314" s="2"/>
      <c r="H314" s="60"/>
      <c r="I314" s="60"/>
      <c r="J314" s="2"/>
      <c r="K314" s="2"/>
      <c r="L314" s="2"/>
      <c r="M314" s="2"/>
      <c r="N314" s="2"/>
      <c r="O314" s="2"/>
      <c r="P314" s="2"/>
      <c r="Q314" s="2"/>
      <c r="R314" s="62"/>
    </row>
    <row r="315">
      <c r="A315" s="2"/>
      <c r="B315" s="62"/>
      <c r="C315" s="2"/>
      <c r="D315" s="2"/>
      <c r="E315" s="2"/>
      <c r="F315" s="2"/>
      <c r="G315" s="2"/>
      <c r="H315" s="60"/>
      <c r="I315" s="60"/>
      <c r="J315" s="2"/>
      <c r="K315" s="2"/>
      <c r="L315" s="2"/>
      <c r="M315" s="2"/>
      <c r="N315" s="2"/>
      <c r="O315" s="2"/>
      <c r="P315" s="2"/>
      <c r="Q315" s="2"/>
      <c r="R315" s="62"/>
    </row>
    <row r="316">
      <c r="A316" s="2"/>
      <c r="B316" s="62"/>
      <c r="C316" s="2"/>
      <c r="D316" s="2"/>
      <c r="E316" s="2"/>
      <c r="F316" s="2"/>
      <c r="G316" s="2"/>
      <c r="H316" s="60"/>
      <c r="I316" s="60"/>
      <c r="J316" s="2"/>
      <c r="K316" s="2"/>
      <c r="L316" s="2"/>
      <c r="M316" s="2"/>
      <c r="N316" s="2"/>
      <c r="O316" s="2"/>
      <c r="P316" s="2"/>
      <c r="Q316" s="2"/>
      <c r="R316" s="62"/>
    </row>
    <row r="317">
      <c r="A317" s="2"/>
      <c r="B317" s="62"/>
      <c r="C317" s="2"/>
      <c r="D317" s="2"/>
      <c r="E317" s="2"/>
      <c r="F317" s="2"/>
      <c r="G317" s="2"/>
      <c r="H317" s="60"/>
      <c r="I317" s="60"/>
      <c r="J317" s="2"/>
      <c r="K317" s="2"/>
      <c r="L317" s="2"/>
      <c r="M317" s="2"/>
      <c r="N317" s="2"/>
      <c r="O317" s="2"/>
      <c r="P317" s="2"/>
      <c r="Q317" s="2"/>
      <c r="R317" s="62"/>
    </row>
    <row r="318">
      <c r="A318" s="2"/>
      <c r="B318" s="62"/>
      <c r="C318" s="2"/>
      <c r="D318" s="2"/>
      <c r="E318" s="2"/>
      <c r="F318" s="2"/>
      <c r="G318" s="2"/>
      <c r="H318" s="60"/>
      <c r="I318" s="60"/>
      <c r="J318" s="2"/>
      <c r="K318" s="2"/>
      <c r="L318" s="2"/>
      <c r="M318" s="2"/>
      <c r="N318" s="2"/>
      <c r="O318" s="2"/>
      <c r="P318" s="2"/>
      <c r="Q318" s="2"/>
      <c r="R318" s="62"/>
    </row>
    <row r="319">
      <c r="A319" s="2"/>
      <c r="B319" s="62"/>
      <c r="C319" s="2"/>
      <c r="D319" s="2"/>
      <c r="E319" s="2"/>
      <c r="F319" s="2"/>
      <c r="G319" s="2"/>
      <c r="H319" s="60"/>
      <c r="I319" s="60"/>
      <c r="J319" s="2"/>
      <c r="K319" s="2"/>
      <c r="L319" s="2"/>
      <c r="M319" s="2"/>
      <c r="N319" s="2"/>
      <c r="O319" s="2"/>
      <c r="P319" s="2"/>
      <c r="Q319" s="2"/>
      <c r="R319" s="62"/>
    </row>
    <row r="320">
      <c r="A320" s="2"/>
      <c r="B320" s="62"/>
      <c r="C320" s="2"/>
      <c r="D320" s="2"/>
      <c r="E320" s="2"/>
      <c r="F320" s="2"/>
      <c r="G320" s="2"/>
      <c r="H320" s="60"/>
      <c r="I320" s="60"/>
      <c r="J320" s="2"/>
      <c r="K320" s="2"/>
      <c r="L320" s="2"/>
      <c r="M320" s="2"/>
      <c r="N320" s="2"/>
      <c r="O320" s="2"/>
      <c r="P320" s="2"/>
      <c r="Q320" s="2"/>
      <c r="R320" s="62"/>
    </row>
    <row r="321">
      <c r="A321" s="2"/>
      <c r="B321" s="62"/>
      <c r="C321" s="2"/>
      <c r="D321" s="2"/>
      <c r="E321" s="2"/>
      <c r="F321" s="2"/>
      <c r="G321" s="2"/>
      <c r="H321" s="60"/>
      <c r="I321" s="60"/>
      <c r="J321" s="2"/>
      <c r="K321" s="2"/>
      <c r="L321" s="2"/>
      <c r="M321" s="2"/>
      <c r="N321" s="2"/>
      <c r="O321" s="2"/>
      <c r="P321" s="2"/>
      <c r="Q321" s="2"/>
      <c r="R321" s="62"/>
    </row>
    <row r="322">
      <c r="A322" s="2"/>
      <c r="B322" s="62"/>
      <c r="C322" s="2"/>
      <c r="D322" s="2"/>
      <c r="E322" s="2"/>
      <c r="F322" s="2"/>
      <c r="G322" s="2"/>
      <c r="H322" s="60"/>
      <c r="I322" s="60"/>
      <c r="J322" s="2"/>
      <c r="K322" s="2"/>
      <c r="L322" s="2"/>
      <c r="M322" s="2"/>
      <c r="N322" s="2"/>
      <c r="O322" s="2"/>
      <c r="P322" s="2"/>
      <c r="Q322" s="2"/>
      <c r="R322" s="62"/>
    </row>
    <row r="323">
      <c r="A323" s="2"/>
      <c r="B323" s="62"/>
      <c r="C323" s="2"/>
      <c r="D323" s="2"/>
      <c r="E323" s="2"/>
      <c r="F323" s="2"/>
      <c r="G323" s="2"/>
      <c r="H323" s="60"/>
      <c r="I323" s="60"/>
      <c r="J323" s="2"/>
      <c r="K323" s="2"/>
      <c r="L323" s="2"/>
      <c r="M323" s="2"/>
      <c r="N323" s="2"/>
      <c r="O323" s="2"/>
      <c r="P323" s="2"/>
      <c r="Q323" s="2"/>
      <c r="R323" s="62"/>
    </row>
    <row r="324">
      <c r="A324" s="2"/>
      <c r="B324" s="62"/>
      <c r="C324" s="2"/>
      <c r="D324" s="2"/>
      <c r="E324" s="2"/>
      <c r="F324" s="2"/>
      <c r="G324" s="2"/>
      <c r="H324" s="60"/>
      <c r="I324" s="60"/>
      <c r="J324" s="2"/>
      <c r="K324" s="2"/>
      <c r="L324" s="2"/>
      <c r="M324" s="2"/>
      <c r="N324" s="2"/>
      <c r="O324" s="2"/>
      <c r="P324" s="2"/>
      <c r="Q324" s="2"/>
      <c r="R324" s="62"/>
    </row>
    <row r="325">
      <c r="A325" s="2"/>
      <c r="B325" s="62"/>
      <c r="C325" s="2"/>
      <c r="D325" s="2"/>
      <c r="E325" s="2"/>
      <c r="F325" s="2"/>
      <c r="G325" s="2"/>
      <c r="H325" s="60"/>
      <c r="I325" s="60"/>
      <c r="J325" s="2"/>
      <c r="K325" s="2"/>
      <c r="L325" s="2"/>
      <c r="M325" s="2"/>
      <c r="N325" s="2"/>
      <c r="O325" s="2"/>
      <c r="P325" s="2"/>
      <c r="Q325" s="2"/>
      <c r="R325" s="62"/>
    </row>
    <row r="326">
      <c r="A326" s="2"/>
      <c r="B326" s="62"/>
      <c r="C326" s="2"/>
      <c r="D326" s="2"/>
      <c r="E326" s="2"/>
      <c r="F326" s="2"/>
      <c r="G326" s="2"/>
      <c r="H326" s="60"/>
      <c r="I326" s="60"/>
      <c r="J326" s="2"/>
      <c r="K326" s="2"/>
      <c r="L326" s="2"/>
      <c r="M326" s="2"/>
      <c r="N326" s="2"/>
      <c r="O326" s="2"/>
      <c r="Q326" s="2"/>
      <c r="R326" s="62"/>
    </row>
    <row r="327">
      <c r="A327" s="2"/>
      <c r="B327" s="62"/>
      <c r="C327" s="2"/>
      <c r="D327" s="2"/>
      <c r="E327" s="2"/>
      <c r="F327" s="2"/>
      <c r="G327" s="2"/>
      <c r="H327" s="60"/>
      <c r="I327" s="60"/>
      <c r="J327" s="2"/>
      <c r="K327" s="2"/>
      <c r="L327" s="2"/>
      <c r="M327" s="2"/>
      <c r="N327" s="2"/>
      <c r="O327" s="2"/>
      <c r="Q327" s="2"/>
      <c r="R327" s="62"/>
    </row>
    <row r="328">
      <c r="A328" s="2"/>
      <c r="B328" s="62"/>
      <c r="C328" s="2"/>
      <c r="D328" s="2"/>
      <c r="E328" s="2"/>
      <c r="F328" s="2"/>
      <c r="G328" s="2"/>
      <c r="H328" s="60"/>
      <c r="I328" s="60"/>
      <c r="J328" s="2"/>
      <c r="K328" s="2"/>
      <c r="L328" s="2"/>
      <c r="M328" s="2"/>
      <c r="N328" s="2"/>
      <c r="O328" s="2"/>
      <c r="Q328" s="2"/>
      <c r="R328" s="62"/>
    </row>
    <row r="329">
      <c r="A329" s="2"/>
      <c r="B329" s="62"/>
      <c r="C329" s="2"/>
      <c r="D329" s="2"/>
      <c r="E329" s="2"/>
      <c r="F329" s="2"/>
      <c r="G329" s="2"/>
      <c r="H329" s="60"/>
      <c r="I329" s="60"/>
      <c r="J329" s="2"/>
      <c r="K329" s="2"/>
      <c r="L329" s="2"/>
      <c r="M329" s="2"/>
      <c r="N329" s="2"/>
      <c r="O329" s="2"/>
      <c r="Q329" s="2"/>
      <c r="R329" s="62"/>
    </row>
    <row r="330">
      <c r="A330" s="2"/>
      <c r="B330" s="62"/>
      <c r="C330" s="2"/>
      <c r="D330" s="2"/>
      <c r="E330" s="2"/>
      <c r="F330" s="2"/>
      <c r="G330" s="2"/>
      <c r="H330" s="60"/>
      <c r="I330" s="60"/>
      <c r="J330" s="2"/>
      <c r="K330" s="2"/>
      <c r="L330" s="2"/>
      <c r="M330" s="2"/>
      <c r="N330" s="2"/>
      <c r="O330" s="2"/>
      <c r="Q330" s="2"/>
      <c r="R330" s="62"/>
    </row>
    <row r="331">
      <c r="A331" s="2"/>
      <c r="B331" s="62"/>
      <c r="C331" s="2"/>
      <c r="D331" s="2"/>
      <c r="E331" s="2"/>
      <c r="F331" s="2"/>
      <c r="G331" s="2"/>
      <c r="H331" s="60"/>
      <c r="I331" s="60"/>
      <c r="J331" s="2"/>
      <c r="K331" s="2"/>
      <c r="L331" s="2"/>
      <c r="M331" s="2"/>
      <c r="N331" s="2"/>
      <c r="O331" s="2"/>
      <c r="P331" s="2"/>
      <c r="Q331" s="2"/>
      <c r="R331" s="62"/>
    </row>
    <row r="332">
      <c r="A332" s="2"/>
      <c r="B332" s="62"/>
      <c r="C332" s="2"/>
      <c r="D332" s="2"/>
      <c r="E332" s="2"/>
      <c r="F332" s="2"/>
      <c r="G332" s="2"/>
      <c r="H332" s="60"/>
      <c r="I332" s="60"/>
      <c r="J332" s="2"/>
      <c r="K332" s="2"/>
      <c r="L332" s="2"/>
      <c r="M332" s="2"/>
      <c r="N332" s="2"/>
      <c r="O332" s="2"/>
      <c r="P332" s="2"/>
      <c r="Q332" s="2"/>
      <c r="R332" s="62"/>
    </row>
    <row r="333">
      <c r="A333" s="2"/>
      <c r="B333" s="62"/>
      <c r="C333" s="2"/>
      <c r="D333" s="2"/>
      <c r="E333" s="2"/>
      <c r="F333" s="2"/>
      <c r="G333" s="2"/>
      <c r="H333" s="60"/>
      <c r="I333" s="60"/>
      <c r="J333" s="2"/>
      <c r="K333" s="2"/>
      <c r="L333" s="2"/>
      <c r="M333" s="2"/>
      <c r="N333" s="2"/>
      <c r="O333" s="2"/>
      <c r="P333" s="2"/>
      <c r="Q333" s="2"/>
      <c r="R333" s="62"/>
    </row>
    <row r="334">
      <c r="A334" s="2"/>
      <c r="B334" s="62"/>
      <c r="C334" s="2"/>
      <c r="D334" s="2"/>
      <c r="E334" s="2"/>
      <c r="F334" s="2"/>
      <c r="G334" s="2"/>
      <c r="H334" s="60"/>
      <c r="I334" s="60"/>
      <c r="J334" s="2"/>
      <c r="K334" s="2"/>
      <c r="L334" s="2"/>
      <c r="M334" s="2"/>
      <c r="N334" s="2"/>
      <c r="O334" s="2"/>
      <c r="Q334" s="2"/>
      <c r="R334" s="62"/>
    </row>
    <row r="335">
      <c r="A335" s="2"/>
      <c r="B335" s="62"/>
      <c r="C335" s="2"/>
      <c r="D335" s="2"/>
      <c r="E335" s="2"/>
      <c r="F335" s="2"/>
      <c r="G335" s="2"/>
      <c r="H335" s="60"/>
      <c r="I335" s="60"/>
      <c r="J335" s="2"/>
      <c r="K335" s="2"/>
      <c r="L335" s="2"/>
      <c r="M335" s="2"/>
      <c r="N335" s="2"/>
      <c r="O335" s="2"/>
      <c r="Q335" s="2"/>
      <c r="R335" s="62"/>
    </row>
    <row r="336">
      <c r="A336" s="2"/>
      <c r="B336" s="62"/>
      <c r="C336" s="2"/>
      <c r="D336" s="2"/>
      <c r="E336" s="2"/>
      <c r="F336" s="2"/>
      <c r="G336" s="2"/>
      <c r="H336" s="60"/>
      <c r="I336" s="60"/>
      <c r="J336" s="2"/>
      <c r="K336" s="2"/>
      <c r="L336" s="2"/>
      <c r="M336" s="2"/>
      <c r="N336" s="2"/>
      <c r="O336" s="2"/>
      <c r="Q336" s="2"/>
      <c r="R336" s="62"/>
    </row>
    <row r="337">
      <c r="A337" s="2"/>
      <c r="B337" s="62"/>
      <c r="C337" s="2"/>
      <c r="D337" s="2"/>
      <c r="E337" s="2"/>
      <c r="F337" s="2"/>
      <c r="G337" s="2"/>
      <c r="H337" s="60"/>
      <c r="I337" s="60"/>
      <c r="J337" s="2"/>
      <c r="K337" s="2"/>
      <c r="L337" s="2"/>
      <c r="M337" s="2"/>
      <c r="N337" s="2"/>
      <c r="O337" s="2"/>
      <c r="Q337" s="2"/>
      <c r="R337" s="62"/>
    </row>
    <row r="338">
      <c r="A338" s="2"/>
      <c r="B338" s="62"/>
      <c r="C338" s="2"/>
      <c r="D338" s="2"/>
      <c r="E338" s="2"/>
      <c r="F338" s="2"/>
      <c r="G338" s="2"/>
      <c r="H338" s="60"/>
      <c r="I338" s="60"/>
      <c r="J338" s="2"/>
      <c r="K338" s="2"/>
      <c r="L338" s="2"/>
      <c r="M338" s="2"/>
      <c r="N338" s="2"/>
      <c r="O338" s="2"/>
      <c r="Q338" s="2"/>
      <c r="R338" s="62"/>
    </row>
    <row r="339">
      <c r="A339" s="2"/>
      <c r="B339" s="62"/>
      <c r="C339" s="2"/>
      <c r="D339" s="2"/>
      <c r="E339" s="2"/>
      <c r="F339" s="2"/>
      <c r="G339" s="2"/>
      <c r="H339" s="60"/>
      <c r="I339" s="60"/>
      <c r="J339" s="2"/>
      <c r="K339" s="2"/>
      <c r="L339" s="2"/>
      <c r="M339" s="2"/>
      <c r="N339" s="2"/>
      <c r="O339" s="2"/>
      <c r="P339" s="2"/>
      <c r="Q339" s="2"/>
      <c r="R339" s="62"/>
    </row>
    <row r="340">
      <c r="A340" s="2"/>
      <c r="B340" s="62"/>
      <c r="C340" s="2"/>
      <c r="D340" s="2"/>
      <c r="E340" s="2"/>
      <c r="F340" s="2"/>
      <c r="G340" s="2"/>
      <c r="H340" s="60"/>
      <c r="I340" s="60"/>
      <c r="J340" s="2"/>
      <c r="K340" s="2"/>
      <c r="L340" s="2"/>
      <c r="M340" s="2"/>
      <c r="N340" s="2"/>
      <c r="O340" s="2"/>
      <c r="P340" s="2"/>
      <c r="Q340" s="2"/>
      <c r="R340" s="62"/>
    </row>
    <row r="341">
      <c r="A341" s="2"/>
      <c r="B341" s="62"/>
      <c r="C341" s="2"/>
      <c r="D341" s="2"/>
      <c r="E341" s="2"/>
      <c r="F341" s="2"/>
      <c r="G341" s="2"/>
      <c r="H341" s="60"/>
      <c r="I341" s="60"/>
      <c r="J341" s="2"/>
      <c r="K341" s="2"/>
      <c r="L341" s="2"/>
      <c r="M341" s="2"/>
      <c r="N341" s="2"/>
      <c r="O341" s="2"/>
      <c r="P341" s="2"/>
      <c r="Q341" s="2"/>
      <c r="R341" s="62"/>
    </row>
    <row r="342">
      <c r="A342" s="2"/>
      <c r="B342" s="62"/>
      <c r="C342" s="2"/>
      <c r="D342" s="2"/>
      <c r="E342" s="2"/>
      <c r="F342" s="2"/>
      <c r="G342" s="2"/>
      <c r="H342" s="60"/>
      <c r="I342" s="60"/>
      <c r="J342" s="2"/>
      <c r="K342" s="2"/>
      <c r="L342" s="2"/>
      <c r="M342" s="2"/>
      <c r="N342" s="2"/>
      <c r="O342" s="2"/>
      <c r="P342" s="2"/>
      <c r="Q342" s="2"/>
      <c r="R342" s="62"/>
    </row>
    <row r="343">
      <c r="A343" s="2"/>
      <c r="B343" s="62"/>
      <c r="C343" s="2"/>
      <c r="D343" s="2"/>
      <c r="E343" s="2"/>
      <c r="F343" s="2"/>
      <c r="G343" s="2"/>
      <c r="H343" s="60"/>
      <c r="I343" s="60"/>
      <c r="J343" s="2"/>
      <c r="K343" s="2"/>
      <c r="L343" s="2"/>
      <c r="M343" s="2"/>
      <c r="N343" s="2"/>
      <c r="O343" s="2"/>
      <c r="Q343" s="2"/>
      <c r="R343" s="62"/>
    </row>
    <row r="344">
      <c r="A344" s="2"/>
      <c r="B344" s="62"/>
      <c r="C344" s="2"/>
      <c r="D344" s="2"/>
      <c r="E344" s="2"/>
      <c r="F344" s="2"/>
      <c r="G344" s="2"/>
      <c r="H344" s="60"/>
      <c r="I344" s="60"/>
      <c r="J344" s="2"/>
      <c r="K344" s="2"/>
      <c r="L344" s="2"/>
      <c r="M344" s="2"/>
      <c r="N344" s="2"/>
      <c r="O344" s="2"/>
      <c r="Q344" s="2"/>
      <c r="R344" s="62"/>
    </row>
    <row r="345">
      <c r="A345" s="2"/>
      <c r="B345" s="62"/>
      <c r="C345" s="2"/>
      <c r="D345" s="2"/>
      <c r="E345" s="2"/>
      <c r="F345" s="2"/>
      <c r="G345" s="2"/>
      <c r="H345" s="60"/>
      <c r="I345" s="60"/>
      <c r="J345" s="2"/>
      <c r="K345" s="2"/>
      <c r="L345" s="2"/>
      <c r="M345" s="2"/>
      <c r="N345" s="2"/>
      <c r="O345" s="2"/>
      <c r="Q345" s="2"/>
      <c r="R345" s="62"/>
    </row>
    <row r="346">
      <c r="A346" s="2"/>
      <c r="B346" s="62"/>
      <c r="C346" s="2"/>
      <c r="D346" s="2"/>
      <c r="E346" s="2"/>
      <c r="F346" s="2"/>
      <c r="G346" s="2"/>
      <c r="H346" s="60"/>
      <c r="I346" s="60"/>
      <c r="J346" s="2"/>
      <c r="K346" s="2"/>
      <c r="L346" s="2"/>
      <c r="M346" s="2"/>
      <c r="N346" s="2"/>
      <c r="O346" s="2"/>
      <c r="P346" s="2"/>
      <c r="Q346" s="2"/>
      <c r="R346" s="62"/>
    </row>
    <row r="347">
      <c r="A347" s="2"/>
      <c r="B347" s="62"/>
      <c r="C347" s="2"/>
      <c r="D347" s="2"/>
      <c r="E347" s="2"/>
      <c r="F347" s="2"/>
      <c r="G347" s="2"/>
      <c r="H347" s="60"/>
      <c r="I347" s="60"/>
      <c r="J347" s="2"/>
      <c r="K347" s="2"/>
      <c r="L347" s="2"/>
      <c r="M347" s="2"/>
      <c r="N347" s="2"/>
      <c r="O347" s="2"/>
      <c r="P347" s="2"/>
      <c r="Q347" s="2"/>
      <c r="R347" s="62"/>
    </row>
    <row r="348">
      <c r="A348" s="2"/>
      <c r="B348" s="62"/>
      <c r="C348" s="2"/>
      <c r="D348" s="2"/>
      <c r="E348" s="2"/>
      <c r="F348" s="2"/>
      <c r="G348" s="2"/>
      <c r="H348" s="60"/>
      <c r="I348" s="60"/>
      <c r="J348" s="2"/>
      <c r="K348" s="2"/>
      <c r="L348" s="2"/>
      <c r="M348" s="2"/>
      <c r="N348" s="2"/>
      <c r="O348" s="2"/>
      <c r="Q348" s="2"/>
      <c r="R348" s="62"/>
    </row>
    <row r="349">
      <c r="A349" s="2"/>
      <c r="B349" s="62"/>
      <c r="C349" s="2"/>
      <c r="D349" s="2"/>
      <c r="E349" s="2"/>
      <c r="F349" s="2"/>
      <c r="G349" s="2"/>
      <c r="H349" s="60"/>
      <c r="I349" s="60"/>
      <c r="J349" s="2"/>
      <c r="K349" s="2"/>
      <c r="L349" s="2"/>
      <c r="M349" s="2"/>
      <c r="N349" s="2"/>
      <c r="O349" s="2"/>
      <c r="P349" s="2"/>
      <c r="Q349" s="2"/>
      <c r="R349" s="62"/>
    </row>
    <row r="350">
      <c r="A350" s="2"/>
      <c r="B350" s="62"/>
      <c r="C350" s="2"/>
      <c r="D350" s="2"/>
      <c r="E350" s="2"/>
      <c r="F350" s="2"/>
      <c r="G350" s="2"/>
      <c r="H350" s="60"/>
      <c r="I350" s="60"/>
      <c r="J350" s="2"/>
      <c r="K350" s="2"/>
      <c r="L350" s="2"/>
      <c r="M350" s="2"/>
      <c r="N350" s="2"/>
      <c r="O350" s="2"/>
      <c r="P350" s="2"/>
      <c r="Q350" s="2"/>
      <c r="R350" s="62"/>
    </row>
    <row r="351">
      <c r="A351" s="2"/>
      <c r="B351" s="62"/>
      <c r="C351" s="2"/>
      <c r="D351" s="2"/>
      <c r="E351" s="2"/>
      <c r="F351" s="2"/>
      <c r="G351" s="2"/>
      <c r="H351" s="60"/>
      <c r="I351" s="60"/>
      <c r="J351" s="2"/>
      <c r="K351" s="2"/>
      <c r="L351" s="2"/>
      <c r="M351" s="2"/>
      <c r="N351" s="2"/>
      <c r="O351" s="2"/>
      <c r="P351" s="2"/>
      <c r="Q351" s="2"/>
      <c r="R351" s="62"/>
    </row>
    <row r="352">
      <c r="A352" s="2"/>
      <c r="B352" s="62"/>
      <c r="C352" s="2"/>
      <c r="D352" s="2"/>
      <c r="E352" s="2"/>
      <c r="F352" s="2"/>
      <c r="G352" s="2"/>
      <c r="H352" s="60"/>
      <c r="I352" s="60"/>
      <c r="J352" s="2"/>
      <c r="K352" s="2"/>
      <c r="L352" s="2"/>
      <c r="M352" s="2"/>
      <c r="N352" s="2"/>
      <c r="O352" s="2"/>
      <c r="P352" s="2"/>
      <c r="Q352" s="2"/>
      <c r="R352" s="62"/>
    </row>
    <row r="353">
      <c r="A353" s="2"/>
      <c r="B353" s="62"/>
      <c r="C353" s="2"/>
      <c r="D353" s="2"/>
      <c r="E353" s="2"/>
      <c r="F353" s="2"/>
      <c r="G353" s="2"/>
      <c r="H353" s="60"/>
      <c r="I353" s="60"/>
      <c r="J353" s="2"/>
      <c r="K353" s="2"/>
      <c r="L353" s="2"/>
      <c r="M353" s="2"/>
      <c r="N353" s="2"/>
      <c r="O353" s="2"/>
      <c r="Q353" s="2"/>
      <c r="R353" s="62"/>
    </row>
    <row r="354">
      <c r="A354" s="2"/>
      <c r="B354" s="62"/>
      <c r="C354" s="2"/>
      <c r="D354" s="2"/>
      <c r="E354" s="2"/>
      <c r="F354" s="2"/>
      <c r="G354" s="2"/>
      <c r="H354" s="60"/>
      <c r="I354" s="60"/>
      <c r="J354" s="2"/>
      <c r="K354" s="2"/>
      <c r="L354" s="2"/>
      <c r="M354" s="2"/>
      <c r="N354" s="2"/>
      <c r="O354" s="2"/>
      <c r="Q354" s="2"/>
      <c r="R354" s="62"/>
    </row>
    <row r="355">
      <c r="A355" s="2"/>
      <c r="B355" s="62"/>
      <c r="C355" s="2"/>
      <c r="D355" s="2"/>
      <c r="E355" s="2"/>
      <c r="F355" s="2"/>
      <c r="G355" s="2"/>
      <c r="H355" s="60"/>
      <c r="I355" s="60"/>
      <c r="J355" s="2"/>
      <c r="K355" s="2"/>
      <c r="L355" s="2"/>
      <c r="M355" s="2"/>
      <c r="N355" s="2"/>
      <c r="O355" s="2"/>
      <c r="P355" s="2"/>
      <c r="Q355" s="2"/>
      <c r="R355" s="62"/>
    </row>
    <row r="356">
      <c r="A356" s="2"/>
      <c r="B356" s="62"/>
      <c r="C356" s="2"/>
      <c r="D356" s="2"/>
      <c r="E356" s="2"/>
      <c r="F356" s="2"/>
      <c r="G356" s="2"/>
      <c r="H356" s="60"/>
      <c r="I356" s="60"/>
      <c r="J356" s="2"/>
      <c r="K356" s="2"/>
      <c r="L356" s="2"/>
      <c r="M356" s="2"/>
      <c r="N356" s="2"/>
      <c r="O356" s="2"/>
      <c r="Q356" s="2"/>
      <c r="R356" s="62"/>
    </row>
    <row r="357">
      <c r="A357" s="2"/>
      <c r="B357" s="62"/>
      <c r="C357" s="2"/>
      <c r="D357" s="2"/>
      <c r="E357" s="2"/>
      <c r="F357" s="2"/>
      <c r="G357" s="2"/>
      <c r="H357" s="60"/>
      <c r="I357" s="60"/>
      <c r="J357" s="2"/>
      <c r="K357" s="2"/>
      <c r="L357" s="2"/>
      <c r="M357" s="2"/>
      <c r="N357" s="2"/>
      <c r="O357" s="2"/>
      <c r="P357" s="2"/>
      <c r="Q357" s="2"/>
      <c r="R357" s="62"/>
    </row>
    <row r="358">
      <c r="A358" s="2"/>
      <c r="B358" s="62"/>
      <c r="C358" s="2"/>
      <c r="D358" s="2"/>
      <c r="E358" s="2"/>
      <c r="F358" s="2"/>
      <c r="G358" s="2"/>
      <c r="H358" s="60"/>
      <c r="I358" s="60"/>
      <c r="J358" s="2"/>
      <c r="K358" s="2"/>
      <c r="L358" s="2"/>
      <c r="M358" s="2"/>
      <c r="N358" s="2"/>
      <c r="O358" s="2"/>
      <c r="P358" s="2"/>
      <c r="Q358" s="2"/>
      <c r="R358" s="62"/>
    </row>
    <row r="359">
      <c r="A359" s="2"/>
      <c r="B359" s="62"/>
      <c r="C359" s="2"/>
      <c r="D359" s="2"/>
      <c r="E359" s="2"/>
      <c r="F359" s="2"/>
      <c r="G359" s="2"/>
      <c r="H359" s="60"/>
      <c r="I359" s="60"/>
      <c r="J359" s="2"/>
      <c r="K359" s="2"/>
      <c r="L359" s="2"/>
      <c r="M359" s="2"/>
      <c r="N359" s="2"/>
      <c r="O359" s="2"/>
      <c r="P359" s="2"/>
      <c r="Q359" s="2"/>
      <c r="R359" s="62"/>
    </row>
    <row r="360">
      <c r="A360" s="2"/>
      <c r="B360" s="62"/>
      <c r="C360" s="2"/>
      <c r="D360" s="2"/>
      <c r="E360" s="2"/>
      <c r="F360" s="2"/>
      <c r="G360" s="2"/>
      <c r="H360" s="60"/>
      <c r="I360" s="60"/>
      <c r="J360" s="2"/>
      <c r="K360" s="2"/>
      <c r="L360" s="2"/>
      <c r="M360" s="2"/>
      <c r="N360" s="2"/>
      <c r="O360" s="2"/>
      <c r="Q360" s="2"/>
      <c r="R360" s="62"/>
    </row>
    <row r="361">
      <c r="A361" s="2"/>
      <c r="B361" s="62"/>
      <c r="C361" s="2"/>
      <c r="D361" s="2"/>
      <c r="E361" s="2"/>
      <c r="F361" s="2"/>
      <c r="G361" s="2"/>
      <c r="H361" s="60"/>
      <c r="I361" s="60"/>
      <c r="J361" s="2"/>
      <c r="K361" s="2"/>
      <c r="L361" s="2"/>
      <c r="M361" s="2"/>
      <c r="N361" s="2"/>
      <c r="O361" s="2"/>
      <c r="Q361" s="2"/>
      <c r="R361" s="62"/>
    </row>
    <row r="362">
      <c r="A362" s="2"/>
      <c r="B362" s="62"/>
      <c r="C362" s="2"/>
      <c r="D362" s="2"/>
      <c r="E362" s="2"/>
      <c r="F362" s="2"/>
      <c r="G362" s="2"/>
      <c r="H362" s="60"/>
      <c r="I362" s="60"/>
      <c r="J362" s="2"/>
      <c r="K362" s="2"/>
      <c r="L362" s="2"/>
      <c r="M362" s="2"/>
      <c r="N362" s="2"/>
      <c r="O362" s="2"/>
      <c r="P362" s="2"/>
      <c r="Q362" s="2"/>
      <c r="R362" s="62"/>
    </row>
    <row r="363">
      <c r="A363" s="2"/>
      <c r="B363" s="62"/>
      <c r="C363" s="2"/>
      <c r="D363" s="2"/>
      <c r="E363" s="2"/>
      <c r="F363" s="2"/>
      <c r="G363" s="2"/>
      <c r="H363" s="60"/>
      <c r="I363" s="60"/>
      <c r="J363" s="2"/>
      <c r="K363" s="2"/>
      <c r="L363" s="2"/>
      <c r="M363" s="2"/>
      <c r="N363" s="2"/>
      <c r="O363" s="2"/>
      <c r="P363" s="2"/>
      <c r="Q363" s="2"/>
      <c r="R363" s="62"/>
    </row>
    <row r="364">
      <c r="A364" s="2"/>
      <c r="B364" s="62"/>
      <c r="C364" s="2"/>
      <c r="D364" s="2"/>
      <c r="E364" s="2"/>
      <c r="F364" s="2"/>
      <c r="G364" s="2"/>
      <c r="H364" s="60"/>
      <c r="I364" s="60"/>
      <c r="J364" s="2"/>
      <c r="K364" s="2"/>
      <c r="L364" s="2"/>
      <c r="M364" s="2"/>
      <c r="N364" s="2"/>
      <c r="O364" s="2"/>
      <c r="P364" s="2"/>
      <c r="Q364" s="2"/>
      <c r="R364" s="62"/>
    </row>
    <row r="365">
      <c r="A365" s="2"/>
      <c r="B365" s="62"/>
      <c r="C365" s="2"/>
      <c r="D365" s="2"/>
      <c r="E365" s="2"/>
      <c r="F365" s="2"/>
      <c r="G365" s="2"/>
      <c r="H365" s="60"/>
      <c r="I365" s="60"/>
      <c r="J365" s="2"/>
      <c r="K365" s="2"/>
      <c r="L365" s="2"/>
      <c r="M365" s="2"/>
      <c r="N365" s="2"/>
      <c r="O365" s="2"/>
      <c r="P365" s="2"/>
      <c r="Q365" s="2"/>
      <c r="R365" s="62"/>
    </row>
    <row r="366">
      <c r="A366" s="2"/>
      <c r="B366" s="62"/>
      <c r="C366" s="2"/>
      <c r="D366" s="2"/>
      <c r="E366" s="2"/>
      <c r="F366" s="2"/>
      <c r="G366" s="2"/>
      <c r="H366" s="60"/>
      <c r="I366" s="60"/>
      <c r="J366" s="2"/>
      <c r="K366" s="2"/>
      <c r="L366" s="2"/>
      <c r="M366" s="2"/>
      <c r="N366" s="2"/>
      <c r="O366" s="2"/>
      <c r="P366" s="2"/>
      <c r="Q366" s="2"/>
      <c r="R366" s="62"/>
    </row>
    <row r="367">
      <c r="A367" s="2"/>
      <c r="B367" s="62"/>
      <c r="C367" s="2"/>
      <c r="D367" s="2"/>
      <c r="E367" s="2"/>
      <c r="F367" s="2"/>
      <c r="G367" s="2"/>
      <c r="H367" s="60"/>
      <c r="I367" s="60"/>
      <c r="J367" s="2"/>
      <c r="K367" s="2"/>
      <c r="L367" s="2"/>
      <c r="M367" s="2"/>
      <c r="N367" s="2"/>
      <c r="O367" s="2"/>
      <c r="P367" s="2"/>
      <c r="Q367" s="2"/>
      <c r="R367" s="62"/>
    </row>
    <row r="368">
      <c r="A368" s="2"/>
      <c r="B368" s="62"/>
      <c r="C368" s="2"/>
      <c r="D368" s="2"/>
      <c r="E368" s="2"/>
      <c r="F368" s="2"/>
      <c r="G368" s="2"/>
      <c r="H368" s="60"/>
      <c r="I368" s="60"/>
      <c r="J368" s="2"/>
      <c r="K368" s="2"/>
      <c r="L368" s="2"/>
      <c r="M368" s="2"/>
      <c r="N368" s="2"/>
      <c r="O368" s="2"/>
      <c r="Q368" s="2"/>
      <c r="R368" s="62"/>
    </row>
    <row r="369">
      <c r="A369" s="2"/>
      <c r="B369" s="62"/>
      <c r="C369" s="2"/>
      <c r="D369" s="2"/>
      <c r="E369" s="2"/>
      <c r="F369" s="2"/>
      <c r="G369" s="2"/>
      <c r="H369" s="60"/>
      <c r="I369" s="60"/>
      <c r="J369" s="2"/>
      <c r="K369" s="2"/>
      <c r="L369" s="2"/>
      <c r="M369" s="2"/>
      <c r="N369" s="2"/>
      <c r="O369" s="2"/>
      <c r="Q369" s="2"/>
      <c r="R369" s="62"/>
    </row>
    <row r="370">
      <c r="A370" s="2"/>
      <c r="B370" s="62"/>
      <c r="C370" s="2"/>
      <c r="D370" s="2"/>
      <c r="E370" s="2"/>
      <c r="F370" s="2"/>
      <c r="G370" s="2"/>
      <c r="H370" s="60"/>
      <c r="I370" s="60"/>
      <c r="J370" s="2"/>
      <c r="K370" s="2"/>
      <c r="L370" s="2"/>
      <c r="M370" s="2"/>
      <c r="N370" s="2"/>
      <c r="O370" s="2"/>
      <c r="P370" s="2"/>
      <c r="Q370" s="2"/>
      <c r="R370" s="62"/>
    </row>
    <row r="371">
      <c r="A371" s="2"/>
      <c r="B371" s="62"/>
      <c r="C371" s="2"/>
      <c r="D371" s="2"/>
      <c r="E371" s="2"/>
      <c r="F371" s="2"/>
      <c r="G371" s="2"/>
      <c r="H371" s="60"/>
      <c r="I371" s="60"/>
      <c r="J371" s="2"/>
      <c r="K371" s="2"/>
      <c r="L371" s="2"/>
      <c r="M371" s="2"/>
      <c r="N371" s="2"/>
      <c r="O371" s="2"/>
      <c r="P371" s="2"/>
      <c r="Q371" s="2"/>
      <c r="R371" s="62"/>
    </row>
    <row r="372">
      <c r="A372" s="2"/>
      <c r="B372" s="62"/>
      <c r="C372" s="2"/>
      <c r="D372" s="2"/>
      <c r="E372" s="2"/>
      <c r="F372" s="2"/>
      <c r="G372" s="2"/>
      <c r="H372" s="60"/>
      <c r="I372" s="60"/>
      <c r="J372" s="2"/>
      <c r="K372" s="2"/>
      <c r="L372" s="2"/>
      <c r="M372" s="2"/>
      <c r="N372" s="2"/>
      <c r="O372" s="2"/>
      <c r="Q372" s="2"/>
      <c r="R372" s="62"/>
    </row>
    <row r="373">
      <c r="A373" s="2"/>
      <c r="B373" s="62"/>
      <c r="C373" s="2"/>
      <c r="D373" s="2"/>
      <c r="E373" s="2"/>
      <c r="F373" s="2"/>
      <c r="G373" s="2"/>
      <c r="H373" s="60"/>
      <c r="I373" s="60"/>
      <c r="J373" s="2"/>
      <c r="K373" s="2"/>
      <c r="L373" s="2"/>
      <c r="M373" s="2"/>
      <c r="N373" s="2"/>
      <c r="O373" s="2"/>
      <c r="Q373" s="2"/>
      <c r="R373" s="62"/>
    </row>
    <row r="374">
      <c r="A374" s="2"/>
      <c r="B374" s="62"/>
      <c r="C374" s="2"/>
      <c r="D374" s="2"/>
      <c r="E374" s="2"/>
      <c r="F374" s="2"/>
      <c r="G374" s="2"/>
      <c r="H374" s="60"/>
      <c r="I374" s="60"/>
      <c r="J374" s="2"/>
      <c r="K374" s="2"/>
      <c r="L374" s="2"/>
      <c r="M374" s="2"/>
      <c r="N374" s="2"/>
      <c r="O374" s="2"/>
      <c r="P374" s="2"/>
      <c r="Q374" s="2"/>
      <c r="R374" s="62"/>
    </row>
    <row r="375">
      <c r="A375" s="2"/>
      <c r="B375" s="62"/>
      <c r="C375" s="2"/>
      <c r="D375" s="2"/>
      <c r="E375" s="2"/>
      <c r="F375" s="2"/>
      <c r="G375" s="2"/>
      <c r="H375" s="60"/>
      <c r="I375" s="60"/>
      <c r="J375" s="2"/>
      <c r="K375" s="2"/>
      <c r="L375" s="2"/>
      <c r="M375" s="2"/>
      <c r="N375" s="2"/>
      <c r="O375" s="2"/>
      <c r="Q375" s="2"/>
      <c r="R375" s="62"/>
    </row>
    <row r="376">
      <c r="A376" s="2"/>
      <c r="B376" s="62"/>
      <c r="C376" s="2"/>
      <c r="D376" s="2"/>
      <c r="E376" s="2"/>
      <c r="F376" s="2"/>
      <c r="G376" s="2"/>
      <c r="H376" s="60"/>
      <c r="I376" s="60"/>
      <c r="J376" s="2"/>
      <c r="K376" s="2"/>
      <c r="L376" s="2"/>
      <c r="M376" s="2"/>
      <c r="N376" s="2"/>
      <c r="O376" s="2"/>
      <c r="Q376" s="2"/>
      <c r="R376" s="62"/>
    </row>
    <row r="377">
      <c r="A377" s="2"/>
      <c r="B377" s="62"/>
      <c r="C377" s="2"/>
      <c r="D377" s="2"/>
      <c r="E377" s="2"/>
      <c r="F377" s="2"/>
      <c r="G377" s="2"/>
      <c r="H377" s="60"/>
      <c r="I377" s="60"/>
      <c r="J377" s="2"/>
      <c r="K377" s="2"/>
      <c r="L377" s="2"/>
      <c r="M377" s="2"/>
      <c r="N377" s="2"/>
      <c r="O377" s="2"/>
      <c r="Q377" s="2"/>
      <c r="R377" s="62"/>
    </row>
    <row r="378">
      <c r="A378" s="2"/>
      <c r="B378" s="62"/>
      <c r="C378" s="2"/>
      <c r="D378" s="2"/>
      <c r="E378" s="2"/>
      <c r="F378" s="2"/>
      <c r="G378" s="2"/>
      <c r="H378" s="60"/>
      <c r="I378" s="60"/>
      <c r="J378" s="2"/>
      <c r="K378" s="2"/>
      <c r="L378" s="2"/>
      <c r="M378" s="2"/>
      <c r="N378" s="2"/>
      <c r="O378" s="2"/>
      <c r="P378" s="2"/>
      <c r="Q378" s="2"/>
      <c r="R378" s="62"/>
    </row>
    <row r="379">
      <c r="A379" s="2"/>
      <c r="B379" s="62"/>
      <c r="C379" s="2"/>
      <c r="D379" s="2"/>
      <c r="E379" s="2"/>
      <c r="F379" s="2"/>
      <c r="G379" s="2"/>
      <c r="H379" s="60"/>
      <c r="I379" s="60"/>
      <c r="J379" s="2"/>
      <c r="K379" s="2"/>
      <c r="L379" s="2"/>
      <c r="M379" s="2"/>
      <c r="N379" s="2"/>
      <c r="O379" s="2"/>
      <c r="P379" s="2"/>
      <c r="Q379" s="2"/>
      <c r="R379" s="62"/>
    </row>
    <row r="380">
      <c r="A380" s="2"/>
      <c r="B380" s="62"/>
      <c r="C380" s="2"/>
      <c r="D380" s="2"/>
      <c r="E380" s="2"/>
      <c r="F380" s="2"/>
      <c r="G380" s="2"/>
      <c r="H380" s="60"/>
      <c r="I380" s="60"/>
      <c r="J380" s="2"/>
      <c r="K380" s="2"/>
      <c r="L380" s="2"/>
      <c r="M380" s="2"/>
      <c r="N380" s="2"/>
      <c r="O380" s="2"/>
      <c r="P380" s="2"/>
      <c r="Q380" s="2"/>
      <c r="R380" s="62"/>
    </row>
    <row r="381">
      <c r="A381" s="2"/>
      <c r="B381" s="62"/>
      <c r="C381" s="2"/>
      <c r="D381" s="2"/>
      <c r="E381" s="2"/>
      <c r="F381" s="2"/>
      <c r="G381" s="2"/>
      <c r="H381" s="60"/>
      <c r="I381" s="60"/>
      <c r="J381" s="2"/>
      <c r="K381" s="2"/>
      <c r="L381" s="2"/>
      <c r="M381" s="2"/>
      <c r="N381" s="2"/>
      <c r="O381" s="2"/>
      <c r="P381" s="2"/>
      <c r="Q381" s="2"/>
      <c r="R381" s="62"/>
    </row>
    <row r="382">
      <c r="A382" s="2"/>
      <c r="B382" s="62"/>
      <c r="C382" s="2"/>
      <c r="D382" s="2"/>
      <c r="E382" s="2"/>
      <c r="F382" s="2"/>
      <c r="G382" s="2"/>
      <c r="H382" s="60"/>
      <c r="I382" s="60"/>
      <c r="J382" s="2"/>
      <c r="K382" s="2"/>
      <c r="L382" s="2"/>
      <c r="M382" s="2"/>
      <c r="N382" s="2"/>
      <c r="O382" s="2"/>
      <c r="Q382" s="2"/>
      <c r="R382" s="62"/>
    </row>
    <row r="383">
      <c r="A383" s="2"/>
      <c r="B383" s="62"/>
      <c r="C383" s="2"/>
      <c r="D383" s="2"/>
      <c r="E383" s="2"/>
      <c r="F383" s="2"/>
      <c r="G383" s="2"/>
      <c r="H383" s="60"/>
      <c r="I383" s="60"/>
      <c r="J383" s="2"/>
      <c r="K383" s="2"/>
      <c r="L383" s="2"/>
      <c r="M383" s="2"/>
      <c r="N383" s="2"/>
      <c r="O383" s="2"/>
      <c r="Q383" s="2"/>
      <c r="R383" s="62"/>
    </row>
    <row r="384">
      <c r="A384" s="2"/>
      <c r="B384" s="62"/>
      <c r="C384" s="2"/>
      <c r="D384" s="2"/>
      <c r="E384" s="2"/>
      <c r="F384" s="2"/>
      <c r="G384" s="2"/>
      <c r="H384" s="60"/>
      <c r="I384" s="60"/>
      <c r="J384" s="2"/>
      <c r="K384" s="2"/>
      <c r="L384" s="2"/>
      <c r="M384" s="2"/>
      <c r="N384" s="2"/>
      <c r="O384" s="2"/>
      <c r="P384" s="2"/>
      <c r="Q384" s="2"/>
      <c r="R384" s="62"/>
    </row>
    <row r="385">
      <c r="A385" s="2"/>
      <c r="B385" s="62"/>
      <c r="C385" s="2"/>
      <c r="D385" s="2"/>
      <c r="E385" s="2"/>
      <c r="F385" s="2"/>
      <c r="G385" s="2"/>
      <c r="H385" s="60"/>
      <c r="I385" s="60"/>
      <c r="J385" s="2"/>
      <c r="K385" s="2"/>
      <c r="L385" s="2"/>
      <c r="M385" s="2"/>
      <c r="N385" s="2"/>
      <c r="O385" s="2"/>
      <c r="P385" s="2"/>
      <c r="Q385" s="2"/>
      <c r="R385" s="62"/>
    </row>
    <row r="386">
      <c r="A386" s="2"/>
      <c r="B386" s="62"/>
      <c r="C386" s="2"/>
      <c r="D386" s="2"/>
      <c r="E386" s="2"/>
      <c r="F386" s="2"/>
      <c r="G386" s="2"/>
      <c r="H386" s="60"/>
      <c r="I386" s="60"/>
      <c r="J386" s="2"/>
      <c r="K386" s="2"/>
      <c r="L386" s="2"/>
      <c r="M386" s="2"/>
      <c r="N386" s="2"/>
      <c r="O386" s="2"/>
      <c r="P386" s="2"/>
      <c r="Q386" s="2"/>
      <c r="R386" s="62"/>
    </row>
    <row r="387">
      <c r="A387" s="2"/>
      <c r="B387" s="62"/>
      <c r="C387" s="2"/>
      <c r="D387" s="2"/>
      <c r="E387" s="2"/>
      <c r="F387" s="2"/>
      <c r="G387" s="2"/>
      <c r="H387" s="60"/>
      <c r="I387" s="60"/>
      <c r="J387" s="2"/>
      <c r="K387" s="2"/>
      <c r="L387" s="2"/>
      <c r="M387" s="2"/>
      <c r="N387" s="2"/>
      <c r="O387" s="2"/>
      <c r="P387" s="2"/>
      <c r="Q387" s="2"/>
      <c r="R387" s="62"/>
    </row>
    <row r="388">
      <c r="A388" s="2"/>
      <c r="B388" s="62"/>
      <c r="C388" s="2"/>
      <c r="D388" s="2"/>
      <c r="E388" s="2"/>
      <c r="F388" s="2"/>
      <c r="G388" s="2"/>
      <c r="H388" s="60"/>
      <c r="I388" s="60"/>
      <c r="J388" s="2"/>
      <c r="K388" s="2"/>
      <c r="L388" s="2"/>
      <c r="M388" s="2"/>
      <c r="N388" s="2"/>
      <c r="O388" s="2"/>
      <c r="P388" s="2"/>
      <c r="Q388" s="2"/>
      <c r="R388" s="62"/>
    </row>
    <row r="389">
      <c r="A389" s="2"/>
      <c r="B389" s="62"/>
      <c r="C389" s="2"/>
      <c r="D389" s="2"/>
      <c r="E389" s="2"/>
      <c r="F389" s="2"/>
      <c r="G389" s="2"/>
      <c r="H389" s="60"/>
      <c r="I389" s="60"/>
      <c r="J389" s="2"/>
      <c r="K389" s="2"/>
      <c r="L389" s="2"/>
      <c r="M389" s="2"/>
      <c r="N389" s="2"/>
      <c r="O389" s="2"/>
      <c r="P389" s="2"/>
      <c r="Q389" s="2"/>
      <c r="R389" s="62"/>
    </row>
    <row r="390">
      <c r="A390" s="2"/>
      <c r="B390" s="62"/>
      <c r="C390" s="2"/>
      <c r="D390" s="2"/>
      <c r="E390" s="2"/>
      <c r="F390" s="2"/>
      <c r="G390" s="2"/>
      <c r="H390" s="60"/>
      <c r="I390" s="60"/>
      <c r="J390" s="2"/>
      <c r="K390" s="2"/>
      <c r="L390" s="2"/>
      <c r="M390" s="2"/>
      <c r="N390" s="2"/>
      <c r="O390" s="2"/>
      <c r="P390" s="2"/>
      <c r="Q390" s="2"/>
      <c r="R390" s="62"/>
    </row>
    <row r="391">
      <c r="A391" s="2"/>
      <c r="B391" s="62"/>
      <c r="C391" s="2"/>
      <c r="D391" s="2"/>
      <c r="E391" s="2"/>
      <c r="F391" s="2"/>
      <c r="G391" s="2"/>
      <c r="H391" s="60"/>
      <c r="I391" s="60"/>
      <c r="J391" s="2"/>
      <c r="K391" s="2"/>
      <c r="L391" s="2"/>
      <c r="M391" s="2"/>
      <c r="N391" s="2"/>
      <c r="O391" s="2"/>
      <c r="P391" s="2"/>
      <c r="Q391" s="2"/>
      <c r="R391" s="62"/>
    </row>
    <row r="392">
      <c r="A392" s="2"/>
      <c r="B392" s="62"/>
      <c r="C392" s="2"/>
      <c r="D392" s="2"/>
      <c r="E392" s="2"/>
      <c r="F392" s="2"/>
      <c r="G392" s="2"/>
      <c r="H392" s="60"/>
      <c r="I392" s="60"/>
      <c r="J392" s="2"/>
      <c r="K392" s="2"/>
      <c r="L392" s="2"/>
      <c r="M392" s="2"/>
      <c r="N392" s="2"/>
      <c r="O392" s="2"/>
      <c r="P392" s="2"/>
      <c r="Q392" s="2"/>
      <c r="R392" s="62"/>
    </row>
    <row r="393">
      <c r="A393" s="2"/>
      <c r="B393" s="62"/>
      <c r="C393" s="2"/>
      <c r="D393" s="2"/>
      <c r="E393" s="2"/>
      <c r="F393" s="2"/>
      <c r="G393" s="2"/>
      <c r="H393" s="60"/>
      <c r="I393" s="60"/>
      <c r="J393" s="2"/>
      <c r="K393" s="2"/>
      <c r="L393" s="2"/>
      <c r="M393" s="2"/>
      <c r="N393" s="2"/>
      <c r="O393" s="2"/>
      <c r="P393" s="2"/>
      <c r="Q393" s="2"/>
      <c r="R393" s="62"/>
    </row>
    <row r="394">
      <c r="A394" s="2"/>
      <c r="B394" s="62"/>
      <c r="C394" s="2"/>
      <c r="D394" s="2"/>
      <c r="E394" s="2"/>
      <c r="F394" s="2"/>
      <c r="G394" s="2"/>
      <c r="H394" s="60"/>
      <c r="I394" s="60"/>
      <c r="J394" s="2"/>
      <c r="K394" s="2"/>
      <c r="L394" s="2"/>
      <c r="M394" s="2"/>
      <c r="N394" s="2"/>
      <c r="O394" s="2"/>
      <c r="Q394" s="2"/>
      <c r="R394" s="62"/>
    </row>
    <row r="395">
      <c r="A395" s="2"/>
      <c r="B395" s="62"/>
      <c r="C395" s="2"/>
      <c r="D395" s="2"/>
      <c r="E395" s="2"/>
      <c r="F395" s="2"/>
      <c r="G395" s="2"/>
      <c r="H395" s="60"/>
      <c r="I395" s="60"/>
      <c r="J395" s="2"/>
      <c r="K395" s="2"/>
      <c r="L395" s="2"/>
      <c r="M395" s="2"/>
      <c r="N395" s="2"/>
      <c r="O395" s="2"/>
      <c r="P395" s="2"/>
      <c r="Q395" s="2"/>
      <c r="R395" s="62"/>
    </row>
    <row r="396">
      <c r="A396" s="2"/>
      <c r="B396" s="62"/>
      <c r="C396" s="2"/>
      <c r="D396" s="2"/>
      <c r="E396" s="2"/>
      <c r="F396" s="2"/>
      <c r="G396" s="2"/>
      <c r="H396" s="60"/>
      <c r="I396" s="60"/>
      <c r="J396" s="2"/>
      <c r="K396" s="2"/>
      <c r="L396" s="2"/>
      <c r="M396" s="2"/>
      <c r="N396" s="2"/>
      <c r="O396" s="2"/>
      <c r="P396" s="2"/>
      <c r="Q396" s="2"/>
      <c r="R396" s="62"/>
    </row>
    <row r="397">
      <c r="A397" s="2"/>
      <c r="B397" s="62"/>
      <c r="C397" s="2"/>
      <c r="D397" s="2"/>
      <c r="E397" s="2"/>
      <c r="F397" s="2"/>
      <c r="G397" s="2"/>
      <c r="H397" s="60"/>
      <c r="I397" s="60"/>
      <c r="J397" s="2"/>
      <c r="K397" s="2"/>
      <c r="L397" s="2"/>
      <c r="M397" s="2"/>
      <c r="N397" s="2"/>
      <c r="O397" s="2"/>
      <c r="Q397" s="2"/>
      <c r="R397" s="62"/>
    </row>
    <row r="398">
      <c r="A398" s="2"/>
      <c r="B398" s="62"/>
      <c r="C398" s="2"/>
      <c r="D398" s="2"/>
      <c r="E398" s="2"/>
      <c r="F398" s="2"/>
      <c r="G398" s="2"/>
      <c r="H398" s="60"/>
      <c r="I398" s="60"/>
      <c r="J398" s="2"/>
      <c r="K398" s="2"/>
      <c r="L398" s="2"/>
      <c r="M398" s="2"/>
      <c r="N398" s="2"/>
      <c r="O398" s="2"/>
      <c r="P398" s="2"/>
      <c r="Q398" s="2"/>
      <c r="R398" s="62"/>
    </row>
    <row r="399">
      <c r="A399" s="2"/>
      <c r="B399" s="62"/>
      <c r="C399" s="2"/>
      <c r="D399" s="2"/>
      <c r="E399" s="2"/>
      <c r="F399" s="2"/>
      <c r="G399" s="2"/>
      <c r="H399" s="60"/>
      <c r="I399" s="60"/>
      <c r="J399" s="2"/>
      <c r="K399" s="2"/>
      <c r="L399" s="2"/>
      <c r="M399" s="2"/>
      <c r="N399" s="2"/>
      <c r="O399" s="2"/>
      <c r="P399" s="2"/>
      <c r="Q399" s="2"/>
      <c r="R399" s="62"/>
    </row>
    <row r="400">
      <c r="A400" s="2"/>
      <c r="B400" s="62"/>
      <c r="C400" s="2"/>
      <c r="D400" s="2"/>
      <c r="E400" s="2"/>
      <c r="F400" s="2"/>
      <c r="G400" s="2"/>
      <c r="H400" s="60"/>
      <c r="I400" s="60"/>
      <c r="J400" s="2"/>
      <c r="K400" s="2"/>
      <c r="L400" s="2"/>
      <c r="M400" s="2"/>
      <c r="N400" s="2"/>
      <c r="O400" s="2"/>
      <c r="P400" s="2"/>
      <c r="Q400" s="2"/>
      <c r="R400" s="62"/>
    </row>
    <row r="401">
      <c r="A401" s="2"/>
      <c r="B401" s="62"/>
      <c r="C401" s="2"/>
      <c r="D401" s="2"/>
      <c r="E401" s="2"/>
      <c r="F401" s="2"/>
      <c r="G401" s="2"/>
      <c r="H401" s="60"/>
      <c r="I401" s="60"/>
      <c r="J401" s="2"/>
      <c r="K401" s="2"/>
      <c r="L401" s="2"/>
      <c r="M401" s="2"/>
      <c r="N401" s="2"/>
      <c r="O401" s="2"/>
      <c r="P401" s="2"/>
      <c r="Q401" s="2"/>
      <c r="R401" s="62"/>
    </row>
    <row r="402">
      <c r="A402" s="2"/>
      <c r="B402" s="62"/>
      <c r="C402" s="2"/>
      <c r="D402" s="2"/>
      <c r="E402" s="2"/>
      <c r="F402" s="2"/>
      <c r="G402" s="2"/>
      <c r="H402" s="60"/>
      <c r="I402" s="60"/>
      <c r="J402" s="2"/>
      <c r="K402" s="2"/>
      <c r="L402" s="2"/>
      <c r="M402" s="2"/>
      <c r="N402" s="2"/>
      <c r="O402" s="2"/>
      <c r="P402" s="2"/>
      <c r="Q402" s="2"/>
      <c r="R402" s="62"/>
    </row>
    <row r="403">
      <c r="A403" s="2"/>
      <c r="B403" s="62"/>
      <c r="C403" s="2"/>
      <c r="D403" s="2"/>
      <c r="E403" s="2"/>
      <c r="F403" s="2"/>
      <c r="G403" s="2"/>
      <c r="H403" s="60"/>
      <c r="I403" s="60"/>
      <c r="J403" s="2"/>
      <c r="K403" s="2"/>
      <c r="L403" s="2"/>
      <c r="M403" s="2"/>
      <c r="N403" s="2"/>
      <c r="O403" s="2"/>
      <c r="P403" s="2"/>
      <c r="Q403" s="2"/>
      <c r="R403" s="62"/>
    </row>
    <row r="404">
      <c r="A404" s="2"/>
      <c r="B404" s="62"/>
      <c r="C404" s="2"/>
      <c r="D404" s="2"/>
      <c r="E404" s="2"/>
      <c r="F404" s="2"/>
      <c r="G404" s="2"/>
      <c r="H404" s="60"/>
      <c r="I404" s="60"/>
      <c r="J404" s="2"/>
      <c r="K404" s="2"/>
      <c r="L404" s="2"/>
      <c r="M404" s="2"/>
      <c r="N404" s="2"/>
      <c r="O404" s="2"/>
      <c r="P404" s="2"/>
      <c r="Q404" s="2"/>
      <c r="R404" s="62"/>
    </row>
    <row r="405">
      <c r="A405" s="2"/>
      <c r="B405" s="62"/>
      <c r="C405" s="2"/>
      <c r="D405" s="2"/>
      <c r="E405" s="2"/>
      <c r="F405" s="2"/>
      <c r="G405" s="2"/>
      <c r="H405" s="60"/>
      <c r="I405" s="60"/>
      <c r="J405" s="2"/>
      <c r="K405" s="2"/>
      <c r="L405" s="2"/>
      <c r="M405" s="2"/>
      <c r="N405" s="2"/>
      <c r="O405" s="2"/>
      <c r="P405" s="2"/>
      <c r="Q405" s="2"/>
      <c r="R405" s="62"/>
    </row>
    <row r="406">
      <c r="A406" s="2"/>
      <c r="B406" s="62"/>
      <c r="C406" s="2"/>
      <c r="D406" s="2"/>
      <c r="E406" s="2"/>
      <c r="F406" s="2"/>
      <c r="G406" s="2"/>
      <c r="H406" s="60"/>
      <c r="I406" s="60"/>
      <c r="J406" s="2"/>
      <c r="K406" s="2"/>
      <c r="L406" s="2"/>
      <c r="M406" s="2"/>
      <c r="N406" s="2"/>
      <c r="O406" s="2"/>
      <c r="Q406" s="2"/>
      <c r="R406" s="62"/>
    </row>
    <row r="407">
      <c r="A407" s="2"/>
      <c r="B407" s="62"/>
      <c r="C407" s="2"/>
      <c r="D407" s="2"/>
      <c r="E407" s="2"/>
      <c r="F407" s="2"/>
      <c r="G407" s="2"/>
      <c r="H407" s="60"/>
      <c r="I407" s="60"/>
      <c r="J407" s="2"/>
      <c r="K407" s="2"/>
      <c r="L407" s="2"/>
      <c r="M407" s="2"/>
      <c r="N407" s="2"/>
      <c r="O407" s="2"/>
      <c r="P407" s="2"/>
      <c r="Q407" s="2"/>
      <c r="R407" s="62"/>
    </row>
    <row r="408">
      <c r="A408" s="2"/>
      <c r="B408" s="62"/>
      <c r="C408" s="2"/>
      <c r="D408" s="2"/>
      <c r="E408" s="2"/>
      <c r="F408" s="2"/>
      <c r="G408" s="2"/>
      <c r="H408" s="60"/>
      <c r="I408" s="60"/>
      <c r="J408" s="2"/>
      <c r="K408" s="2"/>
      <c r="L408" s="2"/>
      <c r="M408" s="2"/>
      <c r="N408" s="2"/>
      <c r="O408" s="2"/>
      <c r="Q408" s="2"/>
      <c r="R408" s="62"/>
    </row>
    <row r="409">
      <c r="A409" s="2"/>
      <c r="B409" s="62"/>
      <c r="C409" s="2"/>
      <c r="D409" s="2"/>
      <c r="E409" s="2"/>
      <c r="F409" s="2"/>
      <c r="G409" s="2"/>
      <c r="H409" s="60"/>
      <c r="I409" s="60"/>
      <c r="J409" s="2"/>
      <c r="K409" s="2"/>
      <c r="L409" s="2"/>
      <c r="M409" s="2"/>
      <c r="N409" s="2"/>
      <c r="O409" s="2"/>
      <c r="Q409" s="2"/>
      <c r="R409" s="62"/>
    </row>
    <row r="410">
      <c r="A410" s="2"/>
      <c r="B410" s="62"/>
      <c r="C410" s="2"/>
      <c r="D410" s="2"/>
      <c r="E410" s="2"/>
      <c r="F410" s="2"/>
      <c r="G410" s="2"/>
      <c r="H410" s="60"/>
      <c r="I410" s="60"/>
      <c r="J410" s="2"/>
      <c r="K410" s="2"/>
      <c r="L410" s="2"/>
      <c r="M410" s="2"/>
      <c r="N410" s="2"/>
      <c r="O410" s="2"/>
      <c r="P410" s="2"/>
      <c r="Q410" s="2"/>
      <c r="R410" s="62"/>
    </row>
    <row r="411">
      <c r="A411" s="2"/>
      <c r="B411" s="62"/>
      <c r="C411" s="2"/>
      <c r="D411" s="2"/>
      <c r="E411" s="2"/>
      <c r="F411" s="2"/>
      <c r="G411" s="2"/>
      <c r="H411" s="60"/>
      <c r="I411" s="60"/>
      <c r="J411" s="2"/>
      <c r="K411" s="2"/>
      <c r="L411" s="2"/>
      <c r="M411" s="2"/>
      <c r="N411" s="2"/>
      <c r="O411" s="2"/>
      <c r="P411" s="2"/>
      <c r="Q411" s="2"/>
      <c r="R411" s="62"/>
    </row>
    <row r="412">
      <c r="A412" s="2"/>
      <c r="B412" s="62"/>
      <c r="C412" s="2"/>
      <c r="D412" s="2"/>
      <c r="E412" s="2"/>
      <c r="F412" s="2"/>
      <c r="G412" s="2"/>
      <c r="H412" s="60"/>
      <c r="I412" s="60"/>
      <c r="J412" s="2"/>
      <c r="K412" s="2"/>
      <c r="L412" s="2"/>
      <c r="M412" s="2"/>
      <c r="N412" s="2"/>
      <c r="O412" s="2"/>
      <c r="P412" s="2"/>
      <c r="Q412" s="2"/>
      <c r="R412" s="62"/>
    </row>
    <row r="413">
      <c r="A413" s="2"/>
      <c r="B413" s="62"/>
      <c r="C413" s="2"/>
      <c r="D413" s="2"/>
      <c r="E413" s="2"/>
      <c r="F413" s="2"/>
      <c r="G413" s="2"/>
      <c r="H413" s="60"/>
      <c r="I413" s="60"/>
      <c r="J413" s="2"/>
      <c r="K413" s="2"/>
      <c r="L413" s="2"/>
      <c r="M413" s="2"/>
      <c r="N413" s="2"/>
      <c r="O413" s="2"/>
      <c r="Q413" s="2"/>
      <c r="R413" s="62"/>
    </row>
    <row r="414">
      <c r="A414" s="2"/>
      <c r="B414" s="62"/>
      <c r="C414" s="2"/>
      <c r="D414" s="2"/>
      <c r="E414" s="2"/>
      <c r="F414" s="2"/>
      <c r="G414" s="2"/>
      <c r="H414" s="60"/>
      <c r="I414" s="60"/>
      <c r="J414" s="2"/>
      <c r="K414" s="2"/>
      <c r="L414" s="2"/>
      <c r="M414" s="2"/>
      <c r="N414" s="2"/>
      <c r="O414" s="2"/>
      <c r="Q414" s="2"/>
      <c r="R414" s="62"/>
    </row>
    <row r="415">
      <c r="A415" s="2"/>
      <c r="B415" s="62"/>
      <c r="C415" s="2"/>
      <c r="D415" s="2"/>
      <c r="E415" s="2"/>
      <c r="F415" s="2"/>
      <c r="G415" s="2"/>
      <c r="H415" s="60"/>
      <c r="I415" s="60"/>
      <c r="J415" s="2"/>
      <c r="K415" s="2"/>
      <c r="L415" s="2"/>
      <c r="M415" s="2"/>
      <c r="N415" s="2"/>
      <c r="O415" s="2"/>
      <c r="P415" s="2"/>
      <c r="Q415" s="2"/>
      <c r="R415" s="62"/>
    </row>
    <row r="416">
      <c r="A416" s="2"/>
      <c r="B416" s="62"/>
      <c r="C416" s="2"/>
      <c r="D416" s="2"/>
      <c r="E416" s="2"/>
      <c r="F416" s="2"/>
      <c r="G416" s="2"/>
      <c r="H416" s="60"/>
      <c r="I416" s="60"/>
      <c r="J416" s="2"/>
      <c r="K416" s="2"/>
      <c r="L416" s="2"/>
      <c r="M416" s="2"/>
      <c r="N416" s="2"/>
      <c r="O416" s="2"/>
      <c r="Q416" s="2"/>
      <c r="R416" s="62"/>
    </row>
    <row r="417">
      <c r="A417" s="2"/>
      <c r="B417" s="62"/>
      <c r="C417" s="2"/>
      <c r="D417" s="2"/>
      <c r="E417" s="2"/>
      <c r="F417" s="2"/>
      <c r="G417" s="2"/>
      <c r="H417" s="60"/>
      <c r="I417" s="60"/>
      <c r="J417" s="2"/>
      <c r="K417" s="2"/>
      <c r="L417" s="2"/>
      <c r="M417" s="2"/>
      <c r="N417" s="2"/>
      <c r="O417" s="2"/>
      <c r="Q417" s="2"/>
      <c r="R417" s="62"/>
    </row>
    <row r="418">
      <c r="A418" s="2"/>
      <c r="B418" s="62"/>
      <c r="C418" s="2"/>
      <c r="D418" s="2"/>
      <c r="E418" s="2"/>
      <c r="F418" s="2"/>
      <c r="G418" s="2"/>
      <c r="H418" s="60"/>
      <c r="I418" s="60"/>
      <c r="J418" s="2"/>
      <c r="K418" s="2"/>
      <c r="L418" s="2"/>
      <c r="M418" s="2"/>
      <c r="N418" s="2"/>
      <c r="O418" s="2"/>
      <c r="Q418" s="2"/>
      <c r="R418" s="62"/>
    </row>
    <row r="419">
      <c r="A419" s="2"/>
      <c r="B419" s="62"/>
      <c r="C419" s="2"/>
      <c r="D419" s="2"/>
      <c r="E419" s="2"/>
      <c r="F419" s="2"/>
      <c r="G419" s="2"/>
      <c r="H419" s="60"/>
      <c r="I419" s="60"/>
      <c r="J419" s="2"/>
      <c r="K419" s="2"/>
      <c r="L419" s="2"/>
      <c r="M419" s="2"/>
      <c r="N419" s="2"/>
      <c r="O419" s="2"/>
      <c r="P419" s="2"/>
      <c r="Q419" s="2"/>
      <c r="R419" s="62"/>
    </row>
    <row r="420">
      <c r="A420" s="2"/>
      <c r="B420" s="62"/>
      <c r="C420" s="2"/>
      <c r="D420" s="2"/>
      <c r="E420" s="2"/>
      <c r="F420" s="2"/>
      <c r="G420" s="2"/>
      <c r="H420" s="60"/>
      <c r="I420" s="60"/>
      <c r="J420" s="2"/>
      <c r="K420" s="2"/>
      <c r="L420" s="2"/>
      <c r="M420" s="2"/>
      <c r="N420" s="2"/>
      <c r="O420" s="2"/>
      <c r="P420" s="2"/>
      <c r="Q420" s="2"/>
      <c r="R420" s="62"/>
    </row>
    <row r="421">
      <c r="A421" s="2"/>
      <c r="B421" s="62"/>
      <c r="C421" s="2"/>
      <c r="D421" s="2"/>
      <c r="E421" s="2"/>
      <c r="F421" s="2"/>
      <c r="G421" s="2"/>
      <c r="H421" s="60"/>
      <c r="I421" s="60"/>
      <c r="J421" s="2"/>
      <c r="K421" s="2"/>
      <c r="L421" s="2"/>
      <c r="M421" s="2"/>
      <c r="N421" s="2"/>
      <c r="O421" s="2"/>
      <c r="Q421" s="2"/>
      <c r="R421" s="62"/>
    </row>
    <row r="422">
      <c r="A422" s="2"/>
      <c r="B422" s="62"/>
      <c r="C422" s="2"/>
      <c r="D422" s="2"/>
      <c r="E422" s="2"/>
      <c r="F422" s="2"/>
      <c r="G422" s="2"/>
      <c r="H422" s="60"/>
      <c r="I422" s="60"/>
      <c r="J422" s="2"/>
      <c r="K422" s="2"/>
      <c r="L422" s="2"/>
      <c r="M422" s="2"/>
      <c r="N422" s="2"/>
      <c r="O422" s="2"/>
      <c r="Q422" s="2"/>
      <c r="R422" s="62"/>
    </row>
    <row r="423">
      <c r="A423" s="2"/>
      <c r="B423" s="62"/>
      <c r="C423" s="2"/>
      <c r="D423" s="2"/>
      <c r="E423" s="2"/>
      <c r="F423" s="2"/>
      <c r="G423" s="2"/>
      <c r="H423" s="60"/>
      <c r="I423" s="60"/>
      <c r="J423" s="2"/>
      <c r="K423" s="2"/>
      <c r="L423" s="2"/>
      <c r="M423" s="2"/>
      <c r="N423" s="2"/>
      <c r="O423" s="2"/>
      <c r="P423" s="2"/>
      <c r="Q423" s="2"/>
      <c r="R423" s="62"/>
    </row>
    <row r="424">
      <c r="A424" s="2"/>
      <c r="B424" s="62"/>
      <c r="C424" s="2"/>
      <c r="D424" s="2"/>
      <c r="E424" s="2"/>
      <c r="F424" s="2"/>
      <c r="G424" s="2"/>
      <c r="H424" s="60"/>
      <c r="I424" s="60"/>
      <c r="J424" s="2"/>
      <c r="K424" s="2"/>
      <c r="L424" s="2"/>
      <c r="M424" s="2"/>
      <c r="N424" s="2"/>
      <c r="O424" s="2"/>
      <c r="Q424" s="2"/>
      <c r="R424" s="62"/>
    </row>
    <row r="425">
      <c r="A425" s="2"/>
      <c r="B425" s="62"/>
      <c r="C425" s="2"/>
      <c r="D425" s="2"/>
      <c r="E425" s="2"/>
      <c r="F425" s="2"/>
      <c r="G425" s="2"/>
      <c r="H425" s="60"/>
      <c r="I425" s="60"/>
      <c r="J425" s="2"/>
      <c r="K425" s="2"/>
      <c r="L425" s="2"/>
      <c r="M425" s="2"/>
      <c r="N425" s="2"/>
      <c r="O425" s="2"/>
      <c r="P425" s="2"/>
      <c r="Q425" s="2"/>
      <c r="R425" s="62"/>
    </row>
    <row r="426">
      <c r="A426" s="2"/>
      <c r="B426" s="62"/>
      <c r="C426" s="2"/>
      <c r="D426" s="2"/>
      <c r="E426" s="2"/>
      <c r="F426" s="2"/>
      <c r="G426" s="2"/>
      <c r="H426" s="60"/>
      <c r="I426" s="60"/>
      <c r="J426" s="2"/>
      <c r="K426" s="2"/>
      <c r="L426" s="2"/>
      <c r="M426" s="2"/>
      <c r="N426" s="2"/>
      <c r="O426" s="2"/>
      <c r="P426" s="2"/>
      <c r="Q426" s="2"/>
      <c r="R426" s="62"/>
    </row>
    <row r="427">
      <c r="A427" s="2"/>
      <c r="B427" s="62"/>
      <c r="C427" s="2"/>
      <c r="D427" s="2"/>
      <c r="E427" s="2"/>
      <c r="F427" s="2"/>
      <c r="G427" s="2"/>
      <c r="H427" s="60"/>
      <c r="I427" s="60"/>
      <c r="J427" s="2"/>
      <c r="K427" s="2"/>
      <c r="L427" s="2"/>
      <c r="M427" s="2"/>
      <c r="N427" s="2"/>
      <c r="O427" s="2"/>
      <c r="Q427" s="2"/>
      <c r="R427" s="62"/>
    </row>
    <row r="428">
      <c r="A428" s="2"/>
      <c r="B428" s="62"/>
      <c r="C428" s="2"/>
      <c r="D428" s="2"/>
      <c r="E428" s="2"/>
      <c r="F428" s="2"/>
      <c r="G428" s="2"/>
      <c r="H428" s="60"/>
      <c r="I428" s="60"/>
      <c r="J428" s="2"/>
      <c r="K428" s="2"/>
      <c r="L428" s="2"/>
      <c r="M428" s="2"/>
      <c r="N428" s="2"/>
      <c r="O428" s="2"/>
      <c r="Q428" s="2"/>
      <c r="R428" s="62"/>
    </row>
    <row r="429">
      <c r="A429" s="2"/>
      <c r="B429" s="62"/>
      <c r="C429" s="2"/>
      <c r="D429" s="2"/>
      <c r="E429" s="2"/>
      <c r="F429" s="2"/>
      <c r="G429" s="2"/>
      <c r="H429" s="60"/>
      <c r="I429" s="60"/>
      <c r="J429" s="2"/>
      <c r="K429" s="2"/>
      <c r="L429" s="2"/>
      <c r="M429" s="2"/>
      <c r="N429" s="2"/>
      <c r="O429" s="2"/>
      <c r="Q429" s="2"/>
      <c r="R429" s="62"/>
    </row>
    <row r="430">
      <c r="A430" s="2"/>
      <c r="B430" s="62"/>
      <c r="C430" s="2"/>
      <c r="D430" s="2"/>
      <c r="E430" s="2"/>
      <c r="F430" s="2"/>
      <c r="G430" s="2"/>
      <c r="H430" s="60"/>
      <c r="I430" s="60"/>
      <c r="J430" s="2"/>
      <c r="K430" s="2"/>
      <c r="L430" s="2"/>
      <c r="M430" s="2"/>
      <c r="N430" s="2"/>
      <c r="O430" s="2"/>
      <c r="Q430" s="2"/>
      <c r="R430" s="62"/>
    </row>
    <row r="431">
      <c r="A431" s="2"/>
      <c r="B431" s="62"/>
      <c r="C431" s="2"/>
      <c r="D431" s="2"/>
      <c r="E431" s="2"/>
      <c r="F431" s="2"/>
      <c r="G431" s="2"/>
      <c r="H431" s="60"/>
      <c r="I431" s="60"/>
      <c r="J431" s="2"/>
      <c r="K431" s="2"/>
      <c r="L431" s="2"/>
      <c r="M431" s="2"/>
      <c r="N431" s="2"/>
      <c r="O431" s="2"/>
      <c r="Q431" s="2"/>
      <c r="R431" s="62"/>
    </row>
    <row r="432">
      <c r="A432" s="2"/>
      <c r="B432" s="62"/>
      <c r="C432" s="2"/>
      <c r="D432" s="2"/>
      <c r="E432" s="2"/>
      <c r="F432" s="2"/>
      <c r="G432" s="2"/>
      <c r="H432" s="60"/>
      <c r="I432" s="60"/>
      <c r="J432" s="2"/>
      <c r="K432" s="2"/>
      <c r="L432" s="2"/>
      <c r="M432" s="2"/>
      <c r="N432" s="2"/>
      <c r="O432" s="2"/>
      <c r="Q432" s="2"/>
      <c r="R432" s="62"/>
    </row>
    <row r="433">
      <c r="A433" s="2"/>
      <c r="B433" s="62"/>
      <c r="C433" s="2"/>
      <c r="D433" s="2"/>
      <c r="E433" s="2"/>
      <c r="F433" s="2"/>
      <c r="G433" s="2"/>
      <c r="H433" s="60"/>
      <c r="I433" s="60"/>
      <c r="J433" s="2"/>
      <c r="K433" s="2"/>
      <c r="L433" s="2"/>
      <c r="M433" s="2"/>
      <c r="N433" s="2"/>
      <c r="O433" s="2"/>
      <c r="P433" s="2"/>
      <c r="Q433" s="2"/>
      <c r="R433" s="62"/>
    </row>
    <row r="434">
      <c r="A434" s="2"/>
      <c r="B434" s="62"/>
      <c r="C434" s="2"/>
      <c r="D434" s="2"/>
      <c r="E434" s="2"/>
      <c r="F434" s="2"/>
      <c r="G434" s="2"/>
      <c r="H434" s="60"/>
      <c r="I434" s="60"/>
      <c r="J434" s="2"/>
      <c r="K434" s="2"/>
      <c r="L434" s="2"/>
      <c r="M434" s="2"/>
      <c r="N434" s="2"/>
      <c r="O434" s="2"/>
      <c r="P434" s="2"/>
      <c r="Q434" s="2"/>
      <c r="R434" s="62"/>
    </row>
    <row r="435">
      <c r="A435" s="2"/>
      <c r="B435" s="62"/>
      <c r="C435" s="2"/>
      <c r="D435" s="2"/>
      <c r="E435" s="2"/>
      <c r="F435" s="2"/>
      <c r="G435" s="2"/>
      <c r="H435" s="60"/>
      <c r="I435" s="60"/>
      <c r="J435" s="2"/>
      <c r="K435" s="2"/>
      <c r="L435" s="2"/>
      <c r="M435" s="2"/>
      <c r="N435" s="2"/>
      <c r="O435" s="2"/>
      <c r="Q435" s="2"/>
      <c r="R435" s="62"/>
    </row>
    <row r="436">
      <c r="A436" s="2"/>
      <c r="B436" s="62"/>
      <c r="C436" s="2"/>
      <c r="D436" s="2"/>
      <c r="E436" s="2"/>
      <c r="F436" s="2"/>
      <c r="G436" s="2"/>
      <c r="H436" s="60"/>
      <c r="I436" s="60"/>
      <c r="J436" s="2"/>
      <c r="K436" s="2"/>
      <c r="L436" s="2"/>
      <c r="M436" s="2"/>
      <c r="N436" s="2"/>
      <c r="O436" s="2"/>
      <c r="P436" s="2"/>
      <c r="Q436" s="2"/>
      <c r="R436" s="62"/>
    </row>
    <row r="437">
      <c r="A437" s="2"/>
      <c r="B437" s="62"/>
      <c r="C437" s="2"/>
      <c r="D437" s="2"/>
      <c r="E437" s="2"/>
      <c r="F437" s="2"/>
      <c r="G437" s="2"/>
      <c r="H437" s="60"/>
      <c r="I437" s="60"/>
      <c r="J437" s="2"/>
      <c r="K437" s="2"/>
      <c r="L437" s="2"/>
      <c r="M437" s="2"/>
      <c r="N437" s="2"/>
      <c r="O437" s="2"/>
      <c r="Q437" s="2"/>
      <c r="R437" s="62"/>
    </row>
    <row r="438">
      <c r="A438" s="2"/>
      <c r="B438" s="62"/>
      <c r="C438" s="2"/>
      <c r="D438" s="2"/>
      <c r="E438" s="2"/>
      <c r="F438" s="2"/>
      <c r="G438" s="2"/>
      <c r="H438" s="60"/>
      <c r="I438" s="60"/>
      <c r="J438" s="2"/>
      <c r="K438" s="2"/>
      <c r="L438" s="2"/>
      <c r="M438" s="2"/>
      <c r="N438" s="2"/>
      <c r="O438" s="2"/>
      <c r="P438" s="2"/>
      <c r="Q438" s="2"/>
      <c r="R438" s="62"/>
    </row>
    <row r="439">
      <c r="A439" s="2"/>
      <c r="B439" s="62"/>
      <c r="C439" s="2"/>
      <c r="D439" s="2"/>
      <c r="E439" s="2"/>
      <c r="F439" s="2"/>
      <c r="G439" s="2"/>
      <c r="H439" s="60"/>
      <c r="I439" s="60"/>
      <c r="J439" s="2"/>
      <c r="K439" s="2"/>
      <c r="L439" s="2"/>
      <c r="M439" s="2"/>
      <c r="N439" s="2"/>
      <c r="O439" s="2"/>
      <c r="P439" s="2"/>
      <c r="Q439" s="2"/>
      <c r="R439" s="62"/>
    </row>
    <row r="440">
      <c r="A440" s="2"/>
      <c r="B440" s="62"/>
      <c r="C440" s="2"/>
      <c r="D440" s="2"/>
      <c r="E440" s="2"/>
      <c r="F440" s="2"/>
      <c r="G440" s="2"/>
      <c r="H440" s="60"/>
      <c r="I440" s="60"/>
      <c r="J440" s="2"/>
      <c r="K440" s="2"/>
      <c r="L440" s="2"/>
      <c r="M440" s="2"/>
      <c r="N440" s="2"/>
      <c r="O440" s="2"/>
      <c r="Q440" s="2"/>
      <c r="R440" s="62"/>
    </row>
    <row r="441">
      <c r="A441" s="2"/>
      <c r="B441" s="62"/>
      <c r="C441" s="2"/>
      <c r="D441" s="2"/>
      <c r="E441" s="2"/>
      <c r="F441" s="2"/>
      <c r="G441" s="2"/>
      <c r="H441" s="60"/>
      <c r="I441" s="60"/>
      <c r="J441" s="2"/>
      <c r="K441" s="2"/>
      <c r="L441" s="2"/>
      <c r="M441" s="2"/>
      <c r="N441" s="2"/>
      <c r="O441" s="2"/>
      <c r="P441" s="2"/>
      <c r="Q441" s="2"/>
      <c r="R441" s="62"/>
    </row>
    <row r="442">
      <c r="A442" s="2"/>
      <c r="B442" s="62"/>
      <c r="C442" s="2"/>
      <c r="D442" s="2"/>
      <c r="E442" s="2"/>
      <c r="F442" s="2"/>
      <c r="G442" s="2"/>
      <c r="H442" s="60"/>
      <c r="I442" s="60"/>
      <c r="J442" s="2"/>
      <c r="K442" s="2"/>
      <c r="L442" s="2"/>
      <c r="M442" s="2"/>
      <c r="N442" s="2"/>
      <c r="O442" s="2"/>
      <c r="P442" s="2"/>
      <c r="Q442" s="2"/>
      <c r="R442" s="62"/>
    </row>
    <row r="443">
      <c r="A443" s="2"/>
      <c r="B443" s="62"/>
      <c r="C443" s="2"/>
      <c r="D443" s="2"/>
      <c r="E443" s="2"/>
      <c r="F443" s="2"/>
      <c r="G443" s="2"/>
      <c r="H443" s="60"/>
      <c r="I443" s="60"/>
      <c r="J443" s="2"/>
      <c r="K443" s="2"/>
      <c r="L443" s="2"/>
      <c r="M443" s="2"/>
      <c r="N443" s="2"/>
      <c r="O443" s="2"/>
      <c r="P443" s="2"/>
      <c r="Q443" s="2"/>
      <c r="R443" s="62"/>
    </row>
    <row r="444">
      <c r="A444" s="2"/>
      <c r="B444" s="62"/>
      <c r="C444" s="2"/>
      <c r="D444" s="2"/>
      <c r="E444" s="2"/>
      <c r="F444" s="2"/>
      <c r="G444" s="2"/>
      <c r="H444" s="60"/>
      <c r="I444" s="60"/>
      <c r="J444" s="2"/>
      <c r="K444" s="2"/>
      <c r="L444" s="2"/>
      <c r="M444" s="2"/>
      <c r="N444" s="2"/>
      <c r="O444" s="2"/>
      <c r="P444" s="2"/>
      <c r="Q444" s="2"/>
      <c r="R444" s="62"/>
    </row>
    <row r="445">
      <c r="A445" s="2"/>
      <c r="B445" s="62"/>
      <c r="C445" s="2"/>
      <c r="D445" s="2"/>
      <c r="E445" s="2"/>
      <c r="F445" s="2"/>
      <c r="G445" s="2"/>
      <c r="H445" s="60"/>
      <c r="I445" s="60"/>
      <c r="J445" s="2"/>
      <c r="K445" s="2"/>
      <c r="L445" s="2"/>
      <c r="M445" s="2"/>
      <c r="N445" s="2"/>
      <c r="O445" s="2"/>
      <c r="P445" s="2"/>
      <c r="Q445" s="2"/>
      <c r="R445" s="62"/>
    </row>
    <row r="446">
      <c r="A446" s="2"/>
      <c r="B446" s="62"/>
      <c r="C446" s="2"/>
      <c r="D446" s="2"/>
      <c r="E446" s="2"/>
      <c r="F446" s="2"/>
      <c r="G446" s="2"/>
      <c r="H446" s="60"/>
      <c r="I446" s="60"/>
      <c r="J446" s="2"/>
      <c r="K446" s="2"/>
      <c r="L446" s="2"/>
      <c r="M446" s="2"/>
      <c r="N446" s="2"/>
      <c r="O446" s="2"/>
      <c r="P446" s="2"/>
      <c r="Q446" s="2"/>
      <c r="R446" s="62"/>
    </row>
    <row r="447">
      <c r="A447" s="2"/>
      <c r="B447" s="62"/>
      <c r="C447" s="2"/>
      <c r="D447" s="2"/>
      <c r="E447" s="2"/>
      <c r="F447" s="2"/>
      <c r="G447" s="2"/>
      <c r="H447" s="60"/>
      <c r="I447" s="60"/>
      <c r="J447" s="2"/>
      <c r="K447" s="2"/>
      <c r="L447" s="2"/>
      <c r="M447" s="2"/>
      <c r="N447" s="2"/>
      <c r="O447" s="2"/>
      <c r="Q447" s="2"/>
      <c r="R447" s="62"/>
    </row>
    <row r="448">
      <c r="A448" s="2"/>
      <c r="B448" s="62"/>
      <c r="C448" s="2"/>
      <c r="D448" s="2"/>
      <c r="E448" s="2"/>
      <c r="F448" s="2"/>
      <c r="G448" s="2"/>
      <c r="H448" s="60"/>
      <c r="I448" s="60"/>
      <c r="J448" s="2"/>
      <c r="K448" s="2"/>
      <c r="L448" s="2"/>
      <c r="M448" s="2"/>
      <c r="N448" s="2"/>
      <c r="O448" s="2"/>
      <c r="Q448" s="2"/>
      <c r="R448" s="62"/>
    </row>
    <row r="449">
      <c r="A449" s="2"/>
      <c r="B449" s="62"/>
      <c r="C449" s="2"/>
      <c r="D449" s="2"/>
      <c r="E449" s="2"/>
      <c r="F449" s="2"/>
      <c r="G449" s="2"/>
      <c r="H449" s="60"/>
      <c r="I449" s="60"/>
      <c r="J449" s="2"/>
      <c r="K449" s="2"/>
      <c r="L449" s="2"/>
      <c r="M449" s="2"/>
      <c r="N449" s="2"/>
      <c r="O449" s="2"/>
      <c r="P449" s="2"/>
      <c r="Q449" s="2"/>
      <c r="R449" s="62"/>
    </row>
    <row r="450">
      <c r="A450" s="2"/>
      <c r="B450" s="62"/>
      <c r="C450" s="2"/>
      <c r="D450" s="2"/>
      <c r="E450" s="2"/>
      <c r="F450" s="2"/>
      <c r="G450" s="2"/>
      <c r="H450" s="60"/>
      <c r="I450" s="60"/>
      <c r="J450" s="2"/>
      <c r="K450" s="2"/>
      <c r="L450" s="2"/>
      <c r="M450" s="2"/>
      <c r="N450" s="2"/>
      <c r="O450" s="2"/>
      <c r="P450" s="2"/>
      <c r="Q450" s="2"/>
      <c r="R450" s="62"/>
    </row>
    <row r="451">
      <c r="A451" s="2"/>
      <c r="B451" s="62"/>
      <c r="C451" s="2"/>
      <c r="D451" s="2"/>
      <c r="E451" s="2"/>
      <c r="F451" s="2"/>
      <c r="G451" s="2"/>
      <c r="H451" s="60"/>
      <c r="I451" s="60"/>
      <c r="J451" s="2"/>
      <c r="K451" s="2"/>
      <c r="L451" s="2"/>
      <c r="M451" s="2"/>
      <c r="N451" s="2"/>
      <c r="O451" s="2"/>
      <c r="Q451" s="2"/>
      <c r="R451" s="62"/>
    </row>
    <row r="452">
      <c r="A452" s="2"/>
      <c r="B452" s="62"/>
      <c r="C452" s="2"/>
      <c r="D452" s="2"/>
      <c r="E452" s="2"/>
      <c r="F452" s="2"/>
      <c r="G452" s="2"/>
      <c r="H452" s="60"/>
      <c r="I452" s="60"/>
      <c r="J452" s="2"/>
      <c r="K452" s="2"/>
      <c r="L452" s="2"/>
      <c r="M452" s="2"/>
      <c r="N452" s="2"/>
      <c r="O452" s="2"/>
      <c r="P452" s="2"/>
      <c r="Q452" s="2"/>
      <c r="R452" s="62"/>
    </row>
    <row r="453">
      <c r="A453" s="2"/>
      <c r="B453" s="62"/>
      <c r="C453" s="2"/>
      <c r="D453" s="2"/>
      <c r="E453" s="2"/>
      <c r="F453" s="2"/>
      <c r="G453" s="2"/>
      <c r="H453" s="60"/>
      <c r="I453" s="60"/>
      <c r="J453" s="2"/>
      <c r="K453" s="2"/>
      <c r="L453" s="2"/>
      <c r="M453" s="2"/>
      <c r="N453" s="2"/>
      <c r="O453" s="2"/>
      <c r="Q453" s="2"/>
      <c r="R453" s="62"/>
    </row>
    <row r="454">
      <c r="A454" s="2"/>
      <c r="B454" s="62"/>
      <c r="C454" s="2"/>
      <c r="D454" s="2"/>
      <c r="E454" s="2"/>
      <c r="F454" s="2"/>
      <c r="G454" s="2"/>
      <c r="H454" s="60"/>
      <c r="I454" s="60"/>
      <c r="J454" s="2"/>
      <c r="K454" s="2"/>
      <c r="L454" s="2"/>
      <c r="M454" s="2"/>
      <c r="N454" s="2"/>
      <c r="O454" s="2"/>
      <c r="P454" s="2"/>
      <c r="Q454" s="2"/>
      <c r="R454" s="62"/>
    </row>
    <row r="455">
      <c r="A455" s="2"/>
      <c r="B455" s="62"/>
      <c r="C455" s="2"/>
      <c r="D455" s="2"/>
      <c r="E455" s="2"/>
      <c r="F455" s="2"/>
      <c r="G455" s="2"/>
      <c r="H455" s="60"/>
      <c r="I455" s="60"/>
      <c r="J455" s="2"/>
      <c r="K455" s="2"/>
      <c r="L455" s="2"/>
      <c r="M455" s="2"/>
      <c r="N455" s="2"/>
      <c r="O455" s="2"/>
      <c r="Q455" s="2"/>
      <c r="R455" s="62"/>
    </row>
    <row r="456">
      <c r="A456" s="2"/>
      <c r="B456" s="62"/>
      <c r="C456" s="2"/>
      <c r="D456" s="2"/>
      <c r="E456" s="2"/>
      <c r="F456" s="2"/>
      <c r="G456" s="2"/>
      <c r="H456" s="60"/>
      <c r="I456" s="60"/>
      <c r="J456" s="2"/>
      <c r="K456" s="2"/>
      <c r="L456" s="2"/>
      <c r="M456" s="2"/>
      <c r="N456" s="2"/>
      <c r="O456" s="2"/>
      <c r="Q456" s="2"/>
      <c r="R456" s="62"/>
    </row>
    <row r="457">
      <c r="A457" s="2"/>
      <c r="B457" s="62"/>
      <c r="C457" s="2"/>
      <c r="D457" s="2"/>
      <c r="E457" s="2"/>
      <c r="F457" s="2"/>
      <c r="G457" s="2"/>
      <c r="H457" s="60"/>
      <c r="I457" s="60"/>
      <c r="J457" s="2"/>
      <c r="K457" s="2"/>
      <c r="L457" s="2"/>
      <c r="M457" s="2"/>
      <c r="N457" s="2"/>
      <c r="O457" s="2"/>
      <c r="P457" s="2"/>
      <c r="Q457" s="2"/>
      <c r="R457" s="62"/>
    </row>
    <row r="458">
      <c r="A458" s="2"/>
      <c r="B458" s="62"/>
      <c r="C458" s="2"/>
      <c r="D458" s="2"/>
      <c r="E458" s="2"/>
      <c r="F458" s="2"/>
      <c r="G458" s="2"/>
      <c r="H458" s="60"/>
      <c r="I458" s="60"/>
      <c r="J458" s="2"/>
      <c r="K458" s="2"/>
      <c r="L458" s="2"/>
      <c r="M458" s="2"/>
      <c r="N458" s="2"/>
      <c r="O458" s="2"/>
      <c r="Q458" s="2"/>
      <c r="R458" s="62"/>
    </row>
    <row r="459">
      <c r="A459" s="2"/>
      <c r="B459" s="62"/>
      <c r="C459" s="2"/>
      <c r="D459" s="2"/>
      <c r="E459" s="2"/>
      <c r="F459" s="2"/>
      <c r="G459" s="2"/>
      <c r="H459" s="60"/>
      <c r="I459" s="60"/>
      <c r="J459" s="2"/>
      <c r="K459" s="2"/>
      <c r="L459" s="2"/>
      <c r="M459" s="2"/>
      <c r="N459" s="2"/>
      <c r="O459" s="2"/>
      <c r="P459" s="2"/>
      <c r="Q459" s="2"/>
      <c r="R459" s="62"/>
    </row>
    <row r="460">
      <c r="A460" s="2"/>
      <c r="B460" s="62"/>
      <c r="C460" s="2"/>
      <c r="D460" s="2"/>
      <c r="E460" s="2"/>
      <c r="F460" s="2"/>
      <c r="G460" s="2"/>
      <c r="H460" s="60"/>
      <c r="I460" s="60"/>
      <c r="J460" s="2"/>
      <c r="K460" s="2"/>
      <c r="L460" s="2"/>
      <c r="M460" s="2"/>
      <c r="N460" s="2"/>
      <c r="O460" s="2"/>
      <c r="Q460" s="2"/>
      <c r="R460" s="62"/>
    </row>
    <row r="461">
      <c r="A461" s="2"/>
      <c r="B461" s="62"/>
      <c r="C461" s="2"/>
      <c r="D461" s="2"/>
      <c r="E461" s="2"/>
      <c r="F461" s="2"/>
      <c r="G461" s="2"/>
      <c r="H461" s="60"/>
      <c r="I461" s="60"/>
      <c r="J461" s="2"/>
      <c r="K461" s="2"/>
      <c r="L461" s="2"/>
      <c r="M461" s="2"/>
      <c r="N461" s="2"/>
      <c r="O461" s="2"/>
      <c r="Q461" s="2"/>
      <c r="R461" s="62"/>
    </row>
    <row r="462">
      <c r="A462" s="2"/>
      <c r="B462" s="62"/>
      <c r="C462" s="2"/>
      <c r="D462" s="2"/>
      <c r="E462" s="2"/>
      <c r="F462" s="2"/>
      <c r="G462" s="2"/>
      <c r="H462" s="60"/>
      <c r="I462" s="60"/>
      <c r="J462" s="2"/>
      <c r="K462" s="2"/>
      <c r="L462" s="2"/>
      <c r="M462" s="2"/>
      <c r="N462" s="2"/>
      <c r="O462" s="2"/>
      <c r="P462" s="2"/>
      <c r="Q462" s="2"/>
      <c r="R462" s="62"/>
    </row>
    <row r="463">
      <c r="A463" s="2"/>
      <c r="B463" s="62"/>
      <c r="C463" s="2"/>
      <c r="D463" s="2"/>
      <c r="E463" s="2"/>
      <c r="F463" s="2"/>
      <c r="G463" s="2"/>
      <c r="H463" s="60"/>
      <c r="I463" s="60"/>
      <c r="J463" s="2"/>
      <c r="K463" s="2"/>
      <c r="L463" s="2"/>
      <c r="M463" s="2"/>
      <c r="N463" s="2"/>
      <c r="O463" s="2"/>
      <c r="P463" s="2"/>
      <c r="Q463" s="2"/>
      <c r="R463" s="62"/>
    </row>
    <row r="464">
      <c r="A464" s="2"/>
      <c r="B464" s="62"/>
      <c r="C464" s="2"/>
      <c r="D464" s="2"/>
      <c r="E464" s="2"/>
      <c r="F464" s="2"/>
      <c r="G464" s="2"/>
      <c r="H464" s="60"/>
      <c r="I464" s="60"/>
      <c r="J464" s="2"/>
      <c r="K464" s="2"/>
      <c r="L464" s="2"/>
      <c r="M464" s="2"/>
      <c r="N464" s="2"/>
      <c r="O464" s="2"/>
      <c r="P464" s="2"/>
      <c r="Q464" s="2"/>
      <c r="R464" s="62"/>
    </row>
    <row r="465">
      <c r="A465" s="2"/>
      <c r="B465" s="62"/>
      <c r="C465" s="2"/>
      <c r="D465" s="2"/>
      <c r="E465" s="2"/>
      <c r="F465" s="2"/>
      <c r="G465" s="2"/>
      <c r="H465" s="60"/>
      <c r="I465" s="60"/>
      <c r="J465" s="2"/>
      <c r="K465" s="2"/>
      <c r="L465" s="2"/>
      <c r="M465" s="2"/>
      <c r="N465" s="2"/>
      <c r="O465" s="2"/>
      <c r="P465" s="2"/>
      <c r="Q465" s="2"/>
      <c r="R465" s="62"/>
    </row>
    <row r="466">
      <c r="A466" s="2"/>
      <c r="B466" s="62"/>
      <c r="C466" s="2"/>
      <c r="D466" s="2"/>
      <c r="E466" s="2"/>
      <c r="F466" s="2"/>
      <c r="G466" s="2"/>
      <c r="H466" s="60"/>
      <c r="I466" s="60"/>
      <c r="J466" s="2"/>
      <c r="K466" s="2"/>
      <c r="L466" s="2"/>
      <c r="M466" s="2"/>
      <c r="N466" s="2"/>
      <c r="O466" s="2"/>
      <c r="P466" s="2"/>
      <c r="Q466" s="2"/>
      <c r="R466" s="62"/>
    </row>
    <row r="467">
      <c r="A467" s="2"/>
      <c r="B467" s="62"/>
      <c r="C467" s="2"/>
      <c r="D467" s="2"/>
      <c r="E467" s="2"/>
      <c r="F467" s="2"/>
      <c r="G467" s="2"/>
      <c r="H467" s="60"/>
      <c r="I467" s="60"/>
      <c r="J467" s="2"/>
      <c r="K467" s="2"/>
      <c r="L467" s="2"/>
      <c r="M467" s="2"/>
      <c r="N467" s="2"/>
      <c r="O467" s="2"/>
      <c r="P467" s="2"/>
      <c r="Q467" s="2"/>
      <c r="R467" s="62"/>
    </row>
    <row r="468">
      <c r="A468" s="2"/>
      <c r="B468" s="62"/>
      <c r="C468" s="2"/>
      <c r="D468" s="2"/>
      <c r="E468" s="2"/>
      <c r="F468" s="2"/>
      <c r="G468" s="2"/>
      <c r="H468" s="60"/>
      <c r="I468" s="60"/>
      <c r="J468" s="2"/>
      <c r="K468" s="2"/>
      <c r="L468" s="2"/>
      <c r="M468" s="2"/>
      <c r="N468" s="2"/>
      <c r="O468" s="2"/>
      <c r="P468" s="2"/>
      <c r="Q468" s="2"/>
      <c r="R468" s="62"/>
    </row>
    <row r="469">
      <c r="A469" s="2"/>
      <c r="B469" s="62"/>
      <c r="C469" s="2"/>
      <c r="D469" s="2"/>
      <c r="E469" s="2"/>
      <c r="F469" s="2"/>
      <c r="G469" s="2"/>
      <c r="H469" s="60"/>
      <c r="I469" s="60"/>
      <c r="J469" s="2"/>
      <c r="K469" s="2"/>
      <c r="L469" s="2"/>
      <c r="M469" s="2"/>
      <c r="N469" s="2"/>
      <c r="O469" s="2"/>
      <c r="P469" s="2"/>
      <c r="Q469" s="2"/>
      <c r="R469" s="62"/>
    </row>
    <row r="470">
      <c r="A470" s="2"/>
      <c r="B470" s="62"/>
      <c r="C470" s="2"/>
      <c r="D470" s="2"/>
      <c r="E470" s="2"/>
      <c r="F470" s="2"/>
      <c r="G470" s="2"/>
      <c r="H470" s="60"/>
      <c r="I470" s="60"/>
      <c r="J470" s="2"/>
      <c r="K470" s="2"/>
      <c r="L470" s="2"/>
      <c r="M470" s="2"/>
      <c r="N470" s="2"/>
      <c r="O470" s="2"/>
      <c r="P470" s="2"/>
      <c r="Q470" s="2"/>
      <c r="R470" s="62"/>
    </row>
    <row r="471">
      <c r="A471" s="2"/>
      <c r="B471" s="62"/>
      <c r="C471" s="2"/>
      <c r="D471" s="2"/>
      <c r="E471" s="2"/>
      <c r="F471" s="2"/>
      <c r="G471" s="2"/>
      <c r="H471" s="60"/>
      <c r="I471" s="60"/>
      <c r="J471" s="2"/>
      <c r="K471" s="2"/>
      <c r="L471" s="2"/>
      <c r="M471" s="2"/>
      <c r="N471" s="2"/>
      <c r="O471" s="2"/>
      <c r="P471" s="2"/>
      <c r="Q471" s="2"/>
      <c r="R471" s="62"/>
    </row>
    <row r="472">
      <c r="A472" s="2"/>
      <c r="B472" s="62"/>
      <c r="C472" s="2"/>
      <c r="D472" s="2"/>
      <c r="E472" s="2"/>
      <c r="F472" s="2"/>
      <c r="G472" s="2"/>
      <c r="H472" s="60"/>
      <c r="I472" s="60"/>
      <c r="J472" s="2"/>
      <c r="K472" s="2"/>
      <c r="L472" s="2"/>
      <c r="M472" s="2"/>
      <c r="N472" s="2"/>
      <c r="O472" s="2"/>
      <c r="Q472" s="2"/>
      <c r="R472" s="62"/>
    </row>
    <row r="473">
      <c r="A473" s="2"/>
      <c r="B473" s="62"/>
      <c r="C473" s="2"/>
      <c r="D473" s="2"/>
      <c r="E473" s="2"/>
      <c r="F473" s="2"/>
      <c r="G473" s="2"/>
      <c r="H473" s="60"/>
      <c r="I473" s="60"/>
      <c r="J473" s="2"/>
      <c r="K473" s="2"/>
      <c r="L473" s="2"/>
      <c r="M473" s="2"/>
      <c r="N473" s="2"/>
      <c r="O473" s="2"/>
      <c r="P473" s="2"/>
      <c r="Q473" s="2"/>
      <c r="R473" s="62"/>
    </row>
    <row r="474">
      <c r="A474" s="2"/>
      <c r="B474" s="62"/>
      <c r="C474" s="2"/>
      <c r="D474" s="2"/>
      <c r="E474" s="2"/>
      <c r="F474" s="2"/>
      <c r="G474" s="2"/>
      <c r="H474" s="60"/>
      <c r="I474" s="60"/>
      <c r="J474" s="2"/>
      <c r="K474" s="2"/>
      <c r="L474" s="2"/>
      <c r="M474" s="2"/>
      <c r="N474" s="2"/>
      <c r="O474" s="2"/>
      <c r="Q474" s="2"/>
      <c r="R474" s="62"/>
    </row>
    <row r="475">
      <c r="A475" s="2"/>
      <c r="B475" s="62"/>
      <c r="C475" s="2"/>
      <c r="D475" s="2"/>
      <c r="E475" s="2"/>
      <c r="F475" s="2"/>
      <c r="G475" s="2"/>
      <c r="H475" s="60"/>
      <c r="I475" s="60"/>
      <c r="J475" s="2"/>
      <c r="K475" s="2"/>
      <c r="L475" s="2"/>
      <c r="M475" s="2"/>
      <c r="N475" s="2"/>
      <c r="O475" s="2"/>
      <c r="Q475" s="2"/>
      <c r="R475" s="62"/>
    </row>
    <row r="476">
      <c r="A476" s="2"/>
      <c r="B476" s="62"/>
      <c r="C476" s="2"/>
      <c r="D476" s="2"/>
      <c r="E476" s="2"/>
      <c r="F476" s="2"/>
      <c r="G476" s="2"/>
      <c r="H476" s="60"/>
      <c r="I476" s="60"/>
      <c r="J476" s="2"/>
      <c r="K476" s="2"/>
      <c r="L476" s="2"/>
      <c r="M476" s="2"/>
      <c r="N476" s="2"/>
      <c r="O476" s="2"/>
      <c r="Q476" s="2"/>
      <c r="R476" s="62"/>
    </row>
    <row r="477">
      <c r="A477" s="2"/>
      <c r="B477" s="62"/>
      <c r="C477" s="2"/>
      <c r="D477" s="2"/>
      <c r="E477" s="2"/>
      <c r="F477" s="2"/>
      <c r="G477" s="2"/>
      <c r="H477" s="60"/>
      <c r="I477" s="60"/>
      <c r="J477" s="2"/>
      <c r="K477" s="2"/>
      <c r="L477" s="2"/>
      <c r="M477" s="2"/>
      <c r="N477" s="2"/>
      <c r="O477" s="2"/>
      <c r="P477" s="2"/>
      <c r="Q477" s="2"/>
      <c r="R477" s="62"/>
    </row>
    <row r="478">
      <c r="A478" s="2"/>
      <c r="B478" s="62"/>
      <c r="C478" s="2"/>
      <c r="D478" s="2"/>
      <c r="E478" s="2"/>
      <c r="F478" s="2"/>
      <c r="G478" s="2"/>
      <c r="H478" s="60"/>
      <c r="I478" s="60"/>
      <c r="J478" s="2"/>
      <c r="K478" s="2"/>
      <c r="L478" s="2"/>
      <c r="M478" s="2"/>
      <c r="N478" s="2"/>
      <c r="O478" s="2"/>
      <c r="P478" s="2"/>
      <c r="Q478" s="2"/>
      <c r="R478" s="62"/>
    </row>
    <row r="479">
      <c r="A479" s="2"/>
      <c r="B479" s="62"/>
      <c r="C479" s="2"/>
      <c r="D479" s="2"/>
      <c r="E479" s="2"/>
      <c r="F479" s="2"/>
      <c r="G479" s="2"/>
      <c r="H479" s="60"/>
      <c r="I479" s="60"/>
      <c r="J479" s="2"/>
      <c r="K479" s="2"/>
      <c r="L479" s="2"/>
      <c r="M479" s="2"/>
      <c r="N479" s="2"/>
      <c r="O479" s="2"/>
      <c r="Q479" s="2"/>
      <c r="R479" s="62"/>
    </row>
    <row r="480">
      <c r="A480" s="2"/>
      <c r="B480" s="62"/>
      <c r="C480" s="2"/>
      <c r="D480" s="2"/>
      <c r="E480" s="2"/>
      <c r="F480" s="2"/>
      <c r="G480" s="2"/>
      <c r="H480" s="60"/>
      <c r="I480" s="60"/>
      <c r="J480" s="2"/>
      <c r="K480" s="2"/>
      <c r="L480" s="2"/>
      <c r="M480" s="2"/>
      <c r="N480" s="2"/>
      <c r="O480" s="2"/>
      <c r="Q480" s="2"/>
      <c r="R480" s="62"/>
    </row>
    <row r="481">
      <c r="A481" s="2"/>
      <c r="B481" s="62"/>
      <c r="C481" s="2"/>
      <c r="D481" s="2"/>
      <c r="E481" s="2"/>
      <c r="F481" s="2"/>
      <c r="G481" s="2"/>
      <c r="H481" s="60"/>
      <c r="I481" s="60"/>
      <c r="J481" s="2"/>
      <c r="K481" s="2"/>
      <c r="L481" s="2"/>
      <c r="M481" s="2"/>
      <c r="N481" s="2"/>
      <c r="O481" s="2"/>
      <c r="Q481" s="2"/>
      <c r="R481" s="62"/>
    </row>
    <row r="482">
      <c r="A482" s="2"/>
      <c r="B482" s="62"/>
      <c r="C482" s="2"/>
      <c r="D482" s="2"/>
      <c r="E482" s="2"/>
      <c r="F482" s="2"/>
      <c r="G482" s="2"/>
      <c r="H482" s="60"/>
      <c r="I482" s="60"/>
      <c r="J482" s="2"/>
      <c r="K482" s="2"/>
      <c r="L482" s="2"/>
      <c r="M482" s="2"/>
      <c r="N482" s="2"/>
      <c r="O482" s="2"/>
      <c r="Q482" s="2"/>
      <c r="R482" s="62"/>
    </row>
    <row r="483">
      <c r="A483" s="2"/>
      <c r="B483" s="62"/>
      <c r="C483" s="2"/>
      <c r="D483" s="2"/>
      <c r="E483" s="2"/>
      <c r="F483" s="2"/>
      <c r="G483" s="2"/>
      <c r="H483" s="60"/>
      <c r="I483" s="60"/>
      <c r="J483" s="2"/>
      <c r="K483" s="2"/>
      <c r="L483" s="2"/>
      <c r="M483" s="2"/>
      <c r="N483" s="2"/>
      <c r="O483" s="2"/>
      <c r="P483" s="2"/>
      <c r="Q483" s="2"/>
      <c r="R483" s="62"/>
    </row>
    <row r="484">
      <c r="A484" s="2"/>
      <c r="B484" s="62"/>
      <c r="C484" s="2"/>
      <c r="D484" s="2"/>
      <c r="E484" s="2"/>
      <c r="F484" s="2"/>
      <c r="G484" s="2"/>
      <c r="H484" s="60"/>
      <c r="I484" s="60"/>
      <c r="J484" s="2"/>
      <c r="K484" s="2"/>
      <c r="L484" s="2"/>
      <c r="M484" s="2"/>
      <c r="N484" s="2"/>
      <c r="O484" s="2"/>
      <c r="P484" s="2"/>
      <c r="Q484" s="2"/>
      <c r="R484" s="62"/>
    </row>
    <row r="485">
      <c r="A485" s="2"/>
      <c r="B485" s="62"/>
      <c r="C485" s="2"/>
      <c r="D485" s="2"/>
      <c r="E485" s="2"/>
      <c r="F485" s="2"/>
      <c r="G485" s="2"/>
      <c r="H485" s="60"/>
      <c r="I485" s="60"/>
      <c r="J485" s="2"/>
      <c r="K485" s="2"/>
      <c r="L485" s="2"/>
      <c r="M485" s="2"/>
      <c r="N485" s="2"/>
      <c r="O485" s="2"/>
      <c r="Q485" s="2"/>
      <c r="R485" s="62"/>
    </row>
    <row r="486">
      <c r="A486" s="2"/>
      <c r="B486" s="62"/>
      <c r="C486" s="2"/>
      <c r="D486" s="2"/>
      <c r="E486" s="2"/>
      <c r="F486" s="2"/>
      <c r="G486" s="2"/>
      <c r="H486" s="60"/>
      <c r="I486" s="60"/>
      <c r="J486" s="2"/>
      <c r="K486" s="2"/>
      <c r="L486" s="2"/>
      <c r="M486" s="2"/>
      <c r="N486" s="2"/>
      <c r="O486" s="2"/>
      <c r="Q486" s="2"/>
      <c r="R486" s="62"/>
    </row>
    <row r="487">
      <c r="A487" s="2"/>
      <c r="B487" s="62"/>
      <c r="C487" s="2"/>
      <c r="D487" s="2"/>
      <c r="E487" s="2"/>
      <c r="F487" s="2"/>
      <c r="G487" s="2"/>
      <c r="H487" s="60"/>
      <c r="I487" s="60"/>
      <c r="J487" s="2"/>
      <c r="K487" s="2"/>
      <c r="L487" s="2"/>
      <c r="M487" s="2"/>
      <c r="N487" s="2"/>
      <c r="O487" s="2"/>
      <c r="P487" s="2"/>
      <c r="Q487" s="2"/>
      <c r="R487" s="62"/>
    </row>
    <row r="488">
      <c r="A488" s="2"/>
      <c r="B488" s="62"/>
      <c r="C488" s="2"/>
      <c r="D488" s="2"/>
      <c r="E488" s="2"/>
      <c r="F488" s="2"/>
      <c r="G488" s="2"/>
      <c r="H488" s="60"/>
      <c r="I488" s="60"/>
      <c r="J488" s="2"/>
      <c r="K488" s="2"/>
      <c r="L488" s="2"/>
      <c r="M488" s="2"/>
      <c r="N488" s="2"/>
      <c r="O488" s="2"/>
      <c r="P488" s="2"/>
      <c r="Q488" s="2"/>
      <c r="R488" s="62"/>
    </row>
    <row r="489">
      <c r="A489" s="2"/>
      <c r="B489" s="62"/>
      <c r="C489" s="2"/>
      <c r="D489" s="2"/>
      <c r="E489" s="2"/>
      <c r="F489" s="2"/>
      <c r="G489" s="2"/>
      <c r="H489" s="60"/>
      <c r="I489" s="60"/>
      <c r="J489" s="2"/>
      <c r="K489" s="2"/>
      <c r="L489" s="2"/>
      <c r="M489" s="2"/>
      <c r="N489" s="2"/>
      <c r="O489" s="2"/>
      <c r="P489" s="2"/>
      <c r="Q489" s="2"/>
      <c r="R489" s="62"/>
    </row>
    <row r="490">
      <c r="A490" s="2"/>
      <c r="B490" s="62"/>
      <c r="C490" s="2"/>
      <c r="D490" s="2"/>
      <c r="E490" s="2"/>
      <c r="F490" s="2"/>
      <c r="G490" s="2"/>
      <c r="H490" s="60"/>
      <c r="I490" s="60"/>
      <c r="J490" s="2"/>
      <c r="K490" s="2"/>
      <c r="L490" s="2"/>
      <c r="M490" s="2"/>
      <c r="N490" s="2"/>
      <c r="O490" s="2"/>
      <c r="Q490" s="2"/>
      <c r="R490" s="62"/>
    </row>
    <row r="491">
      <c r="A491" s="2"/>
      <c r="B491" s="62"/>
      <c r="C491" s="2"/>
      <c r="D491" s="2"/>
      <c r="E491" s="2"/>
      <c r="F491" s="2"/>
      <c r="G491" s="2"/>
      <c r="H491" s="60"/>
      <c r="I491" s="60"/>
      <c r="J491" s="2"/>
      <c r="K491" s="2"/>
      <c r="L491" s="2"/>
      <c r="M491" s="2"/>
      <c r="N491" s="2"/>
      <c r="O491" s="2"/>
      <c r="P491" s="2"/>
      <c r="Q491" s="2"/>
      <c r="R491" s="62"/>
    </row>
    <row r="492">
      <c r="A492" s="2"/>
      <c r="B492" s="62"/>
      <c r="C492" s="2"/>
      <c r="D492" s="2"/>
      <c r="E492" s="2"/>
      <c r="F492" s="2"/>
      <c r="G492" s="2"/>
      <c r="H492" s="60"/>
      <c r="I492" s="60"/>
      <c r="J492" s="2"/>
      <c r="K492" s="2"/>
      <c r="L492" s="2"/>
      <c r="M492" s="2"/>
      <c r="N492" s="2"/>
      <c r="O492" s="2"/>
      <c r="Q492" s="2"/>
      <c r="R492" s="62"/>
    </row>
    <row r="493">
      <c r="A493" s="2"/>
      <c r="B493" s="62"/>
      <c r="C493" s="2"/>
      <c r="D493" s="2"/>
      <c r="E493" s="2"/>
      <c r="F493" s="2"/>
      <c r="G493" s="2"/>
      <c r="H493" s="60"/>
      <c r="I493" s="60"/>
      <c r="J493" s="2"/>
      <c r="K493" s="2"/>
      <c r="L493" s="2"/>
      <c r="M493" s="2"/>
      <c r="N493" s="2"/>
      <c r="O493" s="2"/>
      <c r="Q493" s="2"/>
      <c r="R493" s="62"/>
    </row>
    <row r="494">
      <c r="A494" s="2"/>
      <c r="B494" s="62"/>
      <c r="C494" s="2"/>
      <c r="D494" s="2"/>
      <c r="E494" s="2"/>
      <c r="F494" s="2"/>
      <c r="G494" s="2"/>
      <c r="H494" s="60"/>
      <c r="I494" s="60"/>
      <c r="J494" s="2"/>
      <c r="K494" s="2"/>
      <c r="L494" s="2"/>
      <c r="M494" s="2"/>
      <c r="N494" s="2"/>
      <c r="O494" s="2"/>
      <c r="Q494" s="2"/>
      <c r="R494" s="62"/>
    </row>
    <row r="495">
      <c r="A495" s="2"/>
      <c r="B495" s="62"/>
      <c r="C495" s="2"/>
      <c r="D495" s="2"/>
      <c r="E495" s="2"/>
      <c r="F495" s="2"/>
      <c r="G495" s="2"/>
      <c r="H495" s="60"/>
      <c r="I495" s="60"/>
      <c r="J495" s="2"/>
      <c r="K495" s="2"/>
      <c r="L495" s="2"/>
      <c r="M495" s="2"/>
      <c r="N495" s="2"/>
      <c r="O495" s="2"/>
      <c r="Q495" s="2"/>
      <c r="R495" s="62"/>
    </row>
    <row r="496">
      <c r="A496" s="2"/>
      <c r="B496" s="62"/>
      <c r="C496" s="2"/>
      <c r="D496" s="2"/>
      <c r="E496" s="2"/>
      <c r="F496" s="2"/>
      <c r="G496" s="2"/>
      <c r="H496" s="60"/>
      <c r="I496" s="60"/>
      <c r="J496" s="2"/>
      <c r="K496" s="2"/>
      <c r="L496" s="2"/>
      <c r="M496" s="2"/>
      <c r="N496" s="2"/>
      <c r="O496" s="2"/>
      <c r="P496" s="2"/>
      <c r="Q496" s="2"/>
      <c r="R496" s="62"/>
    </row>
    <row r="497">
      <c r="A497" s="2"/>
      <c r="B497" s="62"/>
      <c r="C497" s="2"/>
      <c r="D497" s="2"/>
      <c r="E497" s="2"/>
      <c r="F497" s="2"/>
      <c r="G497" s="2"/>
      <c r="H497" s="60"/>
      <c r="I497" s="60"/>
      <c r="J497" s="2"/>
      <c r="K497" s="2"/>
      <c r="L497" s="2"/>
      <c r="M497" s="2"/>
      <c r="N497" s="2"/>
      <c r="O497" s="2"/>
      <c r="Q497" s="2"/>
      <c r="R497" s="62"/>
    </row>
    <row r="498">
      <c r="A498" s="2"/>
      <c r="B498" s="62"/>
      <c r="C498" s="2"/>
      <c r="D498" s="2"/>
      <c r="E498" s="2"/>
      <c r="F498" s="2"/>
      <c r="G498" s="2"/>
      <c r="H498" s="60"/>
      <c r="I498" s="60"/>
      <c r="J498" s="2"/>
      <c r="K498" s="2"/>
      <c r="L498" s="2"/>
      <c r="M498" s="2"/>
      <c r="N498" s="2"/>
      <c r="O498" s="2"/>
      <c r="Q498" s="2"/>
      <c r="R498" s="62"/>
    </row>
    <row r="499">
      <c r="A499" s="2"/>
      <c r="B499" s="62"/>
      <c r="C499" s="2"/>
      <c r="D499" s="2"/>
      <c r="E499" s="2"/>
      <c r="F499" s="2"/>
      <c r="G499" s="2"/>
      <c r="H499" s="60"/>
      <c r="I499" s="60"/>
      <c r="J499" s="2"/>
      <c r="K499" s="2"/>
      <c r="L499" s="2"/>
      <c r="M499" s="2"/>
      <c r="N499" s="2"/>
      <c r="O499" s="2"/>
      <c r="Q499" s="2"/>
      <c r="R499" s="62"/>
    </row>
    <row r="500">
      <c r="A500" s="2"/>
      <c r="B500" s="62"/>
      <c r="C500" s="2"/>
      <c r="D500" s="2"/>
      <c r="E500" s="2"/>
      <c r="F500" s="2"/>
      <c r="G500" s="2"/>
      <c r="H500" s="60"/>
      <c r="I500" s="60"/>
      <c r="J500" s="2"/>
      <c r="K500" s="2"/>
      <c r="L500" s="2"/>
      <c r="M500" s="2"/>
      <c r="N500" s="2"/>
      <c r="O500" s="2"/>
      <c r="Q500" s="2"/>
      <c r="R500" s="62"/>
    </row>
    <row r="501">
      <c r="A501" s="2"/>
      <c r="B501" s="62"/>
      <c r="C501" s="2"/>
      <c r="D501" s="2"/>
      <c r="E501" s="2"/>
      <c r="F501" s="2"/>
      <c r="G501" s="2"/>
      <c r="H501" s="60"/>
      <c r="I501" s="60"/>
      <c r="J501" s="2"/>
      <c r="K501" s="2"/>
      <c r="L501" s="2"/>
      <c r="M501" s="2"/>
      <c r="N501" s="2"/>
      <c r="O501" s="2"/>
      <c r="P501" s="2"/>
      <c r="Q501" s="2"/>
      <c r="R501" s="62"/>
    </row>
    <row r="502">
      <c r="A502" s="2"/>
      <c r="B502" s="62"/>
      <c r="C502" s="2"/>
      <c r="D502" s="2"/>
      <c r="E502" s="2"/>
      <c r="F502" s="2"/>
      <c r="G502" s="2"/>
      <c r="H502" s="60"/>
      <c r="I502" s="60"/>
      <c r="J502" s="2"/>
      <c r="K502" s="2"/>
      <c r="L502" s="2"/>
      <c r="M502" s="2"/>
      <c r="N502" s="2"/>
      <c r="O502" s="2"/>
      <c r="Q502" s="2"/>
      <c r="R502" s="62"/>
    </row>
    <row r="503">
      <c r="A503" s="2"/>
      <c r="B503" s="62"/>
      <c r="C503" s="2"/>
      <c r="D503" s="2"/>
      <c r="E503" s="2"/>
      <c r="F503" s="2"/>
      <c r="G503" s="2"/>
      <c r="H503" s="60"/>
      <c r="I503" s="60"/>
      <c r="J503" s="2"/>
      <c r="K503" s="2"/>
      <c r="L503" s="2"/>
      <c r="M503" s="2"/>
      <c r="N503" s="2"/>
      <c r="O503" s="2"/>
      <c r="P503" s="2"/>
      <c r="Q503" s="2"/>
      <c r="R503" s="62"/>
    </row>
    <row r="504">
      <c r="A504" s="2"/>
      <c r="B504" s="62"/>
      <c r="C504" s="2"/>
      <c r="D504" s="2"/>
      <c r="E504" s="2"/>
      <c r="F504" s="2"/>
      <c r="G504" s="2"/>
      <c r="H504" s="60"/>
      <c r="I504" s="60"/>
      <c r="J504" s="2"/>
      <c r="K504" s="2"/>
      <c r="L504" s="2"/>
      <c r="M504" s="2"/>
      <c r="N504" s="2"/>
      <c r="O504" s="2"/>
      <c r="P504" s="2"/>
      <c r="Q504" s="2"/>
      <c r="R504" s="62"/>
    </row>
    <row r="505">
      <c r="A505" s="2"/>
      <c r="B505" s="62"/>
      <c r="C505" s="2"/>
      <c r="D505" s="2"/>
      <c r="E505" s="2"/>
      <c r="F505" s="2"/>
      <c r="G505" s="2"/>
      <c r="H505" s="60"/>
      <c r="I505" s="60"/>
      <c r="J505" s="2"/>
      <c r="K505" s="2"/>
      <c r="L505" s="2"/>
      <c r="M505" s="2"/>
      <c r="N505" s="2"/>
      <c r="O505" s="2"/>
      <c r="P505" s="2"/>
      <c r="Q505" s="2"/>
      <c r="R505" s="62"/>
    </row>
    <row r="506">
      <c r="A506" s="2"/>
      <c r="B506" s="62"/>
      <c r="C506" s="2"/>
      <c r="D506" s="2"/>
      <c r="E506" s="2"/>
      <c r="F506" s="2"/>
      <c r="G506" s="2"/>
      <c r="H506" s="60"/>
      <c r="I506" s="60"/>
      <c r="J506" s="2"/>
      <c r="K506" s="2"/>
      <c r="L506" s="2"/>
      <c r="M506" s="2"/>
      <c r="N506" s="2"/>
      <c r="O506" s="2"/>
      <c r="Q506" s="2"/>
      <c r="R506" s="62"/>
    </row>
    <row r="507">
      <c r="A507" s="2"/>
      <c r="B507" s="62"/>
      <c r="C507" s="2"/>
      <c r="D507" s="2"/>
      <c r="E507" s="2"/>
      <c r="F507" s="2"/>
      <c r="G507" s="2"/>
      <c r="H507" s="60"/>
      <c r="I507" s="60"/>
      <c r="J507" s="2"/>
      <c r="K507" s="2"/>
      <c r="L507" s="2"/>
      <c r="M507" s="2"/>
      <c r="N507" s="2"/>
      <c r="O507" s="2"/>
      <c r="Q507" s="2"/>
      <c r="R507" s="62"/>
    </row>
    <row r="508">
      <c r="A508" s="2"/>
      <c r="B508" s="62"/>
      <c r="C508" s="2"/>
      <c r="D508" s="2"/>
      <c r="E508" s="2"/>
      <c r="F508" s="2"/>
      <c r="G508" s="2"/>
      <c r="H508" s="60"/>
      <c r="I508" s="60"/>
      <c r="J508" s="2"/>
      <c r="K508" s="2"/>
      <c r="L508" s="2"/>
      <c r="M508" s="2"/>
      <c r="N508" s="2"/>
      <c r="O508" s="2"/>
      <c r="P508" s="2"/>
      <c r="Q508" s="2"/>
      <c r="R508" s="62"/>
    </row>
    <row r="509">
      <c r="A509" s="2"/>
      <c r="B509" s="62"/>
      <c r="C509" s="2"/>
      <c r="D509" s="2"/>
      <c r="E509" s="2"/>
      <c r="F509" s="2"/>
      <c r="G509" s="2"/>
      <c r="H509" s="60"/>
      <c r="I509" s="60"/>
      <c r="J509" s="2"/>
      <c r="K509" s="2"/>
      <c r="L509" s="2"/>
      <c r="M509" s="2"/>
      <c r="N509" s="2"/>
      <c r="O509" s="2"/>
      <c r="Q509" s="2"/>
      <c r="R509" s="62"/>
    </row>
    <row r="510">
      <c r="A510" s="2"/>
      <c r="B510" s="62"/>
      <c r="C510" s="2"/>
      <c r="D510" s="2"/>
      <c r="E510" s="2"/>
      <c r="F510" s="2"/>
      <c r="G510" s="2"/>
      <c r="H510" s="60"/>
      <c r="I510" s="60"/>
      <c r="J510" s="2"/>
      <c r="K510" s="2"/>
      <c r="L510" s="2"/>
      <c r="M510" s="2"/>
      <c r="N510" s="2"/>
      <c r="O510" s="2"/>
      <c r="Q510" s="2"/>
      <c r="R510" s="62"/>
    </row>
    <row r="511">
      <c r="A511" s="2"/>
      <c r="B511" s="62"/>
      <c r="C511" s="2"/>
      <c r="D511" s="2"/>
      <c r="E511" s="2"/>
      <c r="F511" s="2"/>
      <c r="G511" s="2"/>
      <c r="H511" s="60"/>
      <c r="I511" s="60"/>
      <c r="J511" s="2"/>
      <c r="K511" s="2"/>
      <c r="L511" s="2"/>
      <c r="M511" s="2"/>
      <c r="N511" s="2"/>
      <c r="O511" s="2"/>
      <c r="Q511" s="2"/>
      <c r="R511" s="62"/>
    </row>
    <row r="512">
      <c r="A512" s="2"/>
      <c r="B512" s="62"/>
      <c r="C512" s="2"/>
      <c r="D512" s="2"/>
      <c r="E512" s="2"/>
      <c r="F512" s="2"/>
      <c r="G512" s="2"/>
      <c r="H512" s="60"/>
      <c r="I512" s="60"/>
      <c r="J512" s="2"/>
      <c r="K512" s="2"/>
      <c r="L512" s="2"/>
      <c r="M512" s="2"/>
      <c r="N512" s="2"/>
      <c r="O512" s="2"/>
      <c r="Q512" s="2"/>
      <c r="R512" s="62"/>
    </row>
    <row r="513">
      <c r="A513" s="2"/>
      <c r="B513" s="62"/>
      <c r="C513" s="2"/>
      <c r="D513" s="2"/>
      <c r="E513" s="2"/>
      <c r="F513" s="2"/>
      <c r="G513" s="2"/>
      <c r="H513" s="60"/>
      <c r="I513" s="60"/>
      <c r="J513" s="2"/>
      <c r="K513" s="2"/>
      <c r="L513" s="2"/>
      <c r="M513" s="2"/>
      <c r="N513" s="2"/>
      <c r="O513" s="2"/>
      <c r="Q513" s="2"/>
      <c r="R513" s="62"/>
    </row>
    <row r="514">
      <c r="A514" s="2"/>
      <c r="B514" s="62"/>
      <c r="C514" s="2"/>
      <c r="D514" s="2"/>
      <c r="E514" s="2"/>
      <c r="F514" s="2"/>
      <c r="G514" s="2"/>
      <c r="H514" s="60"/>
      <c r="I514" s="60"/>
      <c r="J514" s="2"/>
      <c r="K514" s="2"/>
      <c r="L514" s="2"/>
      <c r="M514" s="2"/>
      <c r="N514" s="2"/>
      <c r="O514" s="2"/>
      <c r="Q514" s="2"/>
      <c r="R514" s="62"/>
    </row>
    <row r="515">
      <c r="A515" s="2"/>
      <c r="B515" s="62"/>
      <c r="C515" s="2"/>
      <c r="D515" s="2"/>
      <c r="E515" s="2"/>
      <c r="F515" s="2"/>
      <c r="G515" s="2"/>
      <c r="H515" s="60"/>
      <c r="I515" s="60"/>
      <c r="J515" s="2"/>
      <c r="K515" s="2"/>
      <c r="L515" s="2"/>
      <c r="M515" s="2"/>
      <c r="N515" s="2"/>
      <c r="O515" s="2"/>
      <c r="Q515" s="2"/>
      <c r="R515" s="62"/>
    </row>
    <row r="516">
      <c r="A516" s="2"/>
      <c r="B516" s="62"/>
      <c r="C516" s="2"/>
      <c r="D516" s="2"/>
      <c r="E516" s="2"/>
      <c r="F516" s="2"/>
      <c r="G516" s="2"/>
      <c r="H516" s="60"/>
      <c r="I516" s="60"/>
      <c r="J516" s="2"/>
      <c r="K516" s="2"/>
      <c r="L516" s="2"/>
      <c r="M516" s="2"/>
      <c r="N516" s="2"/>
      <c r="O516" s="2"/>
      <c r="P516" s="2"/>
      <c r="Q516" s="2"/>
      <c r="R516" s="62"/>
    </row>
    <row r="517">
      <c r="A517" s="2"/>
      <c r="B517" s="62"/>
      <c r="C517" s="2"/>
      <c r="D517" s="2"/>
      <c r="E517" s="2"/>
      <c r="F517" s="2"/>
      <c r="G517" s="2"/>
      <c r="H517" s="60"/>
      <c r="I517" s="60"/>
      <c r="J517" s="2"/>
      <c r="K517" s="2"/>
      <c r="L517" s="2"/>
      <c r="M517" s="2"/>
      <c r="N517" s="2"/>
      <c r="O517" s="2"/>
      <c r="P517" s="2"/>
      <c r="Q517" s="2"/>
      <c r="R517" s="62"/>
    </row>
    <row r="518">
      <c r="A518" s="2"/>
      <c r="B518" s="62"/>
      <c r="C518" s="2"/>
      <c r="D518" s="2"/>
      <c r="E518" s="2"/>
      <c r="F518" s="2"/>
      <c r="G518" s="2"/>
      <c r="H518" s="60"/>
      <c r="I518" s="60"/>
      <c r="J518" s="2"/>
      <c r="K518" s="2"/>
      <c r="L518" s="2"/>
      <c r="M518" s="2"/>
      <c r="N518" s="2"/>
      <c r="O518" s="2"/>
      <c r="Q518" s="2"/>
      <c r="R518" s="62"/>
    </row>
    <row r="519">
      <c r="A519" s="2"/>
      <c r="B519" s="62"/>
      <c r="C519" s="2"/>
      <c r="D519" s="2"/>
      <c r="E519" s="2"/>
      <c r="F519" s="2"/>
      <c r="G519" s="2"/>
      <c r="H519" s="60"/>
      <c r="I519" s="60"/>
      <c r="J519" s="2"/>
      <c r="K519" s="2"/>
      <c r="L519" s="2"/>
      <c r="M519" s="2"/>
      <c r="N519" s="2"/>
      <c r="O519" s="2"/>
      <c r="P519" s="2"/>
      <c r="Q519" s="2"/>
      <c r="R519" s="62"/>
    </row>
    <row r="520">
      <c r="A520" s="2"/>
      <c r="B520" s="62"/>
      <c r="C520" s="2"/>
      <c r="D520" s="2"/>
      <c r="E520" s="2"/>
      <c r="F520" s="2"/>
      <c r="G520" s="2"/>
      <c r="H520" s="60"/>
      <c r="I520" s="60"/>
      <c r="J520" s="2"/>
      <c r="K520" s="2"/>
      <c r="L520" s="2"/>
      <c r="M520" s="2"/>
      <c r="N520" s="2"/>
      <c r="O520" s="2"/>
      <c r="P520" s="2"/>
      <c r="Q520" s="2"/>
      <c r="R520" s="62"/>
    </row>
    <row r="521">
      <c r="A521" s="2"/>
      <c r="B521" s="62"/>
      <c r="C521" s="2"/>
      <c r="D521" s="2"/>
      <c r="E521" s="2"/>
      <c r="F521" s="2"/>
      <c r="G521" s="2"/>
      <c r="H521" s="60"/>
      <c r="I521" s="60"/>
      <c r="J521" s="2"/>
      <c r="K521" s="2"/>
      <c r="L521" s="2"/>
      <c r="M521" s="2"/>
      <c r="N521" s="2"/>
      <c r="O521" s="2"/>
      <c r="P521" s="2"/>
      <c r="Q521" s="2"/>
      <c r="R521" s="62"/>
    </row>
    <row r="522">
      <c r="A522" s="2"/>
      <c r="B522" s="62"/>
      <c r="C522" s="2"/>
      <c r="D522" s="2"/>
      <c r="E522" s="2"/>
      <c r="F522" s="2"/>
      <c r="G522" s="2"/>
      <c r="H522" s="60"/>
      <c r="I522" s="60"/>
      <c r="J522" s="2"/>
      <c r="K522" s="2"/>
      <c r="L522" s="2"/>
      <c r="M522" s="2"/>
      <c r="N522" s="2"/>
      <c r="O522" s="2"/>
      <c r="Q522" s="2"/>
      <c r="R522" s="62"/>
    </row>
    <row r="523">
      <c r="A523" s="2"/>
      <c r="B523" s="62"/>
      <c r="C523" s="2"/>
      <c r="D523" s="2"/>
      <c r="E523" s="2"/>
      <c r="F523" s="2"/>
      <c r="G523" s="2"/>
      <c r="H523" s="60"/>
      <c r="I523" s="60"/>
      <c r="J523" s="2"/>
      <c r="K523" s="2"/>
      <c r="L523" s="2"/>
      <c r="M523" s="2"/>
      <c r="N523" s="2"/>
      <c r="O523" s="2"/>
      <c r="Q523" s="2"/>
      <c r="R523" s="62"/>
    </row>
    <row r="524">
      <c r="A524" s="2"/>
      <c r="B524" s="62"/>
      <c r="C524" s="2"/>
      <c r="D524" s="2"/>
      <c r="E524" s="2"/>
      <c r="F524" s="2"/>
      <c r="G524" s="2"/>
      <c r="H524" s="60"/>
      <c r="I524" s="60"/>
      <c r="J524" s="2"/>
      <c r="K524" s="2"/>
      <c r="L524" s="2"/>
      <c r="M524" s="2"/>
      <c r="N524" s="2"/>
      <c r="O524" s="2"/>
      <c r="P524" s="2"/>
      <c r="Q524" s="2"/>
      <c r="R524" s="62"/>
    </row>
    <row r="525">
      <c r="A525" s="2"/>
      <c r="B525" s="62"/>
      <c r="C525" s="2"/>
      <c r="D525" s="2"/>
      <c r="E525" s="2"/>
      <c r="F525" s="2"/>
      <c r="G525" s="2"/>
      <c r="H525" s="60"/>
      <c r="I525" s="60"/>
      <c r="J525" s="2"/>
      <c r="K525" s="2"/>
      <c r="L525" s="2"/>
      <c r="M525" s="2"/>
      <c r="N525" s="2"/>
      <c r="O525" s="2"/>
      <c r="P525" s="2"/>
      <c r="Q525" s="2"/>
      <c r="R525" s="62"/>
    </row>
    <row r="526">
      <c r="A526" s="2"/>
      <c r="B526" s="62"/>
      <c r="C526" s="2"/>
      <c r="D526" s="2"/>
      <c r="E526" s="2"/>
      <c r="F526" s="2"/>
      <c r="G526" s="2"/>
      <c r="H526" s="60"/>
      <c r="I526" s="60"/>
      <c r="J526" s="2"/>
      <c r="K526" s="2"/>
      <c r="L526" s="2"/>
      <c r="M526" s="2"/>
      <c r="N526" s="2"/>
      <c r="O526" s="2"/>
      <c r="P526" s="2"/>
      <c r="Q526" s="2"/>
      <c r="R526" s="62"/>
    </row>
    <row r="527">
      <c r="A527" s="2"/>
      <c r="B527" s="62"/>
      <c r="C527" s="2"/>
      <c r="D527" s="2"/>
      <c r="E527" s="2"/>
      <c r="F527" s="2"/>
      <c r="G527" s="2"/>
      <c r="H527" s="60"/>
      <c r="I527" s="60"/>
      <c r="J527" s="2"/>
      <c r="K527" s="2"/>
      <c r="L527" s="2"/>
      <c r="M527" s="2"/>
      <c r="N527" s="2"/>
      <c r="O527" s="2"/>
      <c r="P527" s="2"/>
      <c r="Q527" s="2"/>
      <c r="R527" s="62"/>
    </row>
    <row r="528">
      <c r="A528" s="2"/>
      <c r="B528" s="62"/>
      <c r="C528" s="2"/>
      <c r="D528" s="2"/>
      <c r="E528" s="2"/>
      <c r="F528" s="2"/>
      <c r="G528" s="2"/>
      <c r="H528" s="60"/>
      <c r="I528" s="60"/>
      <c r="J528" s="2"/>
      <c r="K528" s="2"/>
      <c r="L528" s="2"/>
      <c r="M528" s="2"/>
      <c r="N528" s="2"/>
      <c r="O528" s="2"/>
      <c r="Q528" s="2"/>
      <c r="R528" s="62"/>
    </row>
    <row r="529">
      <c r="A529" s="2"/>
      <c r="B529" s="62"/>
      <c r="C529" s="2"/>
      <c r="D529" s="2"/>
      <c r="E529" s="2"/>
      <c r="F529" s="2"/>
      <c r="G529" s="2"/>
      <c r="H529" s="60"/>
      <c r="I529" s="60"/>
      <c r="J529" s="2"/>
      <c r="K529" s="2"/>
      <c r="L529" s="2"/>
      <c r="M529" s="2"/>
      <c r="N529" s="2"/>
      <c r="O529" s="2"/>
      <c r="Q529" s="2"/>
      <c r="R529" s="62"/>
    </row>
    <row r="530">
      <c r="A530" s="2"/>
      <c r="B530" s="62"/>
      <c r="C530" s="2"/>
      <c r="D530" s="2"/>
      <c r="E530" s="2"/>
      <c r="F530" s="2"/>
      <c r="G530" s="2"/>
      <c r="H530" s="60"/>
      <c r="I530" s="60"/>
      <c r="J530" s="2"/>
      <c r="K530" s="2"/>
      <c r="L530" s="2"/>
      <c r="M530" s="2"/>
      <c r="N530" s="2"/>
      <c r="O530" s="2"/>
      <c r="P530" s="2"/>
      <c r="Q530" s="2"/>
      <c r="R530" s="62"/>
    </row>
    <row r="531">
      <c r="A531" s="2"/>
      <c r="B531" s="62"/>
      <c r="C531" s="2"/>
      <c r="D531" s="2"/>
      <c r="E531" s="2"/>
      <c r="F531" s="2"/>
      <c r="G531" s="2"/>
      <c r="H531" s="60"/>
      <c r="I531" s="60"/>
      <c r="J531" s="2"/>
      <c r="K531" s="2"/>
      <c r="L531" s="2"/>
      <c r="M531" s="2"/>
      <c r="N531" s="2"/>
      <c r="O531" s="2"/>
      <c r="Q531" s="2"/>
      <c r="R531" s="62"/>
    </row>
    <row r="532">
      <c r="A532" s="2"/>
      <c r="B532" s="62"/>
      <c r="C532" s="2"/>
      <c r="D532" s="2"/>
      <c r="E532" s="2"/>
      <c r="F532" s="2"/>
      <c r="G532" s="2"/>
      <c r="H532" s="60"/>
      <c r="I532" s="60"/>
      <c r="J532" s="2"/>
      <c r="K532" s="2"/>
      <c r="L532" s="2"/>
      <c r="M532" s="2"/>
      <c r="N532" s="2"/>
      <c r="O532" s="2"/>
      <c r="Q532" s="2"/>
      <c r="R532" s="62"/>
    </row>
    <row r="533">
      <c r="A533" s="2"/>
      <c r="B533" s="62"/>
      <c r="C533" s="2"/>
      <c r="D533" s="2"/>
      <c r="E533" s="2"/>
      <c r="F533" s="2"/>
      <c r="G533" s="2"/>
      <c r="H533" s="60"/>
      <c r="I533" s="60"/>
      <c r="J533" s="2"/>
      <c r="K533" s="2"/>
      <c r="L533" s="2"/>
      <c r="M533" s="2"/>
      <c r="N533" s="2"/>
      <c r="O533" s="2"/>
      <c r="P533" s="2"/>
      <c r="Q533" s="2"/>
      <c r="R533" s="62"/>
    </row>
    <row r="534">
      <c r="A534" s="2"/>
      <c r="B534" s="62"/>
      <c r="C534" s="2"/>
      <c r="D534" s="2"/>
      <c r="E534" s="2"/>
      <c r="F534" s="2"/>
      <c r="G534" s="2"/>
      <c r="H534" s="60"/>
      <c r="I534" s="60"/>
      <c r="J534" s="2"/>
      <c r="K534" s="2"/>
      <c r="L534" s="2"/>
      <c r="M534" s="2"/>
      <c r="N534" s="2"/>
      <c r="O534" s="2"/>
      <c r="Q534" s="2"/>
      <c r="R534" s="62"/>
    </row>
    <row r="535">
      <c r="A535" s="2"/>
      <c r="B535" s="62"/>
      <c r="C535" s="2"/>
      <c r="D535" s="2"/>
      <c r="E535" s="2"/>
      <c r="F535" s="2"/>
      <c r="G535" s="2"/>
      <c r="H535" s="60"/>
      <c r="I535" s="60"/>
      <c r="J535" s="2"/>
      <c r="K535" s="2"/>
      <c r="L535" s="2"/>
      <c r="M535" s="2"/>
      <c r="N535" s="2"/>
      <c r="O535" s="2"/>
      <c r="P535" s="2"/>
      <c r="Q535" s="2"/>
      <c r="R535" s="62"/>
    </row>
    <row r="536">
      <c r="A536" s="2"/>
      <c r="B536" s="62"/>
      <c r="C536" s="2"/>
      <c r="D536" s="2"/>
      <c r="E536" s="2"/>
      <c r="F536" s="2"/>
      <c r="G536" s="2"/>
      <c r="H536" s="60"/>
      <c r="I536" s="60"/>
      <c r="J536" s="2"/>
      <c r="K536" s="2"/>
      <c r="L536" s="2"/>
      <c r="M536" s="2"/>
      <c r="N536" s="2"/>
      <c r="O536" s="2"/>
      <c r="Q536" s="2"/>
      <c r="R536" s="62"/>
    </row>
    <row r="537">
      <c r="A537" s="2"/>
      <c r="B537" s="62"/>
      <c r="C537" s="2"/>
      <c r="D537" s="2"/>
      <c r="E537" s="2"/>
      <c r="F537" s="2"/>
      <c r="G537" s="2"/>
      <c r="H537" s="60"/>
      <c r="I537" s="60"/>
      <c r="J537" s="2"/>
      <c r="K537" s="2"/>
      <c r="L537" s="2"/>
      <c r="M537" s="2"/>
      <c r="N537" s="2"/>
      <c r="O537" s="2"/>
      <c r="P537" s="2"/>
      <c r="Q537" s="2"/>
      <c r="R537" s="62"/>
    </row>
    <row r="538">
      <c r="A538" s="2"/>
      <c r="B538" s="62"/>
      <c r="C538" s="2"/>
      <c r="D538" s="2"/>
      <c r="E538" s="2"/>
      <c r="F538" s="2"/>
      <c r="G538" s="2"/>
      <c r="H538" s="60"/>
      <c r="I538" s="60"/>
      <c r="J538" s="2"/>
      <c r="K538" s="2"/>
      <c r="L538" s="2"/>
      <c r="M538" s="2"/>
      <c r="N538" s="2"/>
      <c r="O538" s="2"/>
      <c r="Q538" s="2"/>
      <c r="R538" s="62"/>
    </row>
    <row r="539">
      <c r="A539" s="2"/>
      <c r="B539" s="62"/>
      <c r="C539" s="2"/>
      <c r="D539" s="2"/>
      <c r="E539" s="2"/>
      <c r="F539" s="2"/>
      <c r="G539" s="2"/>
      <c r="H539" s="60"/>
      <c r="I539" s="60"/>
      <c r="J539" s="2"/>
      <c r="K539" s="2"/>
      <c r="L539" s="2"/>
      <c r="M539" s="2"/>
      <c r="N539" s="2"/>
      <c r="O539" s="2"/>
      <c r="P539" s="2"/>
      <c r="Q539" s="2"/>
      <c r="R539" s="62"/>
    </row>
    <row r="540">
      <c r="A540" s="2"/>
      <c r="B540" s="62"/>
      <c r="C540" s="2"/>
      <c r="D540" s="2"/>
      <c r="E540" s="2"/>
      <c r="F540" s="2"/>
      <c r="G540" s="2"/>
      <c r="H540" s="60"/>
      <c r="I540" s="60"/>
      <c r="J540" s="2"/>
      <c r="K540" s="2"/>
      <c r="L540" s="2"/>
      <c r="M540" s="2"/>
      <c r="N540" s="2"/>
      <c r="O540" s="2"/>
      <c r="Q540" s="2"/>
      <c r="R540" s="62"/>
    </row>
    <row r="541">
      <c r="A541" s="2"/>
      <c r="B541" s="62"/>
      <c r="C541" s="2"/>
      <c r="D541" s="2"/>
      <c r="E541" s="2"/>
      <c r="F541" s="2"/>
      <c r="G541" s="2"/>
      <c r="H541" s="60"/>
      <c r="I541" s="60"/>
      <c r="J541" s="2"/>
      <c r="K541" s="2"/>
      <c r="L541" s="2"/>
      <c r="M541" s="2"/>
      <c r="N541" s="2"/>
      <c r="O541" s="2"/>
      <c r="P541" s="2"/>
      <c r="Q541" s="2"/>
      <c r="R541" s="62"/>
    </row>
    <row r="542">
      <c r="A542" s="2"/>
      <c r="B542" s="62"/>
      <c r="C542" s="2"/>
      <c r="D542" s="2"/>
      <c r="E542" s="2"/>
      <c r="F542" s="2"/>
      <c r="G542" s="2"/>
      <c r="H542" s="60"/>
      <c r="I542" s="60"/>
      <c r="J542" s="2"/>
      <c r="K542" s="2"/>
      <c r="L542" s="2"/>
      <c r="M542" s="2"/>
      <c r="N542" s="2"/>
      <c r="O542" s="2"/>
      <c r="Q542" s="2"/>
      <c r="R542" s="62"/>
    </row>
    <row r="543">
      <c r="A543" s="2"/>
      <c r="B543" s="62"/>
      <c r="C543" s="2"/>
      <c r="D543" s="2"/>
      <c r="E543" s="2"/>
      <c r="F543" s="2"/>
      <c r="G543" s="2"/>
      <c r="H543" s="60"/>
      <c r="I543" s="60"/>
      <c r="J543" s="2"/>
      <c r="K543" s="2"/>
      <c r="L543" s="2"/>
      <c r="M543" s="2"/>
      <c r="N543" s="2"/>
      <c r="O543" s="2"/>
      <c r="P543" s="2"/>
      <c r="Q543" s="2"/>
      <c r="R543" s="62"/>
    </row>
    <row r="544">
      <c r="A544" s="2"/>
      <c r="B544" s="62"/>
      <c r="C544" s="2"/>
      <c r="D544" s="2"/>
      <c r="E544" s="2"/>
      <c r="F544" s="2"/>
      <c r="G544" s="2"/>
      <c r="H544" s="60"/>
      <c r="I544" s="60"/>
      <c r="J544" s="2"/>
      <c r="K544" s="2"/>
      <c r="L544" s="2"/>
      <c r="M544" s="2"/>
      <c r="N544" s="2"/>
      <c r="O544" s="2"/>
      <c r="Q544" s="2"/>
      <c r="R544" s="62"/>
    </row>
    <row r="545">
      <c r="A545" s="2"/>
      <c r="B545" s="62"/>
      <c r="C545" s="2"/>
      <c r="D545" s="2"/>
      <c r="E545" s="2"/>
      <c r="F545" s="2"/>
      <c r="G545" s="2"/>
      <c r="H545" s="60"/>
      <c r="I545" s="60"/>
      <c r="J545" s="2"/>
      <c r="K545" s="2"/>
      <c r="L545" s="2"/>
      <c r="M545" s="2"/>
      <c r="N545" s="2"/>
      <c r="O545" s="2"/>
      <c r="P545" s="2"/>
      <c r="Q545" s="2"/>
      <c r="R545" s="62"/>
    </row>
    <row r="546">
      <c r="A546" s="2"/>
      <c r="B546" s="62"/>
      <c r="C546" s="2"/>
      <c r="D546" s="2"/>
      <c r="E546" s="2"/>
      <c r="F546" s="2"/>
      <c r="G546" s="2"/>
      <c r="H546" s="60"/>
      <c r="I546" s="60"/>
      <c r="J546" s="2"/>
      <c r="K546" s="2"/>
      <c r="L546" s="2"/>
      <c r="M546" s="2"/>
      <c r="N546" s="2"/>
      <c r="O546" s="2"/>
      <c r="Q546" s="2"/>
      <c r="R546" s="62"/>
    </row>
    <row r="547">
      <c r="A547" s="2"/>
      <c r="B547" s="62"/>
      <c r="C547" s="2"/>
      <c r="D547" s="2"/>
      <c r="E547" s="2"/>
      <c r="F547" s="2"/>
      <c r="G547" s="2"/>
      <c r="H547" s="60"/>
      <c r="I547" s="60"/>
      <c r="J547" s="2"/>
      <c r="K547" s="2"/>
      <c r="L547" s="2"/>
      <c r="M547" s="2"/>
      <c r="N547" s="2"/>
      <c r="O547" s="2"/>
      <c r="P547" s="2"/>
      <c r="Q547" s="2"/>
      <c r="R547" s="62"/>
    </row>
    <row r="548">
      <c r="A548" s="2"/>
      <c r="B548" s="62"/>
      <c r="C548" s="2"/>
      <c r="D548" s="2"/>
      <c r="E548" s="2"/>
      <c r="F548" s="2"/>
      <c r="G548" s="2"/>
      <c r="H548" s="60"/>
      <c r="I548" s="60"/>
      <c r="J548" s="2"/>
      <c r="K548" s="2"/>
      <c r="L548" s="2"/>
      <c r="M548" s="2"/>
      <c r="N548" s="2"/>
      <c r="O548" s="2"/>
      <c r="Q548" s="2"/>
      <c r="R548" s="62"/>
    </row>
    <row r="549">
      <c r="A549" s="2"/>
      <c r="B549" s="62"/>
      <c r="C549" s="2"/>
      <c r="D549" s="2"/>
      <c r="E549" s="2"/>
      <c r="F549" s="2"/>
      <c r="G549" s="2"/>
      <c r="H549" s="60"/>
      <c r="I549" s="60"/>
      <c r="J549" s="2"/>
      <c r="K549" s="2"/>
      <c r="L549" s="2"/>
      <c r="M549" s="2"/>
      <c r="N549" s="2"/>
      <c r="O549" s="2"/>
      <c r="Q549" s="2"/>
      <c r="R549" s="62"/>
    </row>
    <row r="550">
      <c r="A550" s="2"/>
      <c r="B550" s="62"/>
      <c r="C550" s="2"/>
      <c r="D550" s="2"/>
      <c r="E550" s="2"/>
      <c r="F550" s="2"/>
      <c r="G550" s="2"/>
      <c r="H550" s="60"/>
      <c r="I550" s="60"/>
      <c r="J550" s="2"/>
      <c r="K550" s="2"/>
      <c r="L550" s="2"/>
      <c r="M550" s="2"/>
      <c r="N550" s="2"/>
      <c r="O550" s="2"/>
      <c r="Q550" s="2"/>
      <c r="R550" s="62"/>
    </row>
    <row r="551">
      <c r="A551" s="2"/>
      <c r="B551" s="62"/>
      <c r="C551" s="2"/>
      <c r="D551" s="2"/>
      <c r="E551" s="2"/>
      <c r="F551" s="2"/>
      <c r="G551" s="2"/>
      <c r="H551" s="60"/>
      <c r="I551" s="60"/>
      <c r="J551" s="2"/>
      <c r="K551" s="2"/>
      <c r="L551" s="2"/>
      <c r="M551" s="2"/>
      <c r="N551" s="2"/>
      <c r="O551" s="2"/>
      <c r="Q551" s="2"/>
      <c r="R551" s="62"/>
    </row>
    <row r="552">
      <c r="A552" s="2"/>
      <c r="B552" s="62"/>
      <c r="C552" s="2"/>
      <c r="D552" s="2"/>
      <c r="E552" s="2"/>
      <c r="F552" s="2"/>
      <c r="G552" s="2"/>
      <c r="H552" s="60"/>
      <c r="I552" s="60"/>
      <c r="J552" s="2"/>
      <c r="K552" s="2"/>
      <c r="L552" s="2"/>
      <c r="M552" s="2"/>
      <c r="N552" s="2"/>
      <c r="O552" s="2"/>
      <c r="P552" s="2"/>
      <c r="Q552" s="2"/>
      <c r="R552" s="62"/>
    </row>
    <row r="553">
      <c r="A553" s="2"/>
      <c r="B553" s="62"/>
      <c r="C553" s="2"/>
      <c r="D553" s="2"/>
      <c r="E553" s="2"/>
      <c r="F553" s="2"/>
      <c r="G553" s="2"/>
      <c r="H553" s="60"/>
      <c r="I553" s="60"/>
      <c r="J553" s="2"/>
      <c r="K553" s="2"/>
      <c r="L553" s="2"/>
      <c r="M553" s="2"/>
      <c r="N553" s="2"/>
      <c r="O553" s="2"/>
      <c r="Q553" s="2"/>
      <c r="R553" s="62"/>
    </row>
    <row r="554">
      <c r="A554" s="2"/>
      <c r="B554" s="62"/>
      <c r="C554" s="2"/>
      <c r="D554" s="2"/>
      <c r="E554" s="2"/>
      <c r="F554" s="2"/>
      <c r="G554" s="2"/>
      <c r="H554" s="60"/>
      <c r="I554" s="60"/>
      <c r="J554" s="2"/>
      <c r="K554" s="2"/>
      <c r="L554" s="2"/>
      <c r="M554" s="2"/>
      <c r="N554" s="2"/>
      <c r="O554" s="2"/>
      <c r="P554" s="2"/>
      <c r="Q554" s="2"/>
      <c r="R554" s="62"/>
    </row>
    <row r="555">
      <c r="A555" s="2"/>
      <c r="B555" s="62"/>
      <c r="C555" s="2"/>
      <c r="D555" s="2"/>
      <c r="E555" s="2"/>
      <c r="F555" s="2"/>
      <c r="G555" s="2"/>
      <c r="H555" s="60"/>
      <c r="I555" s="60"/>
      <c r="J555" s="2"/>
      <c r="K555" s="2"/>
      <c r="L555" s="2"/>
      <c r="M555" s="2"/>
      <c r="N555" s="2"/>
      <c r="O555" s="2"/>
      <c r="P555" s="2"/>
      <c r="Q555" s="2"/>
      <c r="R555" s="62"/>
    </row>
    <row r="556">
      <c r="A556" s="2"/>
      <c r="B556" s="62"/>
      <c r="C556" s="2"/>
      <c r="D556" s="2"/>
      <c r="E556" s="2"/>
      <c r="F556" s="2"/>
      <c r="G556" s="2"/>
      <c r="H556" s="60"/>
      <c r="I556" s="60"/>
      <c r="J556" s="2"/>
      <c r="K556" s="2"/>
      <c r="L556" s="2"/>
      <c r="M556" s="2"/>
      <c r="N556" s="2"/>
      <c r="O556" s="2"/>
      <c r="P556" s="2"/>
      <c r="Q556" s="2"/>
      <c r="R556" s="62"/>
    </row>
    <row r="557">
      <c r="A557" s="2"/>
      <c r="B557" s="62"/>
      <c r="C557" s="2"/>
      <c r="D557" s="2"/>
      <c r="E557" s="2"/>
      <c r="F557" s="2"/>
      <c r="G557" s="2"/>
      <c r="H557" s="60"/>
      <c r="I557" s="60"/>
      <c r="J557" s="2"/>
      <c r="K557" s="2"/>
      <c r="L557" s="2"/>
      <c r="M557" s="2"/>
      <c r="N557" s="2"/>
      <c r="O557" s="2"/>
      <c r="Q557" s="2"/>
      <c r="R557" s="62"/>
    </row>
    <row r="558">
      <c r="A558" s="2"/>
      <c r="B558" s="62"/>
      <c r="C558" s="2"/>
      <c r="D558" s="2"/>
      <c r="E558" s="2"/>
      <c r="F558" s="2"/>
      <c r="G558" s="2"/>
      <c r="H558" s="60"/>
      <c r="I558" s="60"/>
      <c r="J558" s="2"/>
      <c r="K558" s="2"/>
      <c r="L558" s="2"/>
      <c r="M558" s="2"/>
      <c r="N558" s="2"/>
      <c r="O558" s="2"/>
      <c r="P558" s="2"/>
      <c r="Q558" s="2"/>
      <c r="R558" s="62"/>
    </row>
    <row r="559">
      <c r="A559" s="2"/>
      <c r="B559" s="62"/>
      <c r="C559" s="2"/>
      <c r="D559" s="2"/>
      <c r="E559" s="2"/>
      <c r="F559" s="2"/>
      <c r="G559" s="2"/>
      <c r="H559" s="60"/>
      <c r="I559" s="60"/>
      <c r="J559" s="2"/>
      <c r="K559" s="2"/>
      <c r="L559" s="2"/>
      <c r="M559" s="2"/>
      <c r="N559" s="2"/>
      <c r="O559" s="2"/>
      <c r="P559" s="2"/>
      <c r="Q559" s="2"/>
      <c r="R559" s="62"/>
    </row>
    <row r="560">
      <c r="A560" s="2"/>
      <c r="B560" s="62"/>
      <c r="C560" s="2"/>
      <c r="D560" s="2"/>
      <c r="E560" s="2"/>
      <c r="F560" s="2"/>
      <c r="G560" s="2"/>
      <c r="H560" s="60"/>
      <c r="I560" s="60"/>
      <c r="J560" s="2"/>
      <c r="K560" s="2"/>
      <c r="L560" s="2"/>
      <c r="M560" s="2"/>
      <c r="N560" s="2"/>
      <c r="O560" s="2"/>
      <c r="Q560" s="2"/>
      <c r="R560" s="62"/>
    </row>
    <row r="561">
      <c r="A561" s="2"/>
      <c r="B561" s="62"/>
      <c r="C561" s="2"/>
      <c r="D561" s="2"/>
      <c r="E561" s="2"/>
      <c r="F561" s="2"/>
      <c r="G561" s="2"/>
      <c r="H561" s="60"/>
      <c r="I561" s="60"/>
      <c r="J561" s="2"/>
      <c r="K561" s="2"/>
      <c r="L561" s="2"/>
      <c r="M561" s="2"/>
      <c r="N561" s="2"/>
      <c r="O561" s="2"/>
      <c r="Q561" s="2"/>
      <c r="R561" s="62"/>
    </row>
    <row r="562">
      <c r="A562" s="2"/>
      <c r="B562" s="62"/>
      <c r="C562" s="2"/>
      <c r="D562" s="2"/>
      <c r="E562" s="2"/>
      <c r="F562" s="2"/>
      <c r="G562" s="2"/>
      <c r="H562" s="60"/>
      <c r="I562" s="60"/>
      <c r="J562" s="2"/>
      <c r="K562" s="2"/>
      <c r="L562" s="2"/>
      <c r="M562" s="2"/>
      <c r="N562" s="2"/>
      <c r="O562" s="2"/>
      <c r="Q562" s="2"/>
      <c r="R562" s="62"/>
    </row>
    <row r="563">
      <c r="A563" s="2"/>
      <c r="B563" s="62"/>
      <c r="C563" s="2"/>
      <c r="D563" s="2"/>
      <c r="E563" s="2"/>
      <c r="F563" s="2"/>
      <c r="G563" s="2"/>
      <c r="H563" s="60"/>
      <c r="I563" s="60"/>
      <c r="J563" s="2"/>
      <c r="K563" s="2"/>
      <c r="L563" s="2"/>
      <c r="M563" s="2"/>
      <c r="N563" s="2"/>
      <c r="O563" s="2"/>
      <c r="Q563" s="2"/>
      <c r="R563" s="62"/>
    </row>
    <row r="564">
      <c r="A564" s="2"/>
      <c r="B564" s="62"/>
      <c r="C564" s="2"/>
      <c r="D564" s="2"/>
      <c r="E564" s="2"/>
      <c r="F564" s="2"/>
      <c r="G564" s="2"/>
      <c r="H564" s="60"/>
      <c r="I564" s="60"/>
      <c r="J564" s="2"/>
      <c r="K564" s="2"/>
      <c r="L564" s="2"/>
      <c r="M564" s="2"/>
      <c r="N564" s="2"/>
      <c r="O564" s="2"/>
      <c r="Q564" s="2"/>
      <c r="R564" s="62"/>
    </row>
    <row r="565">
      <c r="A565" s="2"/>
      <c r="B565" s="62"/>
      <c r="C565" s="2"/>
      <c r="D565" s="2"/>
      <c r="E565" s="2"/>
      <c r="F565" s="2"/>
      <c r="G565" s="2"/>
      <c r="H565" s="60"/>
      <c r="I565" s="60"/>
      <c r="J565" s="2"/>
      <c r="K565" s="2"/>
      <c r="L565" s="2"/>
      <c r="M565" s="2"/>
      <c r="N565" s="2"/>
      <c r="O565" s="2"/>
      <c r="Q565" s="2"/>
      <c r="R565" s="62"/>
    </row>
    <row r="566">
      <c r="A566" s="2"/>
      <c r="B566" s="62"/>
      <c r="C566" s="2"/>
      <c r="D566" s="2"/>
      <c r="E566" s="2"/>
      <c r="F566" s="2"/>
      <c r="G566" s="2"/>
      <c r="H566" s="60"/>
      <c r="I566" s="60"/>
      <c r="J566" s="2"/>
      <c r="K566" s="2"/>
      <c r="L566" s="2"/>
      <c r="M566" s="2"/>
      <c r="N566" s="2"/>
      <c r="O566" s="2"/>
      <c r="Q566" s="2"/>
      <c r="R566" s="62"/>
    </row>
    <row r="567">
      <c r="A567" s="2"/>
      <c r="B567" s="62"/>
      <c r="C567" s="2"/>
      <c r="D567" s="2"/>
      <c r="E567" s="2"/>
      <c r="F567" s="2"/>
      <c r="G567" s="2"/>
      <c r="H567" s="60"/>
      <c r="I567" s="60"/>
      <c r="J567" s="2"/>
      <c r="K567" s="2"/>
      <c r="L567" s="2"/>
      <c r="M567" s="2"/>
      <c r="N567" s="2"/>
      <c r="O567" s="2"/>
      <c r="P567" s="2"/>
      <c r="Q567" s="2"/>
      <c r="R567" s="62"/>
    </row>
    <row r="568">
      <c r="A568" s="2"/>
      <c r="B568" s="62"/>
      <c r="C568" s="2"/>
      <c r="D568" s="2"/>
      <c r="E568" s="2"/>
      <c r="F568" s="2"/>
      <c r="G568" s="2"/>
      <c r="H568" s="60"/>
      <c r="I568" s="60"/>
      <c r="J568" s="2"/>
      <c r="K568" s="2"/>
      <c r="L568" s="2"/>
      <c r="M568" s="2"/>
      <c r="N568" s="2"/>
      <c r="O568" s="2"/>
      <c r="Q568" s="2"/>
      <c r="R568" s="62"/>
    </row>
    <row r="569">
      <c r="A569" s="2"/>
      <c r="B569" s="62"/>
      <c r="C569" s="2"/>
      <c r="D569" s="2"/>
      <c r="E569" s="2"/>
      <c r="F569" s="2"/>
      <c r="G569" s="2"/>
      <c r="H569" s="60"/>
      <c r="I569" s="60"/>
      <c r="J569" s="2"/>
      <c r="K569" s="2"/>
      <c r="L569" s="2"/>
      <c r="M569" s="2"/>
      <c r="N569" s="2"/>
      <c r="O569" s="2"/>
      <c r="Q569" s="2"/>
      <c r="R569" s="62"/>
    </row>
    <row r="570">
      <c r="A570" s="2"/>
      <c r="B570" s="62"/>
      <c r="C570" s="2"/>
      <c r="D570" s="2"/>
      <c r="E570" s="2"/>
      <c r="F570" s="2"/>
      <c r="G570" s="2"/>
      <c r="H570" s="60"/>
      <c r="I570" s="60"/>
      <c r="J570" s="2"/>
      <c r="K570" s="2"/>
      <c r="L570" s="2"/>
      <c r="M570" s="2"/>
      <c r="N570" s="2"/>
      <c r="O570" s="2"/>
      <c r="P570" s="2"/>
      <c r="Q570" s="2"/>
      <c r="R570" s="62"/>
    </row>
    <row r="571">
      <c r="A571" s="2"/>
      <c r="B571" s="62"/>
      <c r="C571" s="2"/>
      <c r="D571" s="2"/>
      <c r="E571" s="2"/>
      <c r="F571" s="2"/>
      <c r="G571" s="2"/>
      <c r="H571" s="60"/>
      <c r="I571" s="60"/>
      <c r="J571" s="2"/>
      <c r="K571" s="2"/>
      <c r="L571" s="2"/>
      <c r="M571" s="2"/>
      <c r="N571" s="2"/>
      <c r="O571" s="2"/>
      <c r="P571" s="2"/>
      <c r="Q571" s="2"/>
      <c r="R571" s="62"/>
    </row>
    <row r="572">
      <c r="A572" s="2"/>
      <c r="B572" s="62"/>
      <c r="C572" s="2"/>
      <c r="D572" s="2"/>
      <c r="E572" s="2"/>
      <c r="F572" s="2"/>
      <c r="G572" s="2"/>
      <c r="H572" s="60"/>
      <c r="I572" s="60"/>
      <c r="J572" s="2"/>
      <c r="K572" s="2"/>
      <c r="L572" s="2"/>
      <c r="M572" s="2"/>
      <c r="N572" s="2"/>
      <c r="O572" s="2"/>
      <c r="P572" s="2"/>
      <c r="Q572" s="2"/>
      <c r="R572" s="62"/>
    </row>
    <row r="573">
      <c r="A573" s="2"/>
      <c r="B573" s="62"/>
      <c r="C573" s="2"/>
      <c r="D573" s="2"/>
      <c r="E573" s="2"/>
      <c r="F573" s="2"/>
      <c r="G573" s="2"/>
      <c r="H573" s="60"/>
      <c r="I573" s="60"/>
      <c r="J573" s="2"/>
      <c r="K573" s="2"/>
      <c r="L573" s="2"/>
      <c r="M573" s="2"/>
      <c r="N573" s="2"/>
      <c r="O573" s="2"/>
      <c r="Q573" s="2"/>
      <c r="R573" s="62"/>
    </row>
    <row r="574">
      <c r="A574" s="2"/>
      <c r="B574" s="62"/>
      <c r="C574" s="2"/>
      <c r="D574" s="2"/>
      <c r="E574" s="2"/>
      <c r="F574" s="2"/>
      <c r="G574" s="2"/>
      <c r="H574" s="60"/>
      <c r="I574" s="60"/>
      <c r="J574" s="2"/>
      <c r="K574" s="2"/>
      <c r="L574" s="2"/>
      <c r="M574" s="2"/>
      <c r="N574" s="2"/>
      <c r="O574" s="2"/>
      <c r="Q574" s="2"/>
      <c r="R574" s="62"/>
    </row>
    <row r="575">
      <c r="A575" s="2"/>
      <c r="B575" s="62"/>
      <c r="C575" s="2"/>
      <c r="D575" s="2"/>
      <c r="E575" s="2"/>
      <c r="F575" s="2"/>
      <c r="G575" s="2"/>
      <c r="H575" s="60"/>
      <c r="I575" s="60"/>
      <c r="J575" s="2"/>
      <c r="K575" s="2"/>
      <c r="L575" s="2"/>
      <c r="M575" s="2"/>
      <c r="N575" s="2"/>
      <c r="O575" s="2"/>
      <c r="Q575" s="2"/>
      <c r="R575" s="62"/>
    </row>
    <row r="576">
      <c r="A576" s="2"/>
      <c r="B576" s="62"/>
      <c r="C576" s="2"/>
      <c r="D576" s="2"/>
      <c r="E576" s="2"/>
      <c r="F576" s="2"/>
      <c r="G576" s="2"/>
      <c r="H576" s="60"/>
      <c r="I576" s="60"/>
      <c r="J576" s="2"/>
      <c r="K576" s="2"/>
      <c r="L576" s="2"/>
      <c r="M576" s="2"/>
      <c r="N576" s="2"/>
      <c r="O576" s="2"/>
      <c r="Q576" s="2"/>
      <c r="R576" s="62"/>
    </row>
    <row r="577">
      <c r="A577" s="2"/>
      <c r="B577" s="62"/>
      <c r="C577" s="2"/>
      <c r="D577" s="2"/>
      <c r="E577" s="2"/>
      <c r="F577" s="2"/>
      <c r="G577" s="2"/>
      <c r="H577" s="60"/>
      <c r="I577" s="60"/>
      <c r="J577" s="2"/>
      <c r="K577" s="2"/>
      <c r="L577" s="2"/>
      <c r="M577" s="2"/>
      <c r="N577" s="2"/>
      <c r="O577" s="2"/>
      <c r="Q577" s="2"/>
      <c r="R577" s="62"/>
    </row>
    <row r="578">
      <c r="A578" s="2"/>
      <c r="B578" s="62"/>
      <c r="C578" s="2"/>
      <c r="D578" s="2"/>
      <c r="E578" s="2"/>
      <c r="F578" s="2"/>
      <c r="G578" s="2"/>
      <c r="H578" s="60"/>
      <c r="I578" s="60"/>
      <c r="J578" s="2"/>
      <c r="K578" s="2"/>
      <c r="L578" s="2"/>
      <c r="M578" s="2"/>
      <c r="N578" s="2"/>
      <c r="O578" s="2"/>
      <c r="Q578" s="2"/>
      <c r="R578" s="62"/>
    </row>
    <row r="579">
      <c r="A579" s="2"/>
      <c r="B579" s="62"/>
      <c r="C579" s="2"/>
      <c r="D579" s="2"/>
      <c r="E579" s="2"/>
      <c r="F579" s="2"/>
      <c r="G579" s="2"/>
      <c r="H579" s="60"/>
      <c r="I579" s="60"/>
      <c r="J579" s="2"/>
      <c r="K579" s="2"/>
      <c r="L579" s="2"/>
      <c r="M579" s="2"/>
      <c r="N579" s="2"/>
      <c r="O579" s="2"/>
      <c r="P579" s="2"/>
      <c r="Q579" s="2"/>
      <c r="R579" s="62"/>
    </row>
    <row r="580">
      <c r="A580" s="2"/>
      <c r="B580" s="62"/>
      <c r="C580" s="2"/>
      <c r="D580" s="2"/>
      <c r="E580" s="2"/>
      <c r="F580" s="2"/>
      <c r="G580" s="2"/>
      <c r="H580" s="60"/>
      <c r="I580" s="60"/>
      <c r="J580" s="2"/>
      <c r="K580" s="2"/>
      <c r="L580" s="2"/>
      <c r="M580" s="2"/>
      <c r="N580" s="2"/>
      <c r="O580" s="2"/>
      <c r="Q580" s="2"/>
      <c r="R580" s="62"/>
    </row>
    <row r="581">
      <c r="A581" s="2"/>
      <c r="B581" s="62"/>
      <c r="C581" s="2"/>
      <c r="D581" s="2"/>
      <c r="E581" s="2"/>
      <c r="F581" s="2"/>
      <c r="G581" s="2"/>
      <c r="H581" s="60"/>
      <c r="I581" s="60"/>
      <c r="J581" s="2"/>
      <c r="K581" s="2"/>
      <c r="L581" s="2"/>
      <c r="M581" s="2"/>
      <c r="N581" s="2"/>
      <c r="O581" s="2"/>
      <c r="Q581" s="2"/>
      <c r="R581" s="62"/>
    </row>
    <row r="582">
      <c r="A582" s="2"/>
      <c r="B582" s="62"/>
      <c r="C582" s="2"/>
      <c r="D582" s="2"/>
      <c r="E582" s="2"/>
      <c r="F582" s="2"/>
      <c r="G582" s="2"/>
      <c r="H582" s="60"/>
      <c r="I582" s="60"/>
      <c r="J582" s="2"/>
      <c r="K582" s="2"/>
      <c r="L582" s="2"/>
      <c r="M582" s="2"/>
      <c r="N582" s="2"/>
      <c r="O582" s="2"/>
      <c r="Q582" s="2"/>
      <c r="R582" s="62"/>
    </row>
    <row r="583">
      <c r="A583" s="2"/>
      <c r="B583" s="62"/>
      <c r="C583" s="2"/>
      <c r="D583" s="2"/>
      <c r="E583" s="2"/>
      <c r="F583" s="2"/>
      <c r="G583" s="2"/>
      <c r="H583" s="60"/>
      <c r="I583" s="60"/>
      <c r="J583" s="2"/>
      <c r="K583" s="2"/>
      <c r="L583" s="2"/>
      <c r="M583" s="2"/>
      <c r="N583" s="2"/>
      <c r="O583" s="2"/>
      <c r="Q583" s="2"/>
      <c r="R583" s="62"/>
    </row>
    <row r="584">
      <c r="A584" s="2"/>
      <c r="B584" s="62"/>
      <c r="C584" s="2"/>
      <c r="D584" s="2"/>
      <c r="E584" s="2"/>
      <c r="F584" s="2"/>
      <c r="G584" s="2"/>
      <c r="H584" s="60"/>
      <c r="I584" s="60"/>
      <c r="J584" s="2"/>
      <c r="K584" s="2"/>
      <c r="L584" s="2"/>
      <c r="M584" s="2"/>
      <c r="N584" s="2"/>
      <c r="O584" s="2"/>
      <c r="Q584" s="2"/>
      <c r="R584" s="62"/>
    </row>
    <row r="585">
      <c r="A585" s="2"/>
      <c r="B585" s="62"/>
      <c r="C585" s="2"/>
      <c r="D585" s="2"/>
      <c r="E585" s="2"/>
      <c r="F585" s="2"/>
      <c r="G585" s="2"/>
      <c r="H585" s="60"/>
      <c r="I585" s="60"/>
      <c r="J585" s="2"/>
      <c r="K585" s="2"/>
      <c r="L585" s="2"/>
      <c r="M585" s="2"/>
      <c r="N585" s="2"/>
      <c r="O585" s="2"/>
      <c r="Q585" s="2"/>
      <c r="R585" s="62"/>
    </row>
    <row r="586">
      <c r="A586" s="2"/>
      <c r="B586" s="62"/>
      <c r="C586" s="2"/>
      <c r="D586" s="2"/>
      <c r="E586" s="2"/>
      <c r="F586" s="2"/>
      <c r="G586" s="2"/>
      <c r="H586" s="60"/>
      <c r="I586" s="60"/>
      <c r="J586" s="2"/>
      <c r="K586" s="2"/>
      <c r="L586" s="2"/>
      <c r="M586" s="2"/>
      <c r="N586" s="2"/>
      <c r="O586" s="2"/>
      <c r="P586" s="2"/>
      <c r="Q586" s="2"/>
      <c r="R586" s="62"/>
    </row>
    <row r="587">
      <c r="A587" s="2"/>
      <c r="B587" s="62"/>
      <c r="C587" s="2"/>
      <c r="D587" s="2"/>
      <c r="E587" s="2"/>
      <c r="F587" s="2"/>
      <c r="G587" s="2"/>
      <c r="H587" s="60"/>
      <c r="I587" s="60"/>
      <c r="J587" s="2"/>
      <c r="K587" s="2"/>
      <c r="L587" s="2"/>
      <c r="M587" s="2"/>
      <c r="N587" s="2"/>
      <c r="O587" s="2"/>
      <c r="Q587" s="2"/>
      <c r="R587" s="62"/>
    </row>
    <row r="588">
      <c r="A588" s="2"/>
      <c r="B588" s="62"/>
      <c r="C588" s="2"/>
      <c r="D588" s="2"/>
      <c r="E588" s="2"/>
      <c r="F588" s="2"/>
      <c r="G588" s="2"/>
      <c r="H588" s="60"/>
      <c r="I588" s="60"/>
      <c r="J588" s="2"/>
      <c r="K588" s="2"/>
      <c r="L588" s="2"/>
      <c r="M588" s="2"/>
      <c r="N588" s="2"/>
      <c r="O588" s="2"/>
      <c r="Q588" s="2"/>
      <c r="R588" s="62"/>
    </row>
    <row r="589">
      <c r="A589" s="2"/>
      <c r="B589" s="62"/>
      <c r="C589" s="2"/>
      <c r="D589" s="2"/>
      <c r="E589" s="2"/>
      <c r="F589" s="2"/>
      <c r="G589" s="2"/>
      <c r="H589" s="60"/>
      <c r="I589" s="60"/>
      <c r="J589" s="2"/>
      <c r="K589" s="2"/>
      <c r="L589" s="2"/>
      <c r="M589" s="2"/>
      <c r="N589" s="2"/>
      <c r="O589" s="2"/>
      <c r="Q589" s="2"/>
      <c r="R589" s="62"/>
    </row>
    <row r="590">
      <c r="A590" s="2"/>
      <c r="B590" s="62"/>
      <c r="C590" s="2"/>
      <c r="D590" s="2"/>
      <c r="E590" s="2"/>
      <c r="F590" s="2"/>
      <c r="G590" s="2"/>
      <c r="H590" s="60"/>
      <c r="I590" s="60"/>
      <c r="J590" s="2"/>
      <c r="K590" s="2"/>
      <c r="L590" s="2"/>
      <c r="M590" s="2"/>
      <c r="N590" s="2"/>
      <c r="O590" s="2"/>
      <c r="Q590" s="2"/>
      <c r="R590" s="62"/>
    </row>
    <row r="591">
      <c r="A591" s="2"/>
      <c r="B591" s="62"/>
      <c r="C591" s="2"/>
      <c r="D591" s="2"/>
      <c r="E591" s="2"/>
      <c r="F591" s="2"/>
      <c r="G591" s="2"/>
      <c r="H591" s="60"/>
      <c r="I591" s="60"/>
      <c r="J591" s="2"/>
      <c r="K591" s="2"/>
      <c r="L591" s="2"/>
      <c r="M591" s="2"/>
      <c r="N591" s="2"/>
      <c r="O591" s="2"/>
      <c r="P591" s="2"/>
      <c r="Q591" s="2"/>
      <c r="R591" s="62"/>
    </row>
    <row r="592">
      <c r="A592" s="2"/>
      <c r="B592" s="62"/>
      <c r="C592" s="2"/>
      <c r="D592" s="2"/>
      <c r="E592" s="2"/>
      <c r="F592" s="2"/>
      <c r="G592" s="2"/>
      <c r="H592" s="60"/>
      <c r="I592" s="60"/>
      <c r="J592" s="2"/>
      <c r="K592" s="2"/>
      <c r="L592" s="2"/>
      <c r="M592" s="2"/>
      <c r="N592" s="2"/>
      <c r="O592" s="2"/>
      <c r="P592" s="2"/>
      <c r="Q592" s="2"/>
      <c r="R592" s="62"/>
    </row>
    <row r="593">
      <c r="A593" s="2"/>
      <c r="B593" s="62"/>
      <c r="C593" s="2"/>
      <c r="D593" s="2"/>
      <c r="E593" s="2"/>
      <c r="F593" s="2"/>
      <c r="G593" s="2"/>
      <c r="H593" s="60"/>
      <c r="I593" s="60"/>
      <c r="J593" s="2"/>
      <c r="K593" s="2"/>
      <c r="L593" s="2"/>
      <c r="M593" s="2"/>
      <c r="N593" s="2"/>
      <c r="O593" s="2"/>
      <c r="Q593" s="2"/>
      <c r="R593" s="62"/>
    </row>
    <row r="594">
      <c r="A594" s="2"/>
      <c r="B594" s="62"/>
      <c r="C594" s="2"/>
      <c r="D594" s="2"/>
      <c r="E594" s="2"/>
      <c r="F594" s="2"/>
      <c r="G594" s="2"/>
      <c r="H594" s="60"/>
      <c r="I594" s="60"/>
      <c r="J594" s="2"/>
      <c r="K594" s="2"/>
      <c r="L594" s="2"/>
      <c r="M594" s="2"/>
      <c r="N594" s="2"/>
      <c r="O594" s="2"/>
      <c r="Q594" s="2"/>
      <c r="R594" s="62"/>
    </row>
    <row r="595">
      <c r="A595" s="2"/>
      <c r="B595" s="62"/>
      <c r="C595" s="2"/>
      <c r="D595" s="2"/>
      <c r="E595" s="2"/>
      <c r="F595" s="2"/>
      <c r="G595" s="2"/>
      <c r="H595" s="60"/>
      <c r="I595" s="60"/>
      <c r="J595" s="2"/>
      <c r="K595" s="2"/>
      <c r="L595" s="2"/>
      <c r="M595" s="2"/>
      <c r="N595" s="2"/>
      <c r="O595" s="2"/>
      <c r="Q595" s="2"/>
      <c r="R595" s="62"/>
    </row>
    <row r="596">
      <c r="A596" s="2"/>
      <c r="B596" s="62"/>
      <c r="C596" s="2"/>
      <c r="D596" s="2"/>
      <c r="E596" s="2"/>
      <c r="F596" s="2"/>
      <c r="G596" s="2"/>
      <c r="H596" s="60"/>
      <c r="I596" s="60"/>
      <c r="J596" s="2"/>
      <c r="K596" s="2"/>
      <c r="L596" s="2"/>
      <c r="M596" s="2"/>
      <c r="N596" s="2"/>
      <c r="O596" s="2"/>
      <c r="P596" s="2"/>
      <c r="Q596" s="2"/>
      <c r="R596" s="62"/>
    </row>
    <row r="597">
      <c r="A597" s="2"/>
      <c r="B597" s="62"/>
      <c r="C597" s="2"/>
      <c r="D597" s="2"/>
      <c r="E597" s="2"/>
      <c r="F597" s="2"/>
      <c r="G597" s="2"/>
      <c r="H597" s="60"/>
      <c r="I597" s="60"/>
      <c r="J597" s="2"/>
      <c r="K597" s="2"/>
      <c r="L597" s="2"/>
      <c r="M597" s="2"/>
      <c r="N597" s="2"/>
      <c r="O597" s="2"/>
      <c r="Q597" s="2"/>
      <c r="R597" s="62"/>
    </row>
    <row r="598">
      <c r="A598" s="2"/>
      <c r="B598" s="62"/>
      <c r="C598" s="2"/>
      <c r="D598" s="2"/>
      <c r="E598" s="2"/>
      <c r="F598" s="2"/>
      <c r="G598" s="2"/>
      <c r="H598" s="60"/>
      <c r="I598" s="60"/>
      <c r="J598" s="2"/>
      <c r="K598" s="2"/>
      <c r="L598" s="2"/>
      <c r="M598" s="2"/>
      <c r="N598" s="2"/>
      <c r="O598" s="2"/>
      <c r="Q598" s="2"/>
      <c r="R598" s="62"/>
    </row>
    <row r="599">
      <c r="A599" s="2"/>
      <c r="B599" s="62"/>
      <c r="C599" s="2"/>
      <c r="D599" s="2"/>
      <c r="E599" s="2"/>
      <c r="F599" s="2"/>
      <c r="G599" s="2"/>
      <c r="H599" s="60"/>
      <c r="I599" s="60"/>
      <c r="J599" s="2"/>
      <c r="K599" s="2"/>
      <c r="L599" s="2"/>
      <c r="M599" s="2"/>
      <c r="N599" s="2"/>
      <c r="O599" s="2"/>
      <c r="P599" s="2"/>
      <c r="Q599" s="2"/>
      <c r="R599" s="62"/>
    </row>
    <row r="600">
      <c r="A600" s="2"/>
      <c r="B600" s="62"/>
      <c r="C600" s="2"/>
      <c r="D600" s="2"/>
      <c r="E600" s="2"/>
      <c r="F600" s="2"/>
      <c r="G600" s="2"/>
      <c r="H600" s="60"/>
      <c r="I600" s="60"/>
      <c r="J600" s="2"/>
      <c r="K600" s="2"/>
      <c r="L600" s="2"/>
      <c r="M600" s="2"/>
      <c r="N600" s="2"/>
      <c r="O600" s="2"/>
      <c r="P600" s="2"/>
      <c r="Q600" s="2"/>
      <c r="R600" s="62"/>
    </row>
    <row r="601">
      <c r="A601" s="2"/>
      <c r="B601" s="62"/>
      <c r="C601" s="2"/>
      <c r="D601" s="2"/>
      <c r="E601" s="2"/>
      <c r="F601" s="2"/>
      <c r="G601" s="2"/>
      <c r="H601" s="60"/>
      <c r="I601" s="60"/>
      <c r="J601" s="2"/>
      <c r="K601" s="2"/>
      <c r="L601" s="2"/>
      <c r="M601" s="2"/>
      <c r="N601" s="2"/>
      <c r="O601" s="2"/>
      <c r="Q601" s="2"/>
      <c r="R601" s="62"/>
    </row>
    <row r="602">
      <c r="A602" s="2"/>
      <c r="B602" s="62"/>
      <c r="C602" s="2"/>
      <c r="D602" s="2"/>
      <c r="E602" s="2"/>
      <c r="F602" s="2"/>
      <c r="G602" s="2"/>
      <c r="H602" s="60"/>
      <c r="I602" s="60"/>
      <c r="J602" s="2"/>
      <c r="K602" s="2"/>
      <c r="L602" s="2"/>
      <c r="M602" s="2"/>
      <c r="N602" s="2"/>
      <c r="O602" s="2"/>
      <c r="P602" s="2"/>
      <c r="Q602" s="2"/>
      <c r="R602" s="62"/>
    </row>
    <row r="603">
      <c r="A603" s="2"/>
      <c r="B603" s="62"/>
      <c r="C603" s="2"/>
      <c r="D603" s="2"/>
      <c r="E603" s="2"/>
      <c r="F603" s="2"/>
      <c r="G603" s="2"/>
      <c r="H603" s="60"/>
      <c r="I603" s="60"/>
      <c r="J603" s="2"/>
      <c r="K603" s="2"/>
      <c r="L603" s="2"/>
      <c r="M603" s="2"/>
      <c r="N603" s="2"/>
      <c r="O603" s="2"/>
      <c r="P603" s="2"/>
      <c r="Q603" s="2"/>
      <c r="R603" s="62"/>
    </row>
    <row r="604">
      <c r="A604" s="2"/>
      <c r="B604" s="62"/>
      <c r="C604" s="2"/>
      <c r="D604" s="2"/>
      <c r="E604" s="2"/>
      <c r="F604" s="2"/>
      <c r="G604" s="2"/>
      <c r="H604" s="60"/>
      <c r="I604" s="60"/>
      <c r="J604" s="2"/>
      <c r="K604" s="2"/>
      <c r="L604" s="2"/>
      <c r="M604" s="2"/>
      <c r="N604" s="2"/>
      <c r="O604" s="2"/>
      <c r="Q604" s="2"/>
      <c r="R604" s="62"/>
    </row>
    <row r="605">
      <c r="A605" s="2"/>
      <c r="B605" s="62"/>
      <c r="C605" s="2"/>
      <c r="D605" s="2"/>
      <c r="E605" s="2"/>
      <c r="F605" s="2"/>
      <c r="G605" s="2"/>
      <c r="H605" s="60"/>
      <c r="I605" s="60"/>
      <c r="J605" s="2"/>
      <c r="K605" s="2"/>
      <c r="L605" s="2"/>
      <c r="M605" s="2"/>
      <c r="N605" s="2"/>
      <c r="O605" s="2"/>
      <c r="Q605" s="2"/>
      <c r="R605" s="62"/>
    </row>
    <row r="606">
      <c r="A606" s="2"/>
      <c r="B606" s="62"/>
      <c r="C606" s="2"/>
      <c r="D606" s="2"/>
      <c r="E606" s="2"/>
      <c r="F606" s="2"/>
      <c r="G606" s="2"/>
      <c r="H606" s="60"/>
      <c r="I606" s="60"/>
      <c r="J606" s="2"/>
      <c r="K606" s="2"/>
      <c r="L606" s="2"/>
      <c r="M606" s="2"/>
      <c r="N606" s="2"/>
      <c r="O606" s="2"/>
      <c r="P606" s="2"/>
      <c r="Q606" s="2"/>
      <c r="R606" s="62"/>
    </row>
    <row r="607">
      <c r="A607" s="2"/>
      <c r="B607" s="62"/>
      <c r="C607" s="2"/>
      <c r="D607" s="2"/>
      <c r="E607" s="2"/>
      <c r="F607" s="2"/>
      <c r="G607" s="2"/>
      <c r="H607" s="60"/>
      <c r="I607" s="60"/>
      <c r="J607" s="2"/>
      <c r="K607" s="2"/>
      <c r="L607" s="2"/>
      <c r="M607" s="2"/>
      <c r="N607" s="2"/>
      <c r="O607" s="2"/>
      <c r="Q607" s="2"/>
      <c r="R607" s="62"/>
    </row>
    <row r="608">
      <c r="A608" s="2"/>
      <c r="B608" s="62"/>
      <c r="C608" s="2"/>
      <c r="D608" s="2"/>
      <c r="E608" s="2"/>
      <c r="F608" s="2"/>
      <c r="G608" s="2"/>
      <c r="H608" s="60"/>
      <c r="I608" s="60"/>
      <c r="J608" s="2"/>
      <c r="K608" s="2"/>
      <c r="L608" s="2"/>
      <c r="M608" s="2"/>
      <c r="N608" s="2"/>
      <c r="O608" s="2"/>
      <c r="P608" s="2"/>
      <c r="Q608" s="2"/>
      <c r="R608" s="62"/>
    </row>
    <row r="609">
      <c r="A609" s="2"/>
      <c r="B609" s="62"/>
      <c r="C609" s="2"/>
      <c r="D609" s="2"/>
      <c r="E609" s="2"/>
      <c r="F609" s="2"/>
      <c r="G609" s="2"/>
      <c r="H609" s="60"/>
      <c r="I609" s="60"/>
      <c r="J609" s="2"/>
      <c r="K609" s="2"/>
      <c r="L609" s="2"/>
      <c r="M609" s="2"/>
      <c r="N609" s="2"/>
      <c r="O609" s="2"/>
      <c r="P609" s="2"/>
      <c r="Q609" s="2"/>
      <c r="R609" s="62"/>
    </row>
    <row r="610">
      <c r="A610" s="2"/>
      <c r="B610" s="62"/>
      <c r="C610" s="2"/>
      <c r="D610" s="2"/>
      <c r="E610" s="2"/>
      <c r="F610" s="2"/>
      <c r="G610" s="2"/>
      <c r="H610" s="60"/>
      <c r="I610" s="60"/>
      <c r="J610" s="2"/>
      <c r="K610" s="2"/>
      <c r="L610" s="2"/>
      <c r="M610" s="2"/>
      <c r="N610" s="2"/>
      <c r="O610" s="2"/>
      <c r="Q610" s="2"/>
      <c r="R610" s="62"/>
    </row>
    <row r="611">
      <c r="A611" s="2"/>
      <c r="B611" s="62"/>
      <c r="C611" s="2"/>
      <c r="D611" s="2"/>
      <c r="E611" s="2"/>
      <c r="F611" s="2"/>
      <c r="G611" s="2"/>
      <c r="H611" s="60"/>
      <c r="I611" s="60"/>
      <c r="J611" s="2"/>
      <c r="K611" s="2"/>
      <c r="L611" s="2"/>
      <c r="M611" s="2"/>
      <c r="N611" s="2"/>
      <c r="O611" s="2"/>
      <c r="Q611" s="2"/>
      <c r="R611" s="62"/>
    </row>
    <row r="612">
      <c r="A612" s="2"/>
      <c r="B612" s="62"/>
      <c r="C612" s="2"/>
      <c r="D612" s="2"/>
      <c r="E612" s="2"/>
      <c r="F612" s="2"/>
      <c r="G612" s="2"/>
      <c r="H612" s="60"/>
      <c r="I612" s="60"/>
      <c r="J612" s="2"/>
      <c r="K612" s="2"/>
      <c r="L612" s="2"/>
      <c r="M612" s="2"/>
      <c r="N612" s="2"/>
      <c r="O612" s="2"/>
      <c r="P612" s="2"/>
      <c r="Q612" s="2"/>
      <c r="R612" s="62"/>
    </row>
    <row r="613">
      <c r="A613" s="2"/>
      <c r="B613" s="62"/>
      <c r="C613" s="2"/>
      <c r="D613" s="2"/>
      <c r="E613" s="2"/>
      <c r="F613" s="2"/>
      <c r="G613" s="2"/>
      <c r="H613" s="60"/>
      <c r="I613" s="60"/>
      <c r="J613" s="2"/>
      <c r="K613" s="2"/>
      <c r="L613" s="2"/>
      <c r="M613" s="2"/>
      <c r="N613" s="2"/>
      <c r="O613" s="2"/>
      <c r="Q613" s="2"/>
      <c r="R613" s="62"/>
    </row>
    <row r="614">
      <c r="A614" s="2"/>
      <c r="B614" s="62"/>
      <c r="C614" s="2"/>
      <c r="D614" s="2"/>
      <c r="E614" s="2"/>
      <c r="F614" s="2"/>
      <c r="G614" s="2"/>
      <c r="H614" s="60"/>
      <c r="I614" s="60"/>
      <c r="J614" s="2"/>
      <c r="K614" s="2"/>
      <c r="L614" s="2"/>
      <c r="M614" s="2"/>
      <c r="N614" s="2"/>
      <c r="O614" s="2"/>
      <c r="Q614" s="2"/>
      <c r="R614" s="62"/>
    </row>
    <row r="615">
      <c r="A615" s="2"/>
      <c r="B615" s="62"/>
      <c r="C615" s="2"/>
      <c r="D615" s="2"/>
      <c r="E615" s="2"/>
      <c r="F615" s="2"/>
      <c r="G615" s="2"/>
      <c r="H615" s="60"/>
      <c r="I615" s="60"/>
      <c r="J615" s="2"/>
      <c r="K615" s="2"/>
      <c r="L615" s="2"/>
      <c r="M615" s="2"/>
      <c r="N615" s="2"/>
      <c r="O615" s="2"/>
      <c r="Q615" s="2"/>
      <c r="R615" s="62"/>
    </row>
    <row r="616">
      <c r="A616" s="2"/>
      <c r="B616" s="62"/>
      <c r="C616" s="2"/>
      <c r="D616" s="2"/>
      <c r="E616" s="2"/>
      <c r="F616" s="2"/>
      <c r="G616" s="2"/>
      <c r="H616" s="60"/>
      <c r="I616" s="60"/>
      <c r="J616" s="2"/>
      <c r="K616" s="2"/>
      <c r="L616" s="2"/>
      <c r="M616" s="2"/>
      <c r="N616" s="2"/>
      <c r="O616" s="2"/>
      <c r="P616" s="2"/>
      <c r="Q616" s="2"/>
      <c r="R616" s="62"/>
    </row>
    <row r="617">
      <c r="A617" s="2"/>
      <c r="B617" s="62"/>
      <c r="C617" s="2"/>
      <c r="D617" s="2"/>
      <c r="E617" s="2"/>
      <c r="F617" s="2"/>
      <c r="G617" s="2"/>
      <c r="H617" s="60"/>
      <c r="I617" s="60"/>
      <c r="J617" s="2"/>
      <c r="K617" s="2"/>
      <c r="L617" s="2"/>
      <c r="M617" s="2"/>
      <c r="N617" s="2"/>
      <c r="O617" s="2"/>
      <c r="P617" s="2"/>
      <c r="Q617" s="2"/>
      <c r="R617" s="62"/>
    </row>
    <row r="618">
      <c r="A618" s="2"/>
      <c r="B618" s="62"/>
      <c r="C618" s="2"/>
      <c r="D618" s="2"/>
      <c r="E618" s="2"/>
      <c r="F618" s="2"/>
      <c r="G618" s="2"/>
      <c r="H618" s="60"/>
      <c r="I618" s="60"/>
      <c r="J618" s="2"/>
      <c r="K618" s="2"/>
      <c r="L618" s="2"/>
      <c r="M618" s="2"/>
      <c r="N618" s="2"/>
      <c r="O618" s="2"/>
      <c r="Q618" s="2"/>
      <c r="R618" s="62"/>
    </row>
    <row r="619">
      <c r="A619" s="2"/>
      <c r="B619" s="62"/>
      <c r="C619" s="2"/>
      <c r="D619" s="2"/>
      <c r="E619" s="2"/>
      <c r="F619" s="2"/>
      <c r="G619" s="2"/>
      <c r="H619" s="60"/>
      <c r="I619" s="60"/>
      <c r="J619" s="2"/>
      <c r="K619" s="2"/>
      <c r="L619" s="2"/>
      <c r="M619" s="2"/>
      <c r="N619" s="2"/>
      <c r="O619" s="2"/>
      <c r="Q619" s="2"/>
      <c r="R619" s="62"/>
    </row>
    <row r="620">
      <c r="A620" s="2"/>
      <c r="B620" s="62"/>
      <c r="C620" s="2"/>
      <c r="D620" s="2"/>
      <c r="E620" s="2"/>
      <c r="F620" s="2"/>
      <c r="G620" s="2"/>
      <c r="H620" s="60"/>
      <c r="I620" s="60"/>
      <c r="J620" s="2"/>
      <c r="K620" s="2"/>
      <c r="L620" s="2"/>
      <c r="M620" s="2"/>
      <c r="N620" s="2"/>
      <c r="O620" s="2"/>
      <c r="P620" s="2"/>
      <c r="Q620" s="2"/>
      <c r="R620" s="62"/>
    </row>
    <row r="621">
      <c r="A621" s="2"/>
      <c r="B621" s="62"/>
      <c r="C621" s="2"/>
      <c r="D621" s="2"/>
      <c r="E621" s="2"/>
      <c r="F621" s="2"/>
      <c r="G621" s="2"/>
      <c r="H621" s="60"/>
      <c r="I621" s="60"/>
      <c r="J621" s="2"/>
      <c r="K621" s="2"/>
      <c r="L621" s="2"/>
      <c r="M621" s="2"/>
      <c r="N621" s="2"/>
      <c r="O621" s="2"/>
      <c r="Q621" s="2"/>
      <c r="R621" s="62"/>
    </row>
    <row r="622">
      <c r="A622" s="2"/>
      <c r="B622" s="62"/>
      <c r="C622" s="2"/>
      <c r="D622" s="2"/>
      <c r="E622" s="2"/>
      <c r="F622" s="2"/>
      <c r="G622" s="2"/>
      <c r="H622" s="60"/>
      <c r="I622" s="60"/>
      <c r="J622" s="2"/>
      <c r="K622" s="2"/>
      <c r="L622" s="2"/>
      <c r="M622" s="2"/>
      <c r="N622" s="2"/>
      <c r="O622" s="2"/>
      <c r="Q622" s="2"/>
      <c r="R622" s="62"/>
    </row>
    <row r="623">
      <c r="A623" s="2"/>
      <c r="B623" s="62"/>
      <c r="C623" s="2"/>
      <c r="D623" s="2"/>
      <c r="E623" s="2"/>
      <c r="F623" s="2"/>
      <c r="G623" s="2"/>
      <c r="H623" s="60"/>
      <c r="I623" s="60"/>
      <c r="J623" s="2"/>
      <c r="K623" s="2"/>
      <c r="L623" s="2"/>
      <c r="M623" s="2"/>
      <c r="N623" s="2"/>
      <c r="O623" s="2"/>
      <c r="Q623" s="2"/>
      <c r="R623" s="62"/>
    </row>
    <row r="624">
      <c r="A624" s="2"/>
      <c r="B624" s="62"/>
      <c r="C624" s="2"/>
      <c r="D624" s="2"/>
      <c r="E624" s="2"/>
      <c r="F624" s="2"/>
      <c r="G624" s="2"/>
      <c r="H624" s="60"/>
      <c r="I624" s="60"/>
      <c r="J624" s="2"/>
      <c r="K624" s="2"/>
      <c r="L624" s="2"/>
      <c r="M624" s="2"/>
      <c r="N624" s="2"/>
      <c r="O624" s="2"/>
      <c r="Q624" s="2"/>
      <c r="R624" s="62"/>
    </row>
    <row r="625">
      <c r="A625" s="2"/>
      <c r="B625" s="62"/>
      <c r="C625" s="2"/>
      <c r="D625" s="2"/>
      <c r="E625" s="2"/>
      <c r="F625" s="2"/>
      <c r="G625" s="2"/>
      <c r="H625" s="60"/>
      <c r="I625" s="60"/>
      <c r="J625" s="2"/>
      <c r="K625" s="2"/>
      <c r="L625" s="2"/>
      <c r="M625" s="2"/>
      <c r="N625" s="2"/>
      <c r="O625" s="2"/>
      <c r="P625" s="2"/>
      <c r="Q625" s="2"/>
      <c r="R625" s="62"/>
    </row>
    <row r="626">
      <c r="A626" s="2"/>
      <c r="B626" s="62"/>
      <c r="C626" s="2"/>
      <c r="D626" s="2"/>
      <c r="E626" s="2"/>
      <c r="F626" s="2"/>
      <c r="G626" s="2"/>
      <c r="H626" s="60"/>
      <c r="I626" s="60"/>
      <c r="J626" s="2"/>
      <c r="K626" s="2"/>
      <c r="L626" s="2"/>
      <c r="M626" s="2"/>
      <c r="N626" s="2"/>
      <c r="O626" s="2"/>
      <c r="Q626" s="2"/>
      <c r="R626" s="62"/>
    </row>
    <row r="627">
      <c r="A627" s="2"/>
      <c r="B627" s="62"/>
      <c r="C627" s="2"/>
      <c r="D627" s="2"/>
      <c r="E627" s="2"/>
      <c r="F627" s="2"/>
      <c r="G627" s="2"/>
      <c r="H627" s="60"/>
      <c r="I627" s="60"/>
      <c r="J627" s="2"/>
      <c r="K627" s="2"/>
      <c r="L627" s="2"/>
      <c r="M627" s="2"/>
      <c r="N627" s="2"/>
      <c r="O627" s="2"/>
      <c r="Q627" s="2"/>
      <c r="R627" s="62"/>
    </row>
    <row r="628">
      <c r="A628" s="2"/>
      <c r="B628" s="62"/>
      <c r="C628" s="2"/>
      <c r="D628" s="2"/>
      <c r="E628" s="2"/>
      <c r="F628" s="2"/>
      <c r="G628" s="2"/>
      <c r="H628" s="60"/>
      <c r="I628" s="60"/>
      <c r="J628" s="2"/>
      <c r="K628" s="2"/>
      <c r="L628" s="2"/>
      <c r="M628" s="2"/>
      <c r="N628" s="2"/>
      <c r="O628" s="2"/>
      <c r="Q628" s="2"/>
      <c r="R628" s="62"/>
    </row>
    <row r="629">
      <c r="A629" s="2"/>
      <c r="B629" s="62"/>
      <c r="C629" s="2"/>
      <c r="D629" s="2"/>
      <c r="E629" s="2"/>
      <c r="F629" s="2"/>
      <c r="G629" s="2"/>
      <c r="H629" s="60"/>
      <c r="I629" s="60"/>
      <c r="J629" s="2"/>
      <c r="K629" s="2"/>
      <c r="L629" s="2"/>
      <c r="M629" s="2"/>
      <c r="N629" s="2"/>
      <c r="O629" s="2"/>
      <c r="Q629" s="2"/>
      <c r="R629" s="62"/>
    </row>
    <row r="630">
      <c r="A630" s="2"/>
      <c r="B630" s="62"/>
      <c r="C630" s="2"/>
      <c r="D630" s="2"/>
      <c r="E630" s="2"/>
      <c r="F630" s="2"/>
      <c r="G630" s="2"/>
      <c r="H630" s="60"/>
      <c r="I630" s="60"/>
      <c r="J630" s="2"/>
      <c r="K630" s="2"/>
      <c r="L630" s="2"/>
      <c r="M630" s="2"/>
      <c r="N630" s="2"/>
      <c r="O630" s="2"/>
      <c r="Q630" s="2"/>
      <c r="R630" s="62"/>
    </row>
    <row r="631">
      <c r="A631" s="2"/>
      <c r="B631" s="62"/>
      <c r="C631" s="2"/>
      <c r="D631" s="2"/>
      <c r="E631" s="2"/>
      <c r="F631" s="2"/>
      <c r="G631" s="2"/>
      <c r="H631" s="60"/>
      <c r="I631" s="60"/>
      <c r="J631" s="2"/>
      <c r="K631" s="2"/>
      <c r="L631" s="2"/>
      <c r="M631" s="2"/>
      <c r="N631" s="2"/>
      <c r="O631" s="2"/>
      <c r="Q631" s="2"/>
      <c r="R631" s="62"/>
    </row>
    <row r="632">
      <c r="A632" s="2"/>
      <c r="B632" s="62"/>
      <c r="C632" s="2"/>
      <c r="D632" s="2"/>
      <c r="E632" s="2"/>
      <c r="F632" s="2"/>
      <c r="G632" s="2"/>
      <c r="H632" s="60"/>
      <c r="I632" s="60"/>
      <c r="J632" s="2"/>
      <c r="K632" s="2"/>
      <c r="L632" s="2"/>
      <c r="M632" s="2"/>
      <c r="N632" s="2"/>
      <c r="O632" s="2"/>
      <c r="Q632" s="2"/>
      <c r="R632" s="62"/>
    </row>
    <row r="633">
      <c r="A633" s="2"/>
      <c r="B633" s="62"/>
      <c r="C633" s="2"/>
      <c r="D633" s="2"/>
      <c r="E633" s="2"/>
      <c r="F633" s="2"/>
      <c r="G633" s="2"/>
      <c r="H633" s="60"/>
      <c r="I633" s="60"/>
      <c r="J633" s="2"/>
      <c r="K633" s="2"/>
      <c r="L633" s="2"/>
      <c r="M633" s="2"/>
      <c r="N633" s="2"/>
      <c r="O633" s="2"/>
      <c r="Q633" s="2"/>
      <c r="R633" s="62"/>
    </row>
    <row r="634">
      <c r="A634" s="2"/>
      <c r="B634" s="62"/>
      <c r="C634" s="2"/>
      <c r="D634" s="2"/>
      <c r="E634" s="2"/>
      <c r="F634" s="2"/>
      <c r="G634" s="2"/>
      <c r="H634" s="60"/>
      <c r="I634" s="60"/>
      <c r="J634" s="2"/>
      <c r="K634" s="2"/>
      <c r="L634" s="2"/>
      <c r="M634" s="2"/>
      <c r="N634" s="2"/>
      <c r="O634" s="2"/>
      <c r="Q634" s="2"/>
      <c r="R634" s="62"/>
    </row>
    <row r="635">
      <c r="A635" s="2"/>
      <c r="B635" s="62"/>
      <c r="C635" s="2"/>
      <c r="D635" s="2"/>
      <c r="E635" s="2"/>
      <c r="F635" s="2"/>
      <c r="G635" s="2"/>
      <c r="H635" s="60"/>
      <c r="I635" s="60"/>
      <c r="J635" s="2"/>
      <c r="K635" s="2"/>
      <c r="L635" s="2"/>
      <c r="M635" s="2"/>
      <c r="N635" s="2"/>
      <c r="O635" s="2"/>
      <c r="P635" s="2"/>
      <c r="Q635" s="2"/>
      <c r="R635" s="62"/>
    </row>
    <row r="636">
      <c r="A636" s="2"/>
      <c r="B636" s="62"/>
      <c r="C636" s="2"/>
      <c r="D636" s="2"/>
      <c r="E636" s="2"/>
      <c r="F636" s="2"/>
      <c r="G636" s="2"/>
      <c r="H636" s="60"/>
      <c r="I636" s="60"/>
      <c r="J636" s="2"/>
      <c r="K636" s="2"/>
      <c r="L636" s="2"/>
      <c r="M636" s="2"/>
      <c r="N636" s="2"/>
      <c r="O636" s="2"/>
      <c r="P636" s="2"/>
      <c r="Q636" s="2"/>
      <c r="R636" s="62"/>
    </row>
    <row r="637">
      <c r="A637" s="2"/>
      <c r="B637" s="62"/>
      <c r="C637" s="2"/>
      <c r="D637" s="2"/>
      <c r="E637" s="2"/>
      <c r="F637" s="2"/>
      <c r="G637" s="2"/>
      <c r="H637" s="60"/>
      <c r="I637" s="60"/>
      <c r="J637" s="2"/>
      <c r="K637" s="2"/>
      <c r="L637" s="2"/>
      <c r="M637" s="2"/>
      <c r="N637" s="2"/>
      <c r="O637" s="2"/>
      <c r="Q637" s="2"/>
      <c r="R637" s="62"/>
    </row>
    <row r="638">
      <c r="A638" s="2"/>
      <c r="B638" s="62"/>
      <c r="C638" s="2"/>
      <c r="D638" s="2"/>
      <c r="E638" s="2"/>
      <c r="F638" s="2"/>
      <c r="G638" s="2"/>
      <c r="H638" s="60"/>
      <c r="I638" s="60"/>
      <c r="J638" s="2"/>
      <c r="K638" s="2"/>
      <c r="L638" s="2"/>
      <c r="M638" s="2"/>
      <c r="N638" s="2"/>
      <c r="O638" s="2"/>
      <c r="Q638" s="2"/>
      <c r="R638" s="62"/>
    </row>
    <row r="639">
      <c r="A639" s="2"/>
      <c r="B639" s="62"/>
      <c r="C639" s="2"/>
      <c r="D639" s="2"/>
      <c r="E639" s="2"/>
      <c r="F639" s="2"/>
      <c r="G639" s="2"/>
      <c r="H639" s="60"/>
      <c r="I639" s="60"/>
      <c r="J639" s="2"/>
      <c r="K639" s="2"/>
      <c r="L639" s="2"/>
      <c r="M639" s="2"/>
      <c r="N639" s="2"/>
      <c r="O639" s="2"/>
      <c r="P639" s="2"/>
      <c r="Q639" s="2"/>
      <c r="R639" s="62"/>
    </row>
    <row r="640">
      <c r="A640" s="2"/>
      <c r="B640" s="62"/>
      <c r="C640" s="2"/>
      <c r="D640" s="2"/>
      <c r="E640" s="2"/>
      <c r="F640" s="2"/>
      <c r="G640" s="2"/>
      <c r="H640" s="60"/>
      <c r="I640" s="60"/>
      <c r="J640" s="2"/>
      <c r="K640" s="2"/>
      <c r="L640" s="2"/>
      <c r="M640" s="2"/>
      <c r="N640" s="2"/>
      <c r="O640" s="2"/>
      <c r="P640" s="2"/>
      <c r="Q640" s="2"/>
      <c r="R640" s="62"/>
    </row>
    <row r="641">
      <c r="A641" s="2"/>
      <c r="B641" s="62"/>
      <c r="C641" s="2"/>
      <c r="D641" s="2"/>
      <c r="E641" s="2"/>
      <c r="F641" s="2"/>
      <c r="G641" s="2"/>
      <c r="H641" s="60"/>
      <c r="I641" s="60"/>
      <c r="J641" s="2"/>
      <c r="K641" s="2"/>
      <c r="L641" s="2"/>
      <c r="M641" s="2"/>
      <c r="N641" s="2"/>
      <c r="O641" s="2"/>
      <c r="Q641" s="2"/>
      <c r="R641" s="62"/>
    </row>
    <row r="642">
      <c r="A642" s="2"/>
      <c r="B642" s="62"/>
      <c r="C642" s="2"/>
      <c r="D642" s="2"/>
      <c r="E642" s="2"/>
      <c r="F642" s="2"/>
      <c r="G642" s="2"/>
      <c r="H642" s="60"/>
      <c r="I642" s="60"/>
      <c r="J642" s="2"/>
      <c r="K642" s="2"/>
      <c r="L642" s="2"/>
      <c r="M642" s="2"/>
      <c r="N642" s="2"/>
      <c r="O642" s="2"/>
      <c r="Q642" s="2"/>
      <c r="R642" s="62"/>
    </row>
    <row r="643">
      <c r="A643" s="2"/>
      <c r="B643" s="62"/>
      <c r="C643" s="2"/>
      <c r="D643" s="2"/>
      <c r="E643" s="2"/>
      <c r="F643" s="2"/>
      <c r="G643" s="2"/>
      <c r="H643" s="60"/>
      <c r="I643" s="60"/>
      <c r="J643" s="2"/>
      <c r="K643" s="2"/>
      <c r="L643" s="2"/>
      <c r="M643" s="2"/>
      <c r="N643" s="2"/>
      <c r="O643" s="2"/>
      <c r="P643" s="2"/>
      <c r="Q643" s="2"/>
      <c r="R643" s="62"/>
    </row>
    <row r="644">
      <c r="A644" s="2"/>
      <c r="B644" s="62"/>
      <c r="C644" s="2"/>
      <c r="D644" s="2"/>
      <c r="E644" s="2"/>
      <c r="F644" s="2"/>
      <c r="G644" s="2"/>
      <c r="H644" s="60"/>
      <c r="I644" s="60"/>
      <c r="J644" s="2"/>
      <c r="K644" s="2"/>
      <c r="L644" s="2"/>
      <c r="M644" s="2"/>
      <c r="N644" s="2"/>
      <c r="O644" s="2"/>
      <c r="Q644" s="2"/>
      <c r="R644" s="62"/>
    </row>
    <row r="645">
      <c r="A645" s="2"/>
      <c r="B645" s="62"/>
      <c r="C645" s="2"/>
      <c r="D645" s="2"/>
      <c r="E645" s="2"/>
      <c r="F645" s="2"/>
      <c r="G645" s="2"/>
      <c r="H645" s="60"/>
      <c r="I645" s="60"/>
      <c r="J645" s="2"/>
      <c r="K645" s="2"/>
      <c r="L645" s="2"/>
      <c r="M645" s="2"/>
      <c r="N645" s="2"/>
      <c r="O645" s="2"/>
      <c r="P645" s="2"/>
      <c r="Q645" s="2"/>
      <c r="R645" s="62"/>
    </row>
    <row r="646">
      <c r="A646" s="2"/>
      <c r="B646" s="62"/>
      <c r="C646" s="2"/>
      <c r="D646" s="2"/>
      <c r="E646" s="2"/>
      <c r="F646" s="2"/>
      <c r="G646" s="2"/>
      <c r="H646" s="60"/>
      <c r="I646" s="60"/>
      <c r="J646" s="2"/>
      <c r="K646" s="2"/>
      <c r="L646" s="2"/>
      <c r="M646" s="2"/>
      <c r="N646" s="2"/>
      <c r="O646" s="2"/>
      <c r="Q646" s="2"/>
      <c r="R646" s="62"/>
    </row>
    <row r="647">
      <c r="A647" s="2"/>
      <c r="B647" s="62"/>
      <c r="C647" s="2"/>
      <c r="D647" s="2"/>
      <c r="E647" s="2"/>
      <c r="F647" s="2"/>
      <c r="G647" s="2"/>
      <c r="H647" s="60"/>
      <c r="I647" s="60"/>
      <c r="J647" s="2"/>
      <c r="K647" s="2"/>
      <c r="L647" s="2"/>
      <c r="M647" s="2"/>
      <c r="N647" s="2"/>
      <c r="O647" s="2"/>
      <c r="Q647" s="2"/>
      <c r="R647" s="62"/>
    </row>
    <row r="648">
      <c r="A648" s="2"/>
      <c r="B648" s="62"/>
      <c r="C648" s="2"/>
      <c r="D648" s="2"/>
      <c r="E648" s="2"/>
      <c r="F648" s="2"/>
      <c r="G648" s="2"/>
      <c r="H648" s="60"/>
      <c r="I648" s="60"/>
      <c r="J648" s="2"/>
      <c r="K648" s="2"/>
      <c r="L648" s="2"/>
      <c r="M648" s="2"/>
      <c r="N648" s="2"/>
      <c r="O648" s="2"/>
      <c r="P648" s="2"/>
      <c r="Q648" s="2"/>
      <c r="R648" s="62"/>
    </row>
    <row r="649">
      <c r="A649" s="2"/>
      <c r="B649" s="62"/>
      <c r="C649" s="2"/>
      <c r="D649" s="2"/>
      <c r="E649" s="2"/>
      <c r="F649" s="2"/>
      <c r="G649" s="2"/>
      <c r="H649" s="60"/>
      <c r="I649" s="60"/>
      <c r="J649" s="2"/>
      <c r="K649" s="2"/>
      <c r="L649" s="2"/>
      <c r="M649" s="2"/>
      <c r="N649" s="2"/>
      <c r="O649" s="2"/>
      <c r="Q649" s="2"/>
      <c r="R649" s="62"/>
    </row>
    <row r="650">
      <c r="A650" s="2"/>
      <c r="B650" s="62"/>
      <c r="C650" s="2"/>
      <c r="D650" s="2"/>
      <c r="E650" s="2"/>
      <c r="F650" s="2"/>
      <c r="G650" s="2"/>
      <c r="H650" s="60"/>
      <c r="I650" s="60"/>
      <c r="J650" s="2"/>
      <c r="K650" s="2"/>
      <c r="L650" s="2"/>
      <c r="M650" s="2"/>
      <c r="N650" s="2"/>
      <c r="O650" s="2"/>
      <c r="P650" s="2"/>
      <c r="Q650" s="2"/>
      <c r="R650" s="62"/>
    </row>
    <row r="651">
      <c r="A651" s="2"/>
      <c r="B651" s="62"/>
      <c r="C651" s="2"/>
      <c r="D651" s="2"/>
      <c r="E651" s="2"/>
      <c r="F651" s="2"/>
      <c r="G651" s="2"/>
      <c r="H651" s="60"/>
      <c r="I651" s="60"/>
      <c r="J651" s="2"/>
      <c r="K651" s="2"/>
      <c r="L651" s="2"/>
      <c r="M651" s="2"/>
      <c r="N651" s="2"/>
      <c r="O651" s="2"/>
      <c r="Q651" s="2"/>
      <c r="R651" s="62"/>
    </row>
    <row r="652">
      <c r="A652" s="2"/>
      <c r="B652" s="62"/>
      <c r="C652" s="2"/>
      <c r="D652" s="2"/>
      <c r="E652" s="2"/>
      <c r="F652" s="2"/>
      <c r="G652" s="2"/>
      <c r="H652" s="60"/>
      <c r="I652" s="60"/>
      <c r="J652" s="2"/>
      <c r="K652" s="2"/>
      <c r="L652" s="2"/>
      <c r="M652" s="2"/>
      <c r="N652" s="2"/>
      <c r="O652" s="2"/>
      <c r="P652" s="2"/>
      <c r="Q652" s="2"/>
      <c r="R652" s="62"/>
    </row>
    <row r="653">
      <c r="A653" s="2"/>
      <c r="B653" s="62"/>
      <c r="C653" s="2"/>
      <c r="D653" s="2"/>
      <c r="E653" s="2"/>
      <c r="F653" s="2"/>
      <c r="G653" s="2"/>
      <c r="H653" s="60"/>
      <c r="I653" s="60"/>
      <c r="J653" s="2"/>
      <c r="K653" s="2"/>
      <c r="L653" s="2"/>
      <c r="M653" s="2"/>
      <c r="N653" s="2"/>
      <c r="O653" s="2"/>
      <c r="P653" s="2"/>
      <c r="Q653" s="2"/>
      <c r="R653" s="62"/>
    </row>
    <row r="654">
      <c r="A654" s="2"/>
      <c r="B654" s="62"/>
      <c r="C654" s="2"/>
      <c r="D654" s="2"/>
      <c r="E654" s="2"/>
      <c r="F654" s="2"/>
      <c r="G654" s="2"/>
      <c r="H654" s="60"/>
      <c r="I654" s="60"/>
      <c r="J654" s="2"/>
      <c r="K654" s="2"/>
      <c r="L654" s="2"/>
      <c r="M654" s="2"/>
      <c r="N654" s="2"/>
      <c r="O654" s="2"/>
      <c r="Q654" s="2"/>
      <c r="R654" s="62"/>
    </row>
    <row r="655">
      <c r="A655" s="2"/>
      <c r="B655" s="62"/>
      <c r="C655" s="2"/>
      <c r="D655" s="2"/>
      <c r="E655" s="2"/>
      <c r="F655" s="2"/>
      <c r="G655" s="2"/>
      <c r="H655" s="60"/>
      <c r="I655" s="60"/>
      <c r="J655" s="2"/>
      <c r="K655" s="2"/>
      <c r="L655" s="2"/>
      <c r="M655" s="2"/>
      <c r="N655" s="2"/>
      <c r="O655" s="2"/>
      <c r="Q655" s="2"/>
      <c r="R655" s="62"/>
    </row>
    <row r="656">
      <c r="A656" s="2"/>
      <c r="B656" s="62"/>
      <c r="C656" s="2"/>
      <c r="D656" s="2"/>
      <c r="E656" s="2"/>
      <c r="F656" s="2"/>
      <c r="G656" s="2"/>
      <c r="H656" s="60"/>
      <c r="I656" s="60"/>
      <c r="J656" s="2"/>
      <c r="K656" s="2"/>
      <c r="L656" s="2"/>
      <c r="M656" s="2"/>
      <c r="N656" s="2"/>
      <c r="O656" s="2"/>
      <c r="P656" s="2"/>
      <c r="Q656" s="2"/>
      <c r="R656" s="62"/>
    </row>
    <row r="657">
      <c r="A657" s="2"/>
      <c r="B657" s="62"/>
      <c r="C657" s="2"/>
      <c r="D657" s="2"/>
      <c r="E657" s="2"/>
      <c r="F657" s="2"/>
      <c r="G657" s="2"/>
      <c r="H657" s="60"/>
      <c r="I657" s="60"/>
      <c r="J657" s="2"/>
      <c r="K657" s="2"/>
      <c r="L657" s="2"/>
      <c r="M657" s="2"/>
      <c r="N657" s="2"/>
      <c r="O657" s="2"/>
      <c r="Q657" s="2"/>
      <c r="R657" s="62"/>
    </row>
    <row r="658">
      <c r="A658" s="2"/>
      <c r="B658" s="62"/>
      <c r="C658" s="2"/>
      <c r="D658" s="2"/>
      <c r="E658" s="2"/>
      <c r="F658" s="2"/>
      <c r="G658" s="2"/>
      <c r="H658" s="60"/>
      <c r="I658" s="60"/>
      <c r="J658" s="2"/>
      <c r="K658" s="2"/>
      <c r="L658" s="2"/>
      <c r="M658" s="2"/>
      <c r="N658" s="2"/>
      <c r="O658" s="2"/>
      <c r="P658" s="2"/>
      <c r="Q658" s="2"/>
      <c r="R658" s="62"/>
    </row>
    <row r="659">
      <c r="A659" s="2"/>
      <c r="B659" s="62"/>
      <c r="C659" s="2"/>
      <c r="D659" s="2"/>
      <c r="E659" s="2"/>
      <c r="F659" s="2"/>
      <c r="G659" s="2"/>
      <c r="H659" s="60"/>
      <c r="I659" s="60"/>
      <c r="J659" s="2"/>
      <c r="K659" s="2"/>
      <c r="L659" s="2"/>
      <c r="M659" s="2"/>
      <c r="N659" s="2"/>
      <c r="O659" s="2"/>
      <c r="Q659" s="2"/>
      <c r="R659" s="62"/>
    </row>
    <row r="660">
      <c r="A660" s="2"/>
      <c r="B660" s="62"/>
      <c r="C660" s="2"/>
      <c r="D660" s="2"/>
      <c r="E660" s="2"/>
      <c r="F660" s="2"/>
      <c r="G660" s="2"/>
      <c r="H660" s="60"/>
      <c r="I660" s="60"/>
      <c r="J660" s="2"/>
      <c r="K660" s="2"/>
      <c r="L660" s="2"/>
      <c r="M660" s="2"/>
      <c r="N660" s="2"/>
      <c r="O660" s="2"/>
      <c r="Q660" s="2"/>
      <c r="R660" s="62"/>
    </row>
    <row r="661">
      <c r="A661" s="2"/>
      <c r="B661" s="62"/>
      <c r="C661" s="2"/>
      <c r="D661" s="2"/>
      <c r="E661" s="2"/>
      <c r="F661" s="2"/>
      <c r="G661" s="2"/>
      <c r="H661" s="60"/>
      <c r="I661" s="60"/>
      <c r="J661" s="2"/>
      <c r="K661" s="2"/>
      <c r="L661" s="2"/>
      <c r="M661" s="2"/>
      <c r="N661" s="2"/>
      <c r="O661" s="2"/>
      <c r="P661" s="2"/>
      <c r="Q661" s="2"/>
      <c r="R661" s="62"/>
    </row>
    <row r="662">
      <c r="A662" s="2"/>
      <c r="B662" s="62"/>
      <c r="C662" s="2"/>
      <c r="D662" s="2"/>
      <c r="E662" s="2"/>
      <c r="F662" s="2"/>
      <c r="G662" s="2"/>
      <c r="H662" s="60"/>
      <c r="I662" s="60"/>
      <c r="J662" s="2"/>
      <c r="K662" s="2"/>
      <c r="L662" s="2"/>
      <c r="M662" s="2"/>
      <c r="N662" s="2"/>
      <c r="O662" s="2"/>
      <c r="P662" s="2"/>
      <c r="Q662" s="2"/>
      <c r="R662" s="62"/>
    </row>
    <row r="663">
      <c r="A663" s="2"/>
      <c r="B663" s="62"/>
      <c r="C663" s="2"/>
      <c r="D663" s="2"/>
      <c r="E663" s="2"/>
      <c r="F663" s="2"/>
      <c r="G663" s="2"/>
      <c r="H663" s="60"/>
      <c r="I663" s="60"/>
      <c r="J663" s="2"/>
      <c r="K663" s="2"/>
      <c r="L663" s="2"/>
      <c r="M663" s="2"/>
      <c r="N663" s="2"/>
      <c r="O663" s="2"/>
      <c r="Q663" s="2"/>
      <c r="R663" s="62"/>
    </row>
    <row r="664">
      <c r="A664" s="2"/>
      <c r="B664" s="62"/>
      <c r="C664" s="2"/>
      <c r="D664" s="2"/>
      <c r="E664" s="2"/>
      <c r="F664" s="2"/>
      <c r="G664" s="2"/>
      <c r="H664" s="60"/>
      <c r="I664" s="60"/>
      <c r="J664" s="2"/>
      <c r="K664" s="2"/>
      <c r="L664" s="2"/>
      <c r="M664" s="2"/>
      <c r="N664" s="2"/>
      <c r="O664" s="2"/>
      <c r="Q664" s="2"/>
      <c r="R664" s="62"/>
    </row>
    <row r="665">
      <c r="A665" s="2"/>
      <c r="B665" s="62"/>
      <c r="C665" s="2"/>
      <c r="D665" s="2"/>
      <c r="E665" s="2"/>
      <c r="F665" s="2"/>
      <c r="G665" s="2"/>
      <c r="H665" s="60"/>
      <c r="I665" s="60"/>
      <c r="J665" s="2"/>
      <c r="K665" s="2"/>
      <c r="L665" s="2"/>
      <c r="M665" s="2"/>
      <c r="N665" s="2"/>
      <c r="O665" s="2"/>
      <c r="Q665" s="2"/>
      <c r="R665" s="62"/>
    </row>
    <row r="666">
      <c r="A666" s="2"/>
      <c r="B666" s="62"/>
      <c r="C666" s="2"/>
      <c r="D666" s="2"/>
      <c r="E666" s="2"/>
      <c r="F666" s="2"/>
      <c r="G666" s="2"/>
      <c r="H666" s="60"/>
      <c r="I666" s="60"/>
      <c r="J666" s="2"/>
      <c r="K666" s="2"/>
      <c r="L666" s="2"/>
      <c r="M666" s="2"/>
      <c r="N666" s="2"/>
      <c r="O666" s="2"/>
      <c r="P666" s="2"/>
      <c r="Q666" s="2"/>
      <c r="R666" s="62"/>
    </row>
    <row r="667">
      <c r="A667" s="2"/>
      <c r="B667" s="62"/>
      <c r="C667" s="2"/>
      <c r="D667" s="2"/>
      <c r="E667" s="2"/>
      <c r="F667" s="2"/>
      <c r="G667" s="2"/>
      <c r="H667" s="60"/>
      <c r="I667" s="60"/>
      <c r="J667" s="2"/>
      <c r="K667" s="2"/>
      <c r="L667" s="2"/>
      <c r="M667" s="2"/>
      <c r="N667" s="2"/>
      <c r="O667" s="2"/>
      <c r="P667" s="2"/>
      <c r="Q667" s="2"/>
      <c r="R667" s="62"/>
    </row>
    <row r="668">
      <c r="A668" s="2"/>
      <c r="B668" s="62"/>
      <c r="C668" s="2"/>
      <c r="D668" s="2"/>
      <c r="E668" s="2"/>
      <c r="F668" s="2"/>
      <c r="G668" s="2"/>
      <c r="H668" s="60"/>
      <c r="I668" s="60"/>
      <c r="J668" s="2"/>
      <c r="K668" s="2"/>
      <c r="L668" s="2"/>
      <c r="M668" s="2"/>
      <c r="N668" s="2"/>
      <c r="O668" s="2"/>
      <c r="P668" s="2"/>
      <c r="Q668" s="2"/>
      <c r="R668" s="62"/>
    </row>
    <row r="669">
      <c r="A669" s="2"/>
      <c r="B669" s="62"/>
      <c r="C669" s="2"/>
      <c r="D669" s="2"/>
      <c r="E669" s="2"/>
      <c r="F669" s="2"/>
      <c r="G669" s="2"/>
      <c r="H669" s="60"/>
      <c r="I669" s="60"/>
      <c r="J669" s="2"/>
      <c r="K669" s="2"/>
      <c r="L669" s="2"/>
      <c r="M669" s="2"/>
      <c r="N669" s="2"/>
      <c r="O669" s="2"/>
      <c r="P669" s="2"/>
      <c r="Q669" s="2"/>
      <c r="R669" s="62"/>
    </row>
    <row r="670">
      <c r="A670" s="2"/>
      <c r="B670" s="62"/>
      <c r="C670" s="2"/>
      <c r="D670" s="2"/>
      <c r="E670" s="2"/>
      <c r="F670" s="2"/>
      <c r="G670" s="2"/>
      <c r="H670" s="60"/>
      <c r="I670" s="60"/>
      <c r="J670" s="2"/>
      <c r="K670" s="2"/>
      <c r="L670" s="2"/>
      <c r="M670" s="2"/>
      <c r="N670" s="2"/>
      <c r="O670" s="2"/>
      <c r="P670" s="2"/>
      <c r="Q670" s="2"/>
      <c r="R670" s="62"/>
    </row>
    <row r="671">
      <c r="A671" s="2"/>
      <c r="B671" s="62"/>
      <c r="C671" s="2"/>
      <c r="D671" s="2"/>
      <c r="E671" s="2"/>
      <c r="F671" s="2"/>
      <c r="G671" s="2"/>
      <c r="H671" s="60"/>
      <c r="I671" s="60"/>
      <c r="J671" s="2"/>
      <c r="K671" s="2"/>
      <c r="L671" s="2"/>
      <c r="M671" s="2"/>
      <c r="N671" s="2"/>
      <c r="O671" s="2"/>
      <c r="P671" s="2"/>
      <c r="Q671" s="2"/>
      <c r="R671" s="62"/>
    </row>
    <row r="672">
      <c r="A672" s="2"/>
      <c r="B672" s="62"/>
      <c r="C672" s="2"/>
      <c r="D672" s="2"/>
      <c r="E672" s="2"/>
      <c r="F672" s="2"/>
      <c r="G672" s="2"/>
      <c r="H672" s="60"/>
      <c r="I672" s="60"/>
      <c r="J672" s="2"/>
      <c r="K672" s="2"/>
      <c r="L672" s="2"/>
      <c r="M672" s="2"/>
      <c r="N672" s="2"/>
      <c r="O672" s="2"/>
      <c r="P672" s="2"/>
      <c r="Q672" s="2"/>
      <c r="R672" s="62"/>
    </row>
    <row r="673">
      <c r="A673" s="2"/>
      <c r="B673" s="62"/>
      <c r="C673" s="2"/>
      <c r="D673" s="2"/>
      <c r="E673" s="2"/>
      <c r="F673" s="2"/>
      <c r="G673" s="2"/>
      <c r="H673" s="60"/>
      <c r="I673" s="60"/>
      <c r="J673" s="2"/>
      <c r="K673" s="2"/>
      <c r="L673" s="2"/>
      <c r="M673" s="2"/>
      <c r="N673" s="2"/>
      <c r="O673" s="2"/>
      <c r="P673" s="2"/>
      <c r="Q673" s="2"/>
      <c r="R673" s="62"/>
    </row>
    <row r="674">
      <c r="A674" s="2"/>
      <c r="B674" s="62"/>
      <c r="C674" s="2"/>
      <c r="D674" s="2"/>
      <c r="E674" s="2"/>
      <c r="F674" s="2"/>
      <c r="G674" s="2"/>
      <c r="H674" s="60"/>
      <c r="I674" s="60"/>
      <c r="J674" s="2"/>
      <c r="K674" s="2"/>
      <c r="L674" s="2"/>
      <c r="M674" s="2"/>
      <c r="N674" s="2"/>
      <c r="O674" s="2"/>
      <c r="Q674" s="2"/>
      <c r="R674" s="62"/>
    </row>
    <row r="675">
      <c r="A675" s="2"/>
      <c r="B675" s="62"/>
      <c r="C675" s="2"/>
      <c r="D675" s="2"/>
      <c r="E675" s="2"/>
      <c r="F675" s="2"/>
      <c r="G675" s="2"/>
      <c r="H675" s="60"/>
      <c r="I675" s="60"/>
      <c r="J675" s="2"/>
      <c r="K675" s="2"/>
      <c r="L675" s="2"/>
      <c r="M675" s="2"/>
      <c r="N675" s="2"/>
      <c r="O675" s="2"/>
      <c r="Q675" s="2"/>
      <c r="R675" s="62"/>
    </row>
    <row r="676">
      <c r="A676" s="2"/>
      <c r="B676" s="62"/>
      <c r="C676" s="2"/>
      <c r="D676" s="2"/>
      <c r="E676" s="2"/>
      <c r="F676" s="2"/>
      <c r="G676" s="2"/>
      <c r="H676" s="60"/>
      <c r="I676" s="60"/>
      <c r="J676" s="2"/>
      <c r="K676" s="2"/>
      <c r="L676" s="2"/>
      <c r="M676" s="2"/>
      <c r="N676" s="2"/>
      <c r="O676" s="2"/>
      <c r="P676" s="2"/>
      <c r="Q676" s="2"/>
      <c r="R676" s="62"/>
    </row>
    <row r="677">
      <c r="A677" s="2"/>
      <c r="B677" s="62"/>
      <c r="C677" s="2"/>
      <c r="D677" s="2"/>
      <c r="E677" s="2"/>
      <c r="F677" s="2"/>
      <c r="G677" s="2"/>
      <c r="H677" s="60"/>
      <c r="I677" s="60"/>
      <c r="J677" s="2"/>
      <c r="K677" s="2"/>
      <c r="L677" s="2"/>
      <c r="M677" s="2"/>
      <c r="N677" s="2"/>
      <c r="O677" s="2"/>
      <c r="P677" s="2"/>
      <c r="Q677" s="2"/>
      <c r="R677" s="62"/>
    </row>
    <row r="678">
      <c r="A678" s="2"/>
      <c r="B678" s="62"/>
      <c r="C678" s="2"/>
      <c r="D678" s="2"/>
      <c r="E678" s="2"/>
      <c r="F678" s="2"/>
      <c r="G678" s="2"/>
      <c r="H678" s="60"/>
      <c r="I678" s="60"/>
      <c r="J678" s="2"/>
      <c r="K678" s="2"/>
      <c r="L678" s="2"/>
      <c r="M678" s="2"/>
      <c r="N678" s="2"/>
      <c r="O678" s="2"/>
      <c r="Q678" s="2"/>
      <c r="R678" s="62"/>
    </row>
    <row r="679">
      <c r="A679" s="2"/>
      <c r="B679" s="62"/>
      <c r="C679" s="2"/>
      <c r="D679" s="2"/>
      <c r="E679" s="2"/>
      <c r="F679" s="2"/>
      <c r="G679" s="2"/>
      <c r="H679" s="60"/>
      <c r="I679" s="60"/>
      <c r="J679" s="2"/>
      <c r="K679" s="2"/>
      <c r="L679" s="2"/>
      <c r="M679" s="2"/>
      <c r="N679" s="2"/>
      <c r="O679" s="2"/>
      <c r="P679" s="2"/>
      <c r="Q679" s="2"/>
      <c r="R679" s="62"/>
    </row>
    <row r="680">
      <c r="A680" s="2"/>
      <c r="B680" s="62"/>
      <c r="C680" s="2"/>
      <c r="D680" s="2"/>
      <c r="E680" s="2"/>
      <c r="F680" s="2"/>
      <c r="G680" s="2"/>
      <c r="H680" s="60"/>
      <c r="I680" s="60"/>
      <c r="J680" s="2"/>
      <c r="K680" s="2"/>
      <c r="L680" s="2"/>
      <c r="M680" s="2"/>
      <c r="N680" s="2"/>
      <c r="O680" s="2"/>
      <c r="Q680" s="2"/>
      <c r="R680" s="62"/>
    </row>
    <row r="681">
      <c r="A681" s="2"/>
      <c r="B681" s="62"/>
      <c r="C681" s="2"/>
      <c r="D681" s="2"/>
      <c r="E681" s="2"/>
      <c r="F681" s="2"/>
      <c r="G681" s="2"/>
      <c r="H681" s="60"/>
      <c r="I681" s="60"/>
      <c r="J681" s="2"/>
      <c r="K681" s="2"/>
      <c r="L681" s="2"/>
      <c r="M681" s="2"/>
      <c r="N681" s="2"/>
      <c r="O681" s="2"/>
      <c r="Q681" s="2"/>
      <c r="R681" s="62"/>
    </row>
    <row r="682">
      <c r="A682" s="2"/>
      <c r="B682" s="62"/>
      <c r="C682" s="2"/>
      <c r="D682" s="2"/>
      <c r="E682" s="2"/>
      <c r="F682" s="2"/>
      <c r="G682" s="2"/>
      <c r="H682" s="60"/>
      <c r="I682" s="60"/>
      <c r="J682" s="2"/>
      <c r="K682" s="2"/>
      <c r="L682" s="2"/>
      <c r="M682" s="2"/>
      <c r="N682" s="2"/>
      <c r="O682" s="2"/>
      <c r="P682" s="2"/>
      <c r="Q682" s="2"/>
      <c r="R682" s="62"/>
    </row>
    <row r="683">
      <c r="A683" s="2"/>
      <c r="B683" s="62"/>
      <c r="C683" s="2"/>
      <c r="D683" s="2"/>
      <c r="E683" s="2"/>
      <c r="F683" s="2"/>
      <c r="G683" s="2"/>
      <c r="H683" s="60"/>
      <c r="I683" s="60"/>
      <c r="J683" s="2"/>
      <c r="K683" s="2"/>
      <c r="L683" s="2"/>
      <c r="M683" s="2"/>
      <c r="N683" s="2"/>
      <c r="O683" s="2"/>
      <c r="P683" s="2"/>
      <c r="Q683" s="2"/>
      <c r="R683" s="62"/>
    </row>
    <row r="684">
      <c r="A684" s="2"/>
      <c r="B684" s="62"/>
      <c r="C684" s="2"/>
      <c r="D684" s="2"/>
      <c r="E684" s="2"/>
      <c r="F684" s="2"/>
      <c r="G684" s="2"/>
      <c r="H684" s="60"/>
      <c r="I684" s="60"/>
      <c r="J684" s="2"/>
      <c r="K684" s="2"/>
      <c r="L684" s="2"/>
      <c r="M684" s="2"/>
      <c r="N684" s="2"/>
      <c r="O684" s="2"/>
      <c r="Q684" s="2"/>
      <c r="R684" s="62"/>
    </row>
    <row r="685">
      <c r="A685" s="2"/>
      <c r="B685" s="62"/>
      <c r="C685" s="2"/>
      <c r="D685" s="2"/>
      <c r="E685" s="2"/>
      <c r="F685" s="2"/>
      <c r="G685" s="2"/>
      <c r="H685" s="60"/>
      <c r="I685" s="60"/>
      <c r="J685" s="2"/>
      <c r="K685" s="2"/>
      <c r="L685" s="2"/>
      <c r="M685" s="2"/>
      <c r="N685" s="2"/>
      <c r="O685" s="2"/>
      <c r="Q685" s="2"/>
      <c r="R685" s="62"/>
    </row>
    <row r="686">
      <c r="A686" s="2"/>
      <c r="B686" s="62"/>
      <c r="C686" s="2"/>
      <c r="D686" s="2"/>
      <c r="E686" s="2"/>
      <c r="F686" s="2"/>
      <c r="G686" s="2"/>
      <c r="H686" s="60"/>
      <c r="I686" s="60"/>
      <c r="J686" s="2"/>
      <c r="K686" s="2"/>
      <c r="L686" s="2"/>
      <c r="M686" s="2"/>
      <c r="N686" s="2"/>
      <c r="O686" s="2"/>
      <c r="Q686" s="2"/>
      <c r="R686" s="62"/>
    </row>
    <row r="687">
      <c r="A687" s="2"/>
      <c r="B687" s="62"/>
      <c r="C687" s="2"/>
      <c r="D687" s="2"/>
      <c r="E687" s="2"/>
      <c r="F687" s="2"/>
      <c r="G687" s="2"/>
      <c r="H687" s="60"/>
      <c r="I687" s="60"/>
      <c r="J687" s="2"/>
      <c r="K687" s="2"/>
      <c r="L687" s="2"/>
      <c r="M687" s="2"/>
      <c r="N687" s="2"/>
      <c r="O687" s="2"/>
      <c r="Q687" s="2"/>
      <c r="R687" s="62"/>
    </row>
    <row r="688">
      <c r="A688" s="2"/>
      <c r="B688" s="62"/>
      <c r="C688" s="2"/>
      <c r="D688" s="2"/>
      <c r="E688" s="2"/>
      <c r="F688" s="2"/>
      <c r="G688" s="2"/>
      <c r="H688" s="60"/>
      <c r="I688" s="60"/>
      <c r="J688" s="2"/>
      <c r="K688" s="2"/>
      <c r="L688" s="2"/>
      <c r="M688" s="2"/>
      <c r="N688" s="2"/>
      <c r="O688" s="2"/>
      <c r="Q688" s="2"/>
      <c r="R688" s="62"/>
    </row>
    <row r="689">
      <c r="A689" s="2"/>
      <c r="B689" s="62"/>
      <c r="C689" s="2"/>
      <c r="D689" s="2"/>
      <c r="E689" s="2"/>
      <c r="F689" s="2"/>
      <c r="G689" s="2"/>
      <c r="H689" s="60"/>
      <c r="I689" s="60"/>
      <c r="J689" s="2"/>
      <c r="K689" s="2"/>
      <c r="L689" s="2"/>
      <c r="M689" s="2"/>
      <c r="N689" s="2"/>
      <c r="O689" s="2"/>
      <c r="Q689" s="2"/>
      <c r="R689" s="62"/>
    </row>
    <row r="690">
      <c r="A690" s="2"/>
      <c r="B690" s="62"/>
      <c r="C690" s="2"/>
      <c r="D690" s="2"/>
      <c r="E690" s="2"/>
      <c r="F690" s="2"/>
      <c r="G690" s="2"/>
      <c r="H690" s="60"/>
      <c r="I690" s="60"/>
      <c r="J690" s="2"/>
      <c r="K690" s="2"/>
      <c r="L690" s="2"/>
      <c r="M690" s="2"/>
      <c r="N690" s="2"/>
      <c r="O690" s="2"/>
      <c r="Q690" s="2"/>
      <c r="R690" s="62"/>
    </row>
    <row r="691">
      <c r="A691" s="2"/>
      <c r="B691" s="62"/>
      <c r="C691" s="2"/>
      <c r="D691" s="2"/>
      <c r="E691" s="2"/>
      <c r="F691" s="2"/>
      <c r="G691" s="2"/>
      <c r="H691" s="60"/>
      <c r="I691" s="60"/>
      <c r="J691" s="2"/>
      <c r="K691" s="2"/>
      <c r="L691" s="2"/>
      <c r="M691" s="2"/>
      <c r="N691" s="2"/>
      <c r="O691" s="2"/>
      <c r="P691" s="2"/>
      <c r="Q691" s="2"/>
      <c r="R691" s="62"/>
    </row>
    <row r="692">
      <c r="A692" s="2"/>
      <c r="B692" s="62"/>
      <c r="C692" s="2"/>
      <c r="D692" s="2"/>
      <c r="E692" s="2"/>
      <c r="F692" s="2"/>
      <c r="G692" s="2"/>
      <c r="H692" s="60"/>
      <c r="I692" s="60"/>
      <c r="J692" s="2"/>
      <c r="K692" s="2"/>
      <c r="L692" s="2"/>
      <c r="M692" s="2"/>
      <c r="N692" s="2"/>
      <c r="O692" s="2"/>
      <c r="Q692" s="2"/>
      <c r="R692" s="62"/>
    </row>
    <row r="693">
      <c r="A693" s="2"/>
      <c r="B693" s="62"/>
      <c r="C693" s="2"/>
      <c r="D693" s="2"/>
      <c r="E693" s="2"/>
      <c r="F693" s="2"/>
      <c r="G693" s="2"/>
      <c r="H693" s="60"/>
      <c r="I693" s="60"/>
      <c r="J693" s="2"/>
      <c r="K693" s="2"/>
      <c r="L693" s="2"/>
      <c r="M693" s="2"/>
      <c r="N693" s="2"/>
      <c r="O693" s="2"/>
      <c r="P693" s="2"/>
      <c r="Q693" s="2"/>
      <c r="R693" s="62"/>
    </row>
    <row r="694">
      <c r="A694" s="2"/>
      <c r="B694" s="62"/>
      <c r="C694" s="2"/>
      <c r="D694" s="2"/>
      <c r="E694" s="2"/>
      <c r="F694" s="2"/>
      <c r="G694" s="2"/>
      <c r="H694" s="60"/>
      <c r="I694" s="60"/>
      <c r="J694" s="2"/>
      <c r="K694" s="2"/>
      <c r="L694" s="2"/>
      <c r="M694" s="2"/>
      <c r="N694" s="2"/>
      <c r="O694" s="2"/>
      <c r="Q694" s="2"/>
      <c r="R694" s="62"/>
    </row>
    <row r="695">
      <c r="A695" s="2"/>
      <c r="B695" s="62"/>
      <c r="C695" s="2"/>
      <c r="D695" s="2"/>
      <c r="E695" s="2"/>
      <c r="F695" s="2"/>
      <c r="G695" s="2"/>
      <c r="H695" s="60"/>
      <c r="I695" s="60"/>
      <c r="J695" s="2"/>
      <c r="K695" s="2"/>
      <c r="L695" s="2"/>
      <c r="M695" s="2"/>
      <c r="N695" s="2"/>
      <c r="O695" s="2"/>
      <c r="Q695" s="2"/>
      <c r="R695" s="62"/>
    </row>
    <row r="696">
      <c r="A696" s="2"/>
      <c r="B696" s="62"/>
      <c r="C696" s="2"/>
      <c r="D696" s="2"/>
      <c r="E696" s="2"/>
      <c r="F696" s="2"/>
      <c r="G696" s="2"/>
      <c r="H696" s="60"/>
      <c r="I696" s="60"/>
      <c r="J696" s="2"/>
      <c r="K696" s="2"/>
      <c r="L696" s="2"/>
      <c r="M696" s="2"/>
      <c r="N696" s="2"/>
      <c r="O696" s="2"/>
      <c r="Q696" s="2"/>
      <c r="R696" s="62"/>
    </row>
    <row r="697">
      <c r="A697" s="2"/>
      <c r="B697" s="62"/>
      <c r="C697" s="2"/>
      <c r="D697" s="2"/>
      <c r="E697" s="2"/>
      <c r="F697" s="2"/>
      <c r="G697" s="2"/>
      <c r="H697" s="60"/>
      <c r="I697" s="60"/>
      <c r="J697" s="2"/>
      <c r="K697" s="2"/>
      <c r="L697" s="2"/>
      <c r="M697" s="2"/>
      <c r="N697" s="2"/>
      <c r="O697" s="2"/>
      <c r="P697" s="2"/>
      <c r="Q697" s="2"/>
      <c r="R697" s="62"/>
    </row>
    <row r="698">
      <c r="A698" s="2"/>
      <c r="B698" s="62"/>
      <c r="C698" s="2"/>
      <c r="D698" s="2"/>
      <c r="E698" s="2"/>
      <c r="F698" s="2"/>
      <c r="G698" s="2"/>
      <c r="H698" s="60"/>
      <c r="I698" s="60"/>
      <c r="J698" s="2"/>
      <c r="K698" s="2"/>
      <c r="L698" s="2"/>
      <c r="M698" s="2"/>
      <c r="N698" s="2"/>
      <c r="O698" s="2"/>
      <c r="Q698" s="2"/>
      <c r="R698" s="62"/>
    </row>
    <row r="699">
      <c r="A699" s="2"/>
      <c r="B699" s="62"/>
      <c r="C699" s="2"/>
      <c r="D699" s="2"/>
      <c r="E699" s="2"/>
      <c r="F699" s="2"/>
      <c r="G699" s="2"/>
      <c r="H699" s="60"/>
      <c r="I699" s="60"/>
      <c r="J699" s="2"/>
      <c r="K699" s="2"/>
      <c r="L699" s="2"/>
      <c r="M699" s="2"/>
      <c r="N699" s="2"/>
      <c r="O699" s="2"/>
      <c r="Q699" s="2"/>
      <c r="R699" s="62"/>
    </row>
    <row r="700">
      <c r="A700" s="2"/>
      <c r="B700" s="62"/>
      <c r="C700" s="2"/>
      <c r="D700" s="2"/>
      <c r="E700" s="2"/>
      <c r="F700" s="2"/>
      <c r="G700" s="2"/>
      <c r="H700" s="60"/>
      <c r="I700" s="60"/>
      <c r="J700" s="2"/>
      <c r="K700" s="2"/>
      <c r="L700" s="2"/>
      <c r="M700" s="2"/>
      <c r="N700" s="2"/>
      <c r="O700" s="2"/>
      <c r="Q700" s="2"/>
      <c r="R700" s="62"/>
    </row>
    <row r="701">
      <c r="A701" s="2"/>
      <c r="B701" s="62"/>
      <c r="C701" s="2"/>
      <c r="D701" s="2"/>
      <c r="E701" s="2"/>
      <c r="F701" s="2"/>
      <c r="G701" s="2"/>
      <c r="H701" s="60"/>
      <c r="I701" s="60"/>
      <c r="J701" s="2"/>
      <c r="K701" s="2"/>
      <c r="L701" s="2"/>
      <c r="M701" s="2"/>
      <c r="N701" s="2"/>
      <c r="O701" s="2"/>
      <c r="P701" s="2"/>
      <c r="Q701" s="2"/>
      <c r="R701" s="62"/>
    </row>
    <row r="702">
      <c r="A702" s="2"/>
      <c r="B702" s="62"/>
      <c r="C702" s="2"/>
      <c r="D702" s="2"/>
      <c r="E702" s="2"/>
      <c r="F702" s="2"/>
      <c r="G702" s="2"/>
      <c r="H702" s="60"/>
      <c r="I702" s="60"/>
      <c r="J702" s="2"/>
      <c r="K702" s="2"/>
      <c r="L702" s="2"/>
      <c r="M702" s="2"/>
      <c r="N702" s="2"/>
      <c r="O702" s="2"/>
      <c r="Q702" s="2"/>
      <c r="R702" s="62"/>
    </row>
    <row r="703">
      <c r="A703" s="2"/>
      <c r="B703" s="62"/>
      <c r="C703" s="2"/>
      <c r="D703" s="2"/>
      <c r="E703" s="2"/>
      <c r="F703" s="2"/>
      <c r="G703" s="2"/>
      <c r="H703" s="60"/>
      <c r="I703" s="60"/>
      <c r="J703" s="2"/>
      <c r="K703" s="2"/>
      <c r="L703" s="2"/>
      <c r="M703" s="2"/>
      <c r="N703" s="2"/>
      <c r="O703" s="2"/>
      <c r="Q703" s="2"/>
      <c r="R703" s="62"/>
    </row>
    <row r="704">
      <c r="A704" s="2"/>
      <c r="B704" s="62"/>
      <c r="C704" s="2"/>
      <c r="D704" s="2"/>
      <c r="E704" s="2"/>
      <c r="F704" s="2"/>
      <c r="G704" s="2"/>
      <c r="H704" s="60"/>
      <c r="I704" s="60"/>
      <c r="J704" s="2"/>
      <c r="K704" s="2"/>
      <c r="L704" s="2"/>
      <c r="M704" s="2"/>
      <c r="N704" s="2"/>
      <c r="O704" s="2"/>
      <c r="Q704" s="2"/>
      <c r="R704" s="62"/>
    </row>
    <row r="705">
      <c r="A705" s="2"/>
      <c r="B705" s="62"/>
      <c r="C705" s="2"/>
      <c r="D705" s="2"/>
      <c r="E705" s="2"/>
      <c r="F705" s="2"/>
      <c r="G705" s="2"/>
      <c r="H705" s="60"/>
      <c r="I705" s="60"/>
      <c r="J705" s="2"/>
      <c r="K705" s="2"/>
      <c r="L705" s="2"/>
      <c r="M705" s="2"/>
      <c r="N705" s="2"/>
      <c r="O705" s="2"/>
      <c r="Q705" s="2"/>
      <c r="R705" s="62"/>
    </row>
    <row r="706">
      <c r="A706" s="2"/>
      <c r="B706" s="62"/>
      <c r="C706" s="2"/>
      <c r="D706" s="2"/>
      <c r="E706" s="2"/>
      <c r="F706" s="2"/>
      <c r="G706" s="2"/>
      <c r="H706" s="60"/>
      <c r="I706" s="60"/>
      <c r="J706" s="2"/>
      <c r="K706" s="2"/>
      <c r="L706" s="2"/>
      <c r="M706" s="2"/>
      <c r="N706" s="2"/>
      <c r="O706" s="2"/>
      <c r="Q706" s="2"/>
      <c r="R706" s="62"/>
    </row>
    <row r="707">
      <c r="A707" s="2"/>
      <c r="B707" s="62"/>
      <c r="C707" s="2"/>
      <c r="D707" s="2"/>
      <c r="E707" s="2"/>
      <c r="F707" s="2"/>
      <c r="G707" s="2"/>
      <c r="H707" s="60"/>
      <c r="I707" s="60"/>
      <c r="J707" s="2"/>
      <c r="K707" s="2"/>
      <c r="L707" s="2"/>
      <c r="M707" s="2"/>
      <c r="N707" s="2"/>
      <c r="O707" s="2"/>
      <c r="Q707" s="2"/>
      <c r="R707" s="62"/>
    </row>
    <row r="708">
      <c r="A708" s="2"/>
      <c r="B708" s="62"/>
      <c r="C708" s="2"/>
      <c r="D708" s="2"/>
      <c r="E708" s="2"/>
      <c r="F708" s="2"/>
      <c r="G708" s="2"/>
      <c r="H708" s="60"/>
      <c r="I708" s="60"/>
      <c r="J708" s="2"/>
      <c r="K708" s="2"/>
      <c r="L708" s="2"/>
      <c r="M708" s="2"/>
      <c r="N708" s="2"/>
      <c r="O708" s="2"/>
      <c r="Q708" s="2"/>
      <c r="R708" s="62"/>
    </row>
    <row r="709">
      <c r="A709" s="2"/>
      <c r="B709" s="62"/>
      <c r="C709" s="2"/>
      <c r="D709" s="2"/>
      <c r="E709" s="2"/>
      <c r="F709" s="2"/>
      <c r="G709" s="2"/>
      <c r="H709" s="60"/>
      <c r="I709" s="60"/>
      <c r="J709" s="2"/>
      <c r="K709" s="2"/>
      <c r="L709" s="2"/>
      <c r="M709" s="2"/>
      <c r="N709" s="2"/>
      <c r="O709" s="2"/>
      <c r="P709" s="2"/>
      <c r="Q709" s="2"/>
      <c r="R709" s="62"/>
    </row>
    <row r="710">
      <c r="A710" s="2"/>
      <c r="B710" s="62"/>
      <c r="C710" s="2"/>
      <c r="D710" s="2"/>
      <c r="E710" s="2"/>
      <c r="F710" s="2"/>
      <c r="G710" s="2"/>
      <c r="H710" s="60"/>
      <c r="I710" s="60"/>
      <c r="J710" s="2"/>
      <c r="K710" s="2"/>
      <c r="L710" s="2"/>
      <c r="M710" s="2"/>
      <c r="N710" s="2"/>
      <c r="O710" s="2"/>
      <c r="Q710" s="2"/>
      <c r="R710" s="62"/>
    </row>
    <row r="711">
      <c r="A711" s="2"/>
      <c r="B711" s="62"/>
      <c r="C711" s="2"/>
      <c r="D711" s="2"/>
      <c r="E711" s="2"/>
      <c r="F711" s="2"/>
      <c r="G711" s="2"/>
      <c r="H711" s="60"/>
      <c r="I711" s="60"/>
      <c r="J711" s="2"/>
      <c r="K711" s="2"/>
      <c r="L711" s="2"/>
      <c r="M711" s="2"/>
      <c r="N711" s="2"/>
      <c r="O711" s="2"/>
      <c r="Q711" s="2"/>
      <c r="R711" s="62"/>
    </row>
    <row r="712">
      <c r="A712" s="2"/>
      <c r="B712" s="62"/>
      <c r="C712" s="2"/>
      <c r="D712" s="2"/>
      <c r="E712" s="2"/>
      <c r="F712" s="2"/>
      <c r="G712" s="2"/>
      <c r="H712" s="60"/>
      <c r="I712" s="60"/>
      <c r="J712" s="2"/>
      <c r="K712" s="2"/>
      <c r="L712" s="2"/>
      <c r="M712" s="2"/>
      <c r="N712" s="2"/>
      <c r="O712" s="2"/>
      <c r="Q712" s="2"/>
      <c r="R712" s="62"/>
    </row>
    <row r="713">
      <c r="A713" s="2"/>
      <c r="B713" s="62"/>
      <c r="C713" s="2"/>
      <c r="D713" s="2"/>
      <c r="E713" s="2"/>
      <c r="F713" s="2"/>
      <c r="G713" s="2"/>
      <c r="H713" s="60"/>
      <c r="I713" s="60"/>
      <c r="J713" s="2"/>
      <c r="K713" s="2"/>
      <c r="L713" s="2"/>
      <c r="M713" s="2"/>
      <c r="N713" s="2"/>
      <c r="O713" s="2"/>
      <c r="P713" s="2"/>
      <c r="Q713" s="2"/>
      <c r="R713" s="62"/>
    </row>
    <row r="714">
      <c r="A714" s="2"/>
      <c r="B714" s="62"/>
      <c r="C714" s="2"/>
      <c r="D714" s="2"/>
      <c r="E714" s="2"/>
      <c r="F714" s="2"/>
      <c r="G714" s="2"/>
      <c r="H714" s="60"/>
      <c r="I714" s="60"/>
      <c r="J714" s="2"/>
      <c r="K714" s="2"/>
      <c r="L714" s="2"/>
      <c r="M714" s="2"/>
      <c r="N714" s="2"/>
      <c r="O714" s="2"/>
      <c r="Q714" s="2"/>
      <c r="R714" s="62"/>
    </row>
    <row r="715">
      <c r="A715" s="2"/>
      <c r="B715" s="62"/>
      <c r="C715" s="2"/>
      <c r="D715" s="2"/>
      <c r="E715" s="2"/>
      <c r="F715" s="2"/>
      <c r="G715" s="2"/>
      <c r="H715" s="60"/>
      <c r="I715" s="60"/>
      <c r="J715" s="2"/>
      <c r="K715" s="2"/>
      <c r="L715" s="2"/>
      <c r="M715" s="2"/>
      <c r="N715" s="2"/>
      <c r="O715" s="2"/>
      <c r="Q715" s="2"/>
      <c r="R715" s="62"/>
    </row>
    <row r="716">
      <c r="A716" s="2"/>
      <c r="B716" s="62"/>
      <c r="C716" s="2"/>
      <c r="D716" s="2"/>
      <c r="E716" s="2"/>
      <c r="F716" s="2"/>
      <c r="G716" s="2"/>
      <c r="H716" s="60"/>
      <c r="I716" s="60"/>
      <c r="J716" s="2"/>
      <c r="K716" s="2"/>
      <c r="L716" s="2"/>
      <c r="M716" s="2"/>
      <c r="N716" s="2"/>
      <c r="O716" s="2"/>
      <c r="Q716" s="2"/>
      <c r="R716" s="62"/>
    </row>
    <row r="717">
      <c r="A717" s="2"/>
      <c r="B717" s="62"/>
      <c r="C717" s="2"/>
      <c r="D717" s="2"/>
      <c r="E717" s="2"/>
      <c r="F717" s="2"/>
      <c r="G717" s="2"/>
      <c r="H717" s="60"/>
      <c r="I717" s="60"/>
      <c r="J717" s="2"/>
      <c r="K717" s="2"/>
      <c r="L717" s="2"/>
      <c r="M717" s="2"/>
      <c r="N717" s="2"/>
      <c r="O717" s="2"/>
      <c r="Q717" s="2"/>
      <c r="R717" s="62"/>
    </row>
    <row r="718">
      <c r="A718" s="2"/>
      <c r="B718" s="62"/>
      <c r="C718" s="2"/>
      <c r="D718" s="2"/>
      <c r="E718" s="2"/>
      <c r="F718" s="2"/>
      <c r="G718" s="2"/>
      <c r="H718" s="60"/>
      <c r="I718" s="60"/>
      <c r="J718" s="2"/>
      <c r="K718" s="2"/>
      <c r="L718" s="2"/>
      <c r="M718" s="2"/>
      <c r="N718" s="2"/>
      <c r="O718" s="2"/>
      <c r="Q718" s="2"/>
      <c r="R718" s="62"/>
    </row>
    <row r="719">
      <c r="A719" s="2"/>
      <c r="B719" s="62"/>
      <c r="C719" s="2"/>
      <c r="D719" s="2"/>
      <c r="E719" s="2"/>
      <c r="F719" s="2"/>
      <c r="G719" s="2"/>
      <c r="H719" s="60"/>
      <c r="I719" s="60"/>
      <c r="J719" s="2"/>
      <c r="K719" s="2"/>
      <c r="L719" s="2"/>
      <c r="M719" s="2"/>
      <c r="N719" s="2"/>
      <c r="O719" s="2"/>
      <c r="Q719" s="2"/>
      <c r="R719" s="62"/>
    </row>
    <row r="720">
      <c r="A720" s="2"/>
      <c r="B720" s="62"/>
      <c r="C720" s="2"/>
      <c r="D720" s="2"/>
      <c r="E720" s="2"/>
      <c r="F720" s="2"/>
      <c r="G720" s="2"/>
      <c r="H720" s="60"/>
      <c r="I720" s="60"/>
      <c r="J720" s="2"/>
      <c r="K720" s="2"/>
      <c r="L720" s="2"/>
      <c r="M720" s="2"/>
      <c r="N720" s="2"/>
      <c r="O720" s="2"/>
      <c r="Q720" s="2"/>
      <c r="R720" s="62"/>
    </row>
    <row r="721">
      <c r="A721" s="2"/>
      <c r="B721" s="62"/>
      <c r="C721" s="2"/>
      <c r="D721" s="2"/>
      <c r="E721" s="2"/>
      <c r="F721" s="2"/>
      <c r="G721" s="2"/>
      <c r="H721" s="60"/>
      <c r="I721" s="60"/>
      <c r="J721" s="2"/>
      <c r="K721" s="2"/>
      <c r="L721" s="2"/>
      <c r="M721" s="2"/>
      <c r="N721" s="2"/>
      <c r="O721" s="2"/>
      <c r="P721" s="2"/>
      <c r="Q721" s="2"/>
      <c r="R721" s="62"/>
    </row>
    <row r="722">
      <c r="A722" s="2"/>
      <c r="B722" s="62"/>
      <c r="C722" s="2"/>
      <c r="D722" s="2"/>
      <c r="E722" s="2"/>
      <c r="F722" s="2"/>
      <c r="G722" s="2"/>
      <c r="H722" s="60"/>
      <c r="I722" s="60"/>
      <c r="J722" s="2"/>
      <c r="K722" s="2"/>
      <c r="L722" s="2"/>
      <c r="M722" s="2"/>
      <c r="N722" s="2"/>
      <c r="O722" s="2"/>
      <c r="P722" s="2"/>
      <c r="Q722" s="2"/>
      <c r="R722" s="62"/>
    </row>
    <row r="723">
      <c r="A723" s="2"/>
      <c r="B723" s="62"/>
      <c r="C723" s="2"/>
      <c r="D723" s="2"/>
      <c r="E723" s="2"/>
      <c r="F723" s="2"/>
      <c r="G723" s="2"/>
      <c r="H723" s="60"/>
      <c r="I723" s="60"/>
      <c r="J723" s="2"/>
      <c r="K723" s="2"/>
      <c r="L723" s="2"/>
      <c r="M723" s="2"/>
      <c r="N723" s="2"/>
      <c r="O723" s="2"/>
      <c r="Q723" s="2"/>
      <c r="R723" s="62"/>
    </row>
    <row r="724">
      <c r="A724" s="2"/>
      <c r="B724" s="62"/>
      <c r="C724" s="2"/>
      <c r="D724" s="2"/>
      <c r="E724" s="2"/>
      <c r="F724" s="2"/>
      <c r="G724" s="2"/>
      <c r="H724" s="60"/>
      <c r="I724" s="60"/>
      <c r="J724" s="2"/>
      <c r="K724" s="2"/>
      <c r="L724" s="2"/>
      <c r="M724" s="2"/>
      <c r="N724" s="2"/>
      <c r="O724" s="2"/>
      <c r="P724" s="2"/>
      <c r="Q724" s="2"/>
      <c r="R724" s="62"/>
    </row>
    <row r="725">
      <c r="A725" s="2"/>
      <c r="B725" s="62"/>
      <c r="C725" s="2"/>
      <c r="D725" s="2"/>
      <c r="E725" s="2"/>
      <c r="F725" s="2"/>
      <c r="G725" s="2"/>
      <c r="H725" s="60"/>
      <c r="I725" s="60"/>
      <c r="J725" s="2"/>
      <c r="K725" s="2"/>
      <c r="L725" s="2"/>
      <c r="M725" s="2"/>
      <c r="N725" s="2"/>
      <c r="O725" s="2"/>
      <c r="Q725" s="2"/>
      <c r="R725" s="62"/>
    </row>
    <row r="726">
      <c r="A726" s="2"/>
      <c r="B726" s="62"/>
      <c r="C726" s="2"/>
      <c r="D726" s="2"/>
      <c r="E726" s="2"/>
      <c r="F726" s="2"/>
      <c r="G726" s="2"/>
      <c r="H726" s="60"/>
      <c r="I726" s="60"/>
      <c r="J726" s="2"/>
      <c r="K726" s="2"/>
      <c r="L726" s="2"/>
      <c r="M726" s="2"/>
      <c r="N726" s="2"/>
      <c r="O726" s="2"/>
      <c r="Q726" s="2"/>
      <c r="R726" s="62"/>
    </row>
    <row r="727">
      <c r="A727" s="2"/>
      <c r="B727" s="62"/>
      <c r="C727" s="2"/>
      <c r="D727" s="2"/>
      <c r="E727" s="2"/>
      <c r="F727" s="2"/>
      <c r="G727" s="2"/>
      <c r="H727" s="60"/>
      <c r="I727" s="60"/>
      <c r="J727" s="2"/>
      <c r="K727" s="2"/>
      <c r="L727" s="2"/>
      <c r="M727" s="2"/>
      <c r="N727" s="2"/>
      <c r="O727" s="2"/>
      <c r="Q727" s="2"/>
      <c r="R727" s="62"/>
    </row>
    <row r="728">
      <c r="A728" s="2"/>
      <c r="B728" s="62"/>
      <c r="C728" s="2"/>
      <c r="D728" s="2"/>
      <c r="E728" s="2"/>
      <c r="F728" s="2"/>
      <c r="G728" s="2"/>
      <c r="H728" s="60"/>
      <c r="I728" s="60"/>
      <c r="J728" s="2"/>
      <c r="K728" s="2"/>
      <c r="L728" s="2"/>
      <c r="M728" s="2"/>
      <c r="N728" s="2"/>
      <c r="O728" s="2"/>
      <c r="Q728" s="2"/>
      <c r="R728" s="62"/>
    </row>
    <row r="729">
      <c r="A729" s="2"/>
      <c r="B729" s="62"/>
      <c r="C729" s="2"/>
      <c r="D729" s="2"/>
      <c r="E729" s="2"/>
      <c r="F729" s="2"/>
      <c r="G729" s="2"/>
      <c r="H729" s="60"/>
      <c r="I729" s="60"/>
      <c r="J729" s="2"/>
      <c r="K729" s="2"/>
      <c r="L729" s="2"/>
      <c r="M729" s="2"/>
      <c r="N729" s="2"/>
      <c r="O729" s="2"/>
      <c r="Q729" s="2"/>
      <c r="R729" s="62"/>
    </row>
    <row r="730">
      <c r="A730" s="2"/>
      <c r="B730" s="62"/>
      <c r="C730" s="2"/>
      <c r="D730" s="2"/>
      <c r="E730" s="2"/>
      <c r="F730" s="2"/>
      <c r="G730" s="2"/>
      <c r="H730" s="60"/>
      <c r="I730" s="60"/>
      <c r="J730" s="2"/>
      <c r="K730" s="2"/>
      <c r="L730" s="2"/>
      <c r="M730" s="2"/>
      <c r="N730" s="2"/>
      <c r="O730" s="2"/>
      <c r="P730" s="2"/>
      <c r="Q730" s="2"/>
      <c r="R730" s="62"/>
    </row>
    <row r="731">
      <c r="A731" s="2"/>
      <c r="B731" s="62"/>
      <c r="C731" s="2"/>
      <c r="D731" s="2"/>
      <c r="E731" s="2"/>
      <c r="F731" s="2"/>
      <c r="G731" s="2"/>
      <c r="H731" s="60"/>
      <c r="I731" s="60"/>
      <c r="J731" s="2"/>
      <c r="K731" s="2"/>
      <c r="L731" s="2"/>
      <c r="M731" s="2"/>
      <c r="N731" s="2"/>
      <c r="O731" s="2"/>
      <c r="Q731" s="2"/>
      <c r="R731" s="62"/>
    </row>
    <row r="732">
      <c r="A732" s="2"/>
      <c r="B732" s="62"/>
      <c r="C732" s="2"/>
      <c r="D732" s="2"/>
      <c r="E732" s="2"/>
      <c r="F732" s="2"/>
      <c r="G732" s="2"/>
      <c r="H732" s="60"/>
      <c r="I732" s="60"/>
      <c r="J732" s="2"/>
      <c r="K732" s="2"/>
      <c r="L732" s="2"/>
      <c r="M732" s="2"/>
      <c r="N732" s="2"/>
      <c r="O732" s="2"/>
      <c r="P732" s="2"/>
      <c r="Q732" s="2"/>
      <c r="R732" s="62"/>
    </row>
    <row r="733">
      <c r="A733" s="2"/>
      <c r="B733" s="62"/>
      <c r="C733" s="2"/>
      <c r="D733" s="2"/>
      <c r="E733" s="2"/>
      <c r="F733" s="2"/>
      <c r="G733" s="2"/>
      <c r="H733" s="60"/>
      <c r="I733" s="60"/>
      <c r="J733" s="2"/>
      <c r="K733" s="2"/>
      <c r="L733" s="2"/>
      <c r="M733" s="2"/>
      <c r="N733" s="2"/>
      <c r="O733" s="2"/>
      <c r="P733" s="2"/>
      <c r="Q733" s="2"/>
      <c r="R733" s="62"/>
    </row>
    <row r="734">
      <c r="A734" s="2"/>
      <c r="B734" s="62"/>
      <c r="C734" s="2"/>
      <c r="D734" s="2"/>
      <c r="E734" s="2"/>
      <c r="F734" s="2"/>
      <c r="G734" s="2"/>
      <c r="H734" s="60"/>
      <c r="I734" s="60"/>
      <c r="J734" s="2"/>
      <c r="K734" s="2"/>
      <c r="L734" s="2"/>
      <c r="M734" s="2"/>
      <c r="N734" s="2"/>
      <c r="O734" s="2"/>
      <c r="Q734" s="2"/>
      <c r="R734" s="62"/>
    </row>
    <row r="735">
      <c r="A735" s="2"/>
      <c r="B735" s="62"/>
      <c r="C735" s="2"/>
      <c r="D735" s="2"/>
      <c r="E735" s="2"/>
      <c r="F735" s="2"/>
      <c r="G735" s="2"/>
      <c r="H735" s="60"/>
      <c r="I735" s="60"/>
      <c r="J735" s="2"/>
      <c r="K735" s="2"/>
      <c r="L735" s="2"/>
      <c r="M735" s="2"/>
      <c r="N735" s="2"/>
      <c r="O735" s="2"/>
      <c r="Q735" s="2"/>
      <c r="R735" s="62"/>
    </row>
    <row r="736">
      <c r="A736" s="2"/>
      <c r="B736" s="62"/>
      <c r="C736" s="2"/>
      <c r="D736" s="2"/>
      <c r="E736" s="2"/>
      <c r="F736" s="2"/>
      <c r="G736" s="2"/>
      <c r="H736" s="60"/>
      <c r="I736" s="60"/>
      <c r="J736" s="2"/>
      <c r="K736" s="2"/>
      <c r="L736" s="2"/>
      <c r="M736" s="2"/>
      <c r="N736" s="2"/>
      <c r="O736" s="2"/>
      <c r="Q736" s="2"/>
      <c r="R736" s="62"/>
    </row>
    <row r="737">
      <c r="A737" s="2"/>
      <c r="B737" s="62"/>
      <c r="C737" s="2"/>
      <c r="D737" s="2"/>
      <c r="E737" s="2"/>
      <c r="F737" s="2"/>
      <c r="G737" s="2"/>
      <c r="H737" s="60"/>
      <c r="I737" s="60"/>
      <c r="J737" s="2"/>
      <c r="K737" s="2"/>
      <c r="L737" s="2"/>
      <c r="M737" s="2"/>
      <c r="N737" s="2"/>
      <c r="O737" s="2"/>
      <c r="Q737" s="2"/>
      <c r="R737" s="62"/>
    </row>
    <row r="738">
      <c r="A738" s="2"/>
      <c r="B738" s="62"/>
      <c r="C738" s="2"/>
      <c r="D738" s="2"/>
      <c r="E738" s="2"/>
      <c r="F738" s="2"/>
      <c r="G738" s="2"/>
      <c r="H738" s="60"/>
      <c r="I738" s="60"/>
      <c r="J738" s="2"/>
      <c r="K738" s="2"/>
      <c r="L738" s="2"/>
      <c r="M738" s="2"/>
      <c r="N738" s="2"/>
      <c r="O738" s="2"/>
      <c r="P738" s="2"/>
      <c r="Q738" s="2"/>
      <c r="R738" s="62"/>
    </row>
    <row r="739">
      <c r="A739" s="2"/>
      <c r="B739" s="62"/>
      <c r="C739" s="2"/>
      <c r="D739" s="2"/>
      <c r="E739" s="2"/>
      <c r="F739" s="2"/>
      <c r="G739" s="2"/>
      <c r="H739" s="60"/>
      <c r="I739" s="60"/>
      <c r="J739" s="2"/>
      <c r="K739" s="2"/>
      <c r="L739" s="2"/>
      <c r="M739" s="2"/>
      <c r="N739" s="2"/>
      <c r="O739" s="2"/>
      <c r="P739" s="2"/>
      <c r="Q739" s="2"/>
      <c r="R739" s="62"/>
    </row>
    <row r="740">
      <c r="A740" s="2"/>
      <c r="B740" s="62"/>
      <c r="C740" s="2"/>
      <c r="D740" s="2"/>
      <c r="E740" s="2"/>
      <c r="F740" s="2"/>
      <c r="G740" s="2"/>
      <c r="H740" s="60"/>
      <c r="I740" s="60"/>
      <c r="J740" s="2"/>
      <c r="K740" s="2"/>
      <c r="L740" s="2"/>
      <c r="M740" s="2"/>
      <c r="N740" s="2"/>
      <c r="O740" s="2"/>
      <c r="P740" s="2"/>
      <c r="Q740" s="2"/>
      <c r="R740" s="62"/>
    </row>
    <row r="741">
      <c r="A741" s="2"/>
      <c r="B741" s="62"/>
      <c r="C741" s="2"/>
      <c r="D741" s="2"/>
      <c r="E741" s="2"/>
      <c r="F741" s="2"/>
      <c r="G741" s="2"/>
      <c r="H741" s="60"/>
      <c r="I741" s="60"/>
      <c r="J741" s="2"/>
      <c r="K741" s="2"/>
      <c r="L741" s="2"/>
      <c r="M741" s="2"/>
      <c r="N741" s="2"/>
      <c r="O741" s="2"/>
      <c r="Q741" s="2"/>
      <c r="R741" s="62"/>
    </row>
    <row r="742">
      <c r="A742" s="2"/>
      <c r="B742" s="62"/>
      <c r="C742" s="2"/>
      <c r="D742" s="2"/>
      <c r="E742" s="2"/>
      <c r="F742" s="2"/>
      <c r="G742" s="2"/>
      <c r="H742" s="60"/>
      <c r="I742" s="60"/>
      <c r="J742" s="2"/>
      <c r="K742" s="2"/>
      <c r="L742" s="2"/>
      <c r="M742" s="2"/>
      <c r="N742" s="2"/>
      <c r="O742" s="2"/>
      <c r="Q742" s="2"/>
      <c r="R742" s="62"/>
    </row>
    <row r="743">
      <c r="A743" s="2"/>
      <c r="B743" s="62"/>
      <c r="C743" s="2"/>
      <c r="D743" s="2"/>
      <c r="E743" s="2"/>
      <c r="F743" s="2"/>
      <c r="G743" s="2"/>
      <c r="H743" s="60"/>
      <c r="I743" s="60"/>
      <c r="J743" s="2"/>
      <c r="K743" s="2"/>
      <c r="L743" s="2"/>
      <c r="M743" s="2"/>
      <c r="N743" s="2"/>
      <c r="O743" s="2"/>
      <c r="P743" s="2"/>
      <c r="Q743" s="2"/>
      <c r="R743" s="62"/>
    </row>
    <row r="744">
      <c r="A744" s="2"/>
      <c r="B744" s="62"/>
      <c r="C744" s="2"/>
      <c r="D744" s="2"/>
      <c r="E744" s="2"/>
      <c r="F744" s="2"/>
      <c r="G744" s="2"/>
      <c r="H744" s="60"/>
      <c r="I744" s="60"/>
      <c r="J744" s="2"/>
      <c r="K744" s="2"/>
      <c r="L744" s="2"/>
      <c r="M744" s="2"/>
      <c r="N744" s="2"/>
      <c r="O744" s="2"/>
      <c r="Q744" s="2"/>
      <c r="R744" s="62"/>
    </row>
    <row r="745">
      <c r="A745" s="2"/>
      <c r="B745" s="62"/>
      <c r="C745" s="2"/>
      <c r="D745" s="2"/>
      <c r="E745" s="2"/>
      <c r="F745" s="2"/>
      <c r="G745" s="2"/>
      <c r="H745" s="60"/>
      <c r="I745" s="60"/>
      <c r="J745" s="2"/>
      <c r="K745" s="2"/>
      <c r="L745" s="2"/>
      <c r="M745" s="2"/>
      <c r="N745" s="2"/>
      <c r="O745" s="2"/>
      <c r="P745" s="2"/>
      <c r="Q745" s="2"/>
      <c r="R745" s="62"/>
    </row>
    <row r="746">
      <c r="A746" s="2"/>
      <c r="B746" s="62"/>
      <c r="C746" s="2"/>
      <c r="D746" s="2"/>
      <c r="E746" s="2"/>
      <c r="F746" s="2"/>
      <c r="G746" s="2"/>
      <c r="H746" s="60"/>
      <c r="I746" s="60"/>
      <c r="J746" s="2"/>
      <c r="K746" s="2"/>
      <c r="L746" s="2"/>
      <c r="M746" s="2"/>
      <c r="N746" s="2"/>
      <c r="O746" s="2"/>
      <c r="Q746" s="2"/>
      <c r="R746" s="62"/>
    </row>
    <row r="747">
      <c r="A747" s="2"/>
      <c r="B747" s="62"/>
      <c r="C747" s="2"/>
      <c r="D747" s="2"/>
      <c r="E747" s="2"/>
      <c r="F747" s="2"/>
      <c r="G747" s="2"/>
      <c r="H747" s="60"/>
      <c r="I747" s="60"/>
      <c r="J747" s="2"/>
      <c r="K747" s="2"/>
      <c r="L747" s="2"/>
      <c r="M747" s="2"/>
      <c r="N747" s="2"/>
      <c r="O747" s="2"/>
      <c r="Q747" s="2"/>
      <c r="R747" s="62"/>
    </row>
    <row r="748">
      <c r="A748" s="2"/>
      <c r="B748" s="62"/>
      <c r="C748" s="2"/>
      <c r="D748" s="2"/>
      <c r="E748" s="2"/>
      <c r="F748" s="2"/>
      <c r="G748" s="2"/>
      <c r="H748" s="60"/>
      <c r="I748" s="60"/>
      <c r="J748" s="2"/>
      <c r="K748" s="2"/>
      <c r="L748" s="2"/>
      <c r="M748" s="2"/>
      <c r="N748" s="2"/>
      <c r="O748" s="2"/>
      <c r="Q748" s="2"/>
      <c r="R748" s="62"/>
    </row>
    <row r="749">
      <c r="A749" s="2"/>
      <c r="B749" s="62"/>
      <c r="C749" s="2"/>
      <c r="D749" s="2"/>
      <c r="E749" s="2"/>
      <c r="F749" s="2"/>
      <c r="G749" s="2"/>
      <c r="H749" s="60"/>
      <c r="I749" s="60"/>
      <c r="J749" s="2"/>
      <c r="K749" s="2"/>
      <c r="L749" s="2"/>
      <c r="M749" s="2"/>
      <c r="N749" s="2"/>
      <c r="O749" s="2"/>
      <c r="P749" s="2"/>
      <c r="Q749" s="2"/>
      <c r="R749" s="62"/>
    </row>
    <row r="750">
      <c r="A750" s="2"/>
      <c r="B750" s="62"/>
      <c r="C750" s="2"/>
      <c r="D750" s="2"/>
      <c r="E750" s="2"/>
      <c r="F750" s="2"/>
      <c r="G750" s="2"/>
      <c r="H750" s="60"/>
      <c r="I750" s="60"/>
      <c r="J750" s="2"/>
      <c r="K750" s="2"/>
      <c r="L750" s="2"/>
      <c r="M750" s="2"/>
      <c r="N750" s="2"/>
      <c r="O750" s="2"/>
      <c r="Q750" s="2"/>
      <c r="R750" s="62"/>
    </row>
    <row r="751">
      <c r="A751" s="2"/>
      <c r="B751" s="62"/>
      <c r="C751" s="2"/>
      <c r="D751" s="2"/>
      <c r="E751" s="2"/>
      <c r="F751" s="2"/>
      <c r="G751" s="2"/>
      <c r="H751" s="60"/>
      <c r="I751" s="60"/>
      <c r="J751" s="2"/>
      <c r="K751" s="2"/>
      <c r="L751" s="2"/>
      <c r="M751" s="2"/>
      <c r="N751" s="2"/>
      <c r="O751" s="2"/>
      <c r="Q751" s="2"/>
      <c r="R751" s="62"/>
    </row>
    <row r="752">
      <c r="A752" s="2"/>
      <c r="B752" s="62"/>
      <c r="C752" s="2"/>
      <c r="D752" s="2"/>
      <c r="E752" s="2"/>
      <c r="F752" s="2"/>
      <c r="G752" s="2"/>
      <c r="H752" s="60"/>
      <c r="I752" s="60"/>
      <c r="J752" s="2"/>
      <c r="K752" s="2"/>
      <c r="L752" s="2"/>
      <c r="M752" s="2"/>
      <c r="N752" s="2"/>
      <c r="O752" s="2"/>
      <c r="Q752" s="2"/>
      <c r="R752" s="62"/>
    </row>
    <row r="753">
      <c r="A753" s="2"/>
      <c r="B753" s="62"/>
      <c r="C753" s="2"/>
      <c r="D753" s="2"/>
      <c r="E753" s="2"/>
      <c r="F753" s="2"/>
      <c r="G753" s="2"/>
      <c r="H753" s="60"/>
      <c r="I753" s="60"/>
      <c r="J753" s="2"/>
      <c r="K753" s="2"/>
      <c r="L753" s="2"/>
      <c r="M753" s="2"/>
      <c r="N753" s="2"/>
      <c r="O753" s="2"/>
      <c r="Q753" s="2"/>
      <c r="R753" s="62"/>
    </row>
    <row r="754">
      <c r="A754" s="2"/>
      <c r="B754" s="62"/>
      <c r="C754" s="2"/>
      <c r="D754" s="2"/>
      <c r="E754" s="2"/>
      <c r="F754" s="2"/>
      <c r="G754" s="2"/>
      <c r="H754" s="60"/>
      <c r="I754" s="60"/>
      <c r="J754" s="2"/>
      <c r="K754" s="2"/>
      <c r="L754" s="2"/>
      <c r="M754" s="2"/>
      <c r="N754" s="2"/>
      <c r="O754" s="2"/>
      <c r="Q754" s="2"/>
      <c r="R754" s="62"/>
    </row>
    <row r="755">
      <c r="A755" s="2"/>
      <c r="B755" s="62"/>
      <c r="C755" s="2"/>
      <c r="D755" s="2"/>
      <c r="E755" s="2"/>
      <c r="F755" s="2"/>
      <c r="G755" s="2"/>
      <c r="H755" s="60"/>
      <c r="I755" s="60"/>
      <c r="J755" s="2"/>
      <c r="K755" s="2"/>
      <c r="L755" s="2"/>
      <c r="M755" s="2"/>
      <c r="N755" s="2"/>
      <c r="O755" s="2"/>
      <c r="Q755" s="2"/>
      <c r="R755" s="62"/>
    </row>
    <row r="756">
      <c r="A756" s="2"/>
      <c r="B756" s="62"/>
      <c r="C756" s="2"/>
      <c r="D756" s="2"/>
      <c r="E756" s="2"/>
      <c r="F756" s="2"/>
      <c r="G756" s="2"/>
      <c r="H756" s="60"/>
      <c r="I756" s="60"/>
      <c r="J756" s="2"/>
      <c r="K756" s="2"/>
      <c r="L756" s="2"/>
      <c r="M756" s="2"/>
      <c r="N756" s="2"/>
      <c r="O756" s="2"/>
      <c r="Q756" s="2"/>
      <c r="R756" s="62"/>
    </row>
    <row r="757">
      <c r="A757" s="2"/>
      <c r="B757" s="62"/>
      <c r="C757" s="2"/>
      <c r="D757" s="2"/>
      <c r="E757" s="2"/>
      <c r="F757" s="2"/>
      <c r="G757" s="2"/>
      <c r="H757" s="60"/>
      <c r="I757" s="60"/>
      <c r="J757" s="2"/>
      <c r="K757" s="2"/>
      <c r="L757" s="2"/>
      <c r="M757" s="2"/>
      <c r="N757" s="2"/>
      <c r="O757" s="2"/>
      <c r="Q757" s="2"/>
      <c r="R757" s="62"/>
    </row>
    <row r="758">
      <c r="A758" s="2"/>
      <c r="B758" s="62"/>
      <c r="C758" s="2"/>
      <c r="D758" s="2"/>
      <c r="E758" s="2"/>
      <c r="F758" s="2"/>
      <c r="G758" s="2"/>
      <c r="H758" s="60"/>
      <c r="I758" s="60"/>
      <c r="J758" s="2"/>
      <c r="K758" s="2"/>
      <c r="L758" s="2"/>
      <c r="M758" s="2"/>
      <c r="N758" s="2"/>
      <c r="O758" s="2"/>
      <c r="Q758" s="2"/>
      <c r="R758" s="62"/>
    </row>
    <row r="759">
      <c r="A759" s="2"/>
      <c r="B759" s="62"/>
      <c r="C759" s="2"/>
      <c r="D759" s="2"/>
      <c r="E759" s="2"/>
      <c r="F759" s="2"/>
      <c r="G759" s="2"/>
      <c r="H759" s="60"/>
      <c r="I759" s="60"/>
      <c r="J759" s="2"/>
      <c r="K759" s="2"/>
      <c r="L759" s="2"/>
      <c r="M759" s="2"/>
      <c r="N759" s="2"/>
      <c r="O759" s="2"/>
      <c r="Q759" s="2"/>
      <c r="R759" s="62"/>
    </row>
    <row r="760">
      <c r="A760" s="2"/>
      <c r="B760" s="62"/>
      <c r="C760" s="2"/>
      <c r="D760" s="2"/>
      <c r="E760" s="2"/>
      <c r="F760" s="2"/>
      <c r="G760" s="2"/>
      <c r="H760" s="60"/>
      <c r="I760" s="60"/>
      <c r="J760" s="2"/>
      <c r="K760" s="2"/>
      <c r="L760" s="2"/>
      <c r="M760" s="2"/>
      <c r="N760" s="2"/>
      <c r="O760" s="2"/>
      <c r="P760" s="2"/>
      <c r="Q760" s="2"/>
      <c r="R760" s="62"/>
    </row>
    <row r="761">
      <c r="A761" s="2"/>
      <c r="B761" s="62"/>
      <c r="C761" s="2"/>
      <c r="D761" s="2"/>
      <c r="E761" s="2"/>
      <c r="F761" s="2"/>
      <c r="G761" s="2"/>
      <c r="H761" s="60"/>
      <c r="I761" s="60"/>
      <c r="J761" s="2"/>
      <c r="K761" s="2"/>
      <c r="L761" s="2"/>
      <c r="M761" s="2"/>
      <c r="N761" s="2"/>
      <c r="O761" s="2"/>
      <c r="Q761" s="2"/>
      <c r="R761" s="62"/>
    </row>
    <row r="762">
      <c r="A762" s="2"/>
      <c r="B762" s="62"/>
      <c r="C762" s="2"/>
      <c r="D762" s="2"/>
      <c r="E762" s="2"/>
      <c r="F762" s="2"/>
      <c r="G762" s="2"/>
      <c r="H762" s="60"/>
      <c r="I762" s="60"/>
      <c r="J762" s="2"/>
      <c r="K762" s="2"/>
      <c r="L762" s="2"/>
      <c r="M762" s="2"/>
      <c r="N762" s="2"/>
      <c r="O762" s="2"/>
      <c r="P762" s="2"/>
      <c r="Q762" s="2"/>
      <c r="R762" s="62"/>
    </row>
    <row r="763">
      <c r="A763" s="2"/>
      <c r="B763" s="62"/>
      <c r="C763" s="2"/>
      <c r="D763" s="2"/>
      <c r="E763" s="2"/>
      <c r="F763" s="2"/>
      <c r="G763" s="2"/>
      <c r="H763" s="60"/>
      <c r="I763" s="60"/>
      <c r="J763" s="2"/>
      <c r="K763" s="2"/>
      <c r="L763" s="2"/>
      <c r="M763" s="2"/>
      <c r="N763" s="2"/>
      <c r="O763" s="2"/>
      <c r="Q763" s="2"/>
      <c r="R763" s="62"/>
    </row>
    <row r="764">
      <c r="A764" s="2"/>
      <c r="B764" s="62"/>
      <c r="C764" s="2"/>
      <c r="D764" s="2"/>
      <c r="E764" s="2"/>
      <c r="F764" s="2"/>
      <c r="G764" s="2"/>
      <c r="H764" s="60"/>
      <c r="I764" s="60"/>
      <c r="J764" s="2"/>
      <c r="K764" s="2"/>
      <c r="L764" s="2"/>
      <c r="M764" s="2"/>
      <c r="N764" s="2"/>
      <c r="O764" s="2"/>
      <c r="Q764" s="2"/>
      <c r="R764" s="62"/>
    </row>
    <row r="765">
      <c r="A765" s="2"/>
      <c r="B765" s="62"/>
      <c r="C765" s="2"/>
      <c r="D765" s="2"/>
      <c r="E765" s="2"/>
      <c r="F765" s="2"/>
      <c r="G765" s="2"/>
      <c r="H765" s="60"/>
      <c r="I765" s="60"/>
      <c r="J765" s="2"/>
      <c r="K765" s="2"/>
      <c r="L765" s="2"/>
      <c r="M765" s="2"/>
      <c r="N765" s="2"/>
      <c r="O765" s="2"/>
      <c r="Q765" s="2"/>
      <c r="R765" s="62"/>
    </row>
    <row r="766">
      <c r="A766" s="2"/>
      <c r="B766" s="62"/>
      <c r="C766" s="2"/>
      <c r="D766" s="2"/>
      <c r="E766" s="2"/>
      <c r="F766" s="2"/>
      <c r="G766" s="2"/>
      <c r="H766" s="60"/>
      <c r="I766" s="60"/>
      <c r="J766" s="2"/>
      <c r="K766" s="2"/>
      <c r="L766" s="2"/>
      <c r="M766" s="2"/>
      <c r="N766" s="2"/>
      <c r="O766" s="2"/>
      <c r="Q766" s="2"/>
      <c r="R766" s="62"/>
    </row>
    <row r="767">
      <c r="A767" s="2"/>
      <c r="B767" s="62"/>
      <c r="C767" s="2"/>
      <c r="D767" s="2"/>
      <c r="E767" s="2"/>
      <c r="F767" s="2"/>
      <c r="G767" s="2"/>
      <c r="H767" s="60"/>
      <c r="I767" s="60"/>
      <c r="J767" s="2"/>
      <c r="K767" s="2"/>
      <c r="L767" s="2"/>
      <c r="M767" s="2"/>
      <c r="N767" s="2"/>
      <c r="O767" s="2"/>
      <c r="P767" s="2"/>
      <c r="Q767" s="2"/>
      <c r="R767" s="62"/>
    </row>
    <row r="768">
      <c r="A768" s="2"/>
      <c r="B768" s="62"/>
      <c r="C768" s="2"/>
      <c r="D768" s="2"/>
      <c r="E768" s="2"/>
      <c r="F768" s="2"/>
      <c r="G768" s="2"/>
      <c r="H768" s="60"/>
      <c r="I768" s="60"/>
      <c r="J768" s="2"/>
      <c r="K768" s="2"/>
      <c r="L768" s="2"/>
      <c r="M768" s="2"/>
      <c r="N768" s="2"/>
      <c r="O768" s="2"/>
      <c r="Q768" s="2"/>
      <c r="R768" s="62"/>
    </row>
    <row r="769">
      <c r="A769" s="2"/>
      <c r="B769" s="62"/>
      <c r="C769" s="2"/>
      <c r="D769" s="2"/>
      <c r="E769" s="2"/>
      <c r="F769" s="2"/>
      <c r="G769" s="2"/>
      <c r="H769" s="60"/>
      <c r="I769" s="60"/>
      <c r="J769" s="2"/>
      <c r="K769" s="2"/>
      <c r="L769" s="2"/>
      <c r="M769" s="2"/>
      <c r="N769" s="2"/>
      <c r="O769" s="2"/>
      <c r="Q769" s="2"/>
      <c r="R769" s="62"/>
    </row>
    <row r="770">
      <c r="A770" s="2"/>
      <c r="B770" s="62"/>
      <c r="C770" s="2"/>
      <c r="D770" s="2"/>
      <c r="E770" s="2"/>
      <c r="F770" s="2"/>
      <c r="G770" s="2"/>
      <c r="H770" s="60"/>
      <c r="I770" s="60"/>
      <c r="J770" s="2"/>
      <c r="K770" s="2"/>
      <c r="L770" s="2"/>
      <c r="M770" s="2"/>
      <c r="N770" s="2"/>
      <c r="O770" s="2"/>
      <c r="Q770" s="2"/>
      <c r="R770" s="62"/>
    </row>
    <row r="771">
      <c r="A771" s="2"/>
      <c r="B771" s="62"/>
      <c r="C771" s="2"/>
      <c r="D771" s="2"/>
      <c r="E771" s="2"/>
      <c r="F771" s="2"/>
      <c r="G771" s="2"/>
      <c r="H771" s="60"/>
      <c r="I771" s="60"/>
      <c r="J771" s="2"/>
      <c r="K771" s="2"/>
      <c r="L771" s="2"/>
      <c r="M771" s="2"/>
      <c r="N771" s="2"/>
      <c r="O771" s="2"/>
      <c r="Q771" s="2"/>
      <c r="R771" s="62"/>
    </row>
    <row r="772">
      <c r="A772" s="2"/>
      <c r="B772" s="62"/>
      <c r="C772" s="2"/>
      <c r="D772" s="2"/>
      <c r="E772" s="2"/>
      <c r="F772" s="2"/>
      <c r="G772" s="2"/>
      <c r="H772" s="60"/>
      <c r="I772" s="60"/>
      <c r="J772" s="2"/>
      <c r="K772" s="2"/>
      <c r="L772" s="2"/>
      <c r="M772" s="2"/>
      <c r="N772" s="2"/>
      <c r="O772" s="2"/>
      <c r="Q772" s="2"/>
      <c r="R772" s="62"/>
    </row>
    <row r="773">
      <c r="A773" s="2"/>
      <c r="B773" s="62"/>
      <c r="C773" s="2"/>
      <c r="D773" s="2"/>
      <c r="E773" s="2"/>
      <c r="F773" s="2"/>
      <c r="G773" s="2"/>
      <c r="H773" s="60"/>
      <c r="I773" s="60"/>
      <c r="J773" s="2"/>
      <c r="K773" s="2"/>
      <c r="L773" s="2"/>
      <c r="M773" s="2"/>
      <c r="N773" s="2"/>
      <c r="O773" s="2"/>
      <c r="P773" s="2"/>
      <c r="Q773" s="2"/>
      <c r="R773" s="62"/>
    </row>
    <row r="774">
      <c r="A774" s="2"/>
      <c r="B774" s="62"/>
      <c r="C774" s="2"/>
      <c r="D774" s="2"/>
      <c r="E774" s="2"/>
      <c r="F774" s="2"/>
      <c r="G774" s="2"/>
      <c r="H774" s="60"/>
      <c r="I774" s="60"/>
      <c r="J774" s="2"/>
      <c r="K774" s="2"/>
      <c r="L774" s="2"/>
      <c r="M774" s="2"/>
      <c r="N774" s="2"/>
      <c r="O774" s="2"/>
      <c r="P774" s="2"/>
      <c r="Q774" s="2"/>
      <c r="R774" s="62"/>
    </row>
    <row r="775">
      <c r="A775" s="2"/>
      <c r="B775" s="62"/>
      <c r="C775" s="2"/>
      <c r="D775" s="2"/>
      <c r="E775" s="2"/>
      <c r="F775" s="2"/>
      <c r="G775" s="2"/>
      <c r="H775" s="60"/>
      <c r="I775" s="60"/>
      <c r="J775" s="2"/>
      <c r="K775" s="2"/>
      <c r="L775" s="2"/>
      <c r="M775" s="2"/>
      <c r="N775" s="2"/>
      <c r="O775" s="2"/>
      <c r="Q775" s="2"/>
      <c r="R775" s="62"/>
    </row>
    <row r="776">
      <c r="A776" s="2"/>
      <c r="B776" s="62"/>
      <c r="C776" s="2"/>
      <c r="D776" s="2"/>
      <c r="E776" s="2"/>
      <c r="F776" s="2"/>
      <c r="G776" s="2"/>
      <c r="H776" s="60"/>
      <c r="I776" s="60"/>
      <c r="J776" s="2"/>
      <c r="K776" s="2"/>
      <c r="L776" s="2"/>
      <c r="M776" s="2"/>
      <c r="N776" s="2"/>
      <c r="O776" s="2"/>
      <c r="Q776" s="2"/>
      <c r="R776" s="62"/>
    </row>
    <row r="777">
      <c r="A777" s="2"/>
      <c r="B777" s="62"/>
      <c r="C777" s="2"/>
      <c r="D777" s="2"/>
      <c r="E777" s="2"/>
      <c r="F777" s="2"/>
      <c r="G777" s="2"/>
      <c r="H777" s="60"/>
      <c r="I777" s="60"/>
      <c r="J777" s="2"/>
      <c r="K777" s="2"/>
      <c r="L777" s="2"/>
      <c r="M777" s="2"/>
      <c r="N777" s="2"/>
      <c r="O777" s="2"/>
      <c r="Q777" s="2"/>
      <c r="R777" s="62"/>
    </row>
    <row r="778">
      <c r="A778" s="2"/>
      <c r="B778" s="62"/>
      <c r="C778" s="2"/>
      <c r="D778" s="2"/>
      <c r="E778" s="2"/>
      <c r="F778" s="2"/>
      <c r="G778" s="2"/>
      <c r="H778" s="60"/>
      <c r="I778" s="60"/>
      <c r="J778" s="2"/>
      <c r="K778" s="2"/>
      <c r="L778" s="2"/>
      <c r="M778" s="2"/>
      <c r="N778" s="2"/>
      <c r="O778" s="2"/>
      <c r="Q778" s="2"/>
      <c r="R778" s="62"/>
    </row>
    <row r="779">
      <c r="A779" s="2"/>
      <c r="B779" s="62"/>
      <c r="C779" s="2"/>
      <c r="D779" s="2"/>
      <c r="E779" s="2"/>
      <c r="F779" s="2"/>
      <c r="G779" s="2"/>
      <c r="H779" s="60"/>
      <c r="I779" s="60"/>
      <c r="J779" s="2"/>
      <c r="K779" s="2"/>
      <c r="L779" s="2"/>
      <c r="M779" s="2"/>
      <c r="N779" s="2"/>
      <c r="O779" s="2"/>
      <c r="Q779" s="2"/>
      <c r="R779" s="62"/>
    </row>
    <row r="780">
      <c r="A780" s="2"/>
      <c r="B780" s="62"/>
      <c r="C780" s="2"/>
      <c r="D780" s="2"/>
      <c r="E780" s="2"/>
      <c r="F780" s="2"/>
      <c r="G780" s="2"/>
      <c r="H780" s="60"/>
      <c r="I780" s="60"/>
      <c r="J780" s="2"/>
      <c r="K780" s="2"/>
      <c r="L780" s="2"/>
      <c r="M780" s="2"/>
      <c r="N780" s="2"/>
      <c r="O780" s="2"/>
      <c r="Q780" s="2"/>
      <c r="R780" s="62"/>
    </row>
    <row r="781">
      <c r="A781" s="2"/>
      <c r="B781" s="62"/>
      <c r="C781" s="2"/>
      <c r="D781" s="2"/>
      <c r="E781" s="2"/>
      <c r="F781" s="2"/>
      <c r="G781" s="2"/>
      <c r="H781" s="60"/>
      <c r="I781" s="60"/>
      <c r="J781" s="2"/>
      <c r="K781" s="2"/>
      <c r="L781" s="2"/>
      <c r="M781" s="2"/>
      <c r="N781" s="2"/>
      <c r="O781" s="2"/>
      <c r="Q781" s="2"/>
      <c r="R781" s="62"/>
    </row>
    <row r="782">
      <c r="A782" s="2"/>
      <c r="B782" s="62"/>
      <c r="C782" s="2"/>
      <c r="D782" s="2"/>
      <c r="E782" s="2"/>
      <c r="F782" s="2"/>
      <c r="G782" s="2"/>
      <c r="H782" s="60"/>
      <c r="I782" s="60"/>
      <c r="J782" s="2"/>
      <c r="K782" s="2"/>
      <c r="L782" s="2"/>
      <c r="M782" s="2"/>
      <c r="N782" s="2"/>
      <c r="O782" s="2"/>
      <c r="Q782" s="2"/>
      <c r="R782" s="62"/>
    </row>
    <row r="783">
      <c r="A783" s="2"/>
      <c r="B783" s="62"/>
      <c r="C783" s="2"/>
      <c r="D783" s="2"/>
      <c r="E783" s="2"/>
      <c r="F783" s="2"/>
      <c r="G783" s="2"/>
      <c r="H783" s="60"/>
      <c r="I783" s="60"/>
      <c r="J783" s="2"/>
      <c r="K783" s="2"/>
      <c r="L783" s="2"/>
      <c r="M783" s="2"/>
      <c r="N783" s="2"/>
      <c r="O783" s="2"/>
      <c r="Q783" s="2"/>
      <c r="R783" s="62"/>
    </row>
    <row r="784">
      <c r="A784" s="2"/>
      <c r="B784" s="62"/>
      <c r="C784" s="2"/>
      <c r="D784" s="2"/>
      <c r="E784" s="2"/>
      <c r="F784" s="2"/>
      <c r="G784" s="2"/>
      <c r="H784" s="60"/>
      <c r="I784" s="60"/>
      <c r="J784" s="2"/>
      <c r="K784" s="2"/>
      <c r="L784" s="2"/>
      <c r="M784" s="2"/>
      <c r="N784" s="2"/>
      <c r="O784" s="2"/>
      <c r="P784" s="2"/>
      <c r="Q784" s="2"/>
      <c r="R784" s="62"/>
    </row>
    <row r="785">
      <c r="A785" s="2"/>
      <c r="B785" s="62"/>
      <c r="C785" s="2"/>
      <c r="D785" s="2"/>
      <c r="E785" s="2"/>
      <c r="F785" s="2"/>
      <c r="G785" s="2"/>
      <c r="H785" s="60"/>
      <c r="I785" s="60"/>
      <c r="J785" s="2"/>
      <c r="K785" s="2"/>
      <c r="L785" s="2"/>
      <c r="M785" s="2"/>
      <c r="N785" s="2"/>
      <c r="O785" s="2"/>
      <c r="P785" s="2"/>
      <c r="Q785" s="2"/>
      <c r="R785" s="62"/>
    </row>
    <row r="786">
      <c r="A786" s="2"/>
      <c r="B786" s="62"/>
      <c r="C786" s="2"/>
      <c r="D786" s="2"/>
      <c r="E786" s="2"/>
      <c r="F786" s="2"/>
      <c r="G786" s="2"/>
      <c r="H786" s="60"/>
      <c r="I786" s="60"/>
      <c r="J786" s="2"/>
      <c r="K786" s="2"/>
      <c r="L786" s="2"/>
      <c r="M786" s="2"/>
      <c r="N786" s="2"/>
      <c r="O786" s="2"/>
      <c r="Q786" s="2"/>
      <c r="R786" s="62"/>
    </row>
    <row r="787">
      <c r="A787" s="2"/>
      <c r="B787" s="62"/>
      <c r="C787" s="2"/>
      <c r="D787" s="2"/>
      <c r="E787" s="2"/>
      <c r="F787" s="2"/>
      <c r="G787" s="2"/>
      <c r="H787" s="60"/>
      <c r="I787" s="60"/>
      <c r="J787" s="2"/>
      <c r="K787" s="2"/>
      <c r="L787" s="2"/>
      <c r="M787" s="2"/>
      <c r="N787" s="2"/>
      <c r="O787" s="2"/>
      <c r="Q787" s="2"/>
      <c r="R787" s="62"/>
    </row>
    <row r="788">
      <c r="A788" s="2"/>
      <c r="B788" s="62"/>
      <c r="C788" s="2"/>
      <c r="D788" s="2"/>
      <c r="E788" s="2"/>
      <c r="F788" s="2"/>
      <c r="G788" s="2"/>
      <c r="H788" s="60"/>
      <c r="I788" s="60"/>
      <c r="J788" s="2"/>
      <c r="K788" s="2"/>
      <c r="L788" s="2"/>
      <c r="M788" s="2"/>
      <c r="N788" s="2"/>
      <c r="O788" s="2"/>
      <c r="Q788" s="2"/>
      <c r="R788" s="62"/>
    </row>
    <row r="789">
      <c r="A789" s="2"/>
      <c r="B789" s="62"/>
      <c r="C789" s="2"/>
      <c r="D789" s="2"/>
      <c r="E789" s="2"/>
      <c r="F789" s="2"/>
      <c r="G789" s="2"/>
      <c r="H789" s="60"/>
      <c r="I789" s="60"/>
      <c r="J789" s="2"/>
      <c r="K789" s="2"/>
      <c r="L789" s="2"/>
      <c r="M789" s="2"/>
      <c r="N789" s="2"/>
      <c r="O789" s="2"/>
      <c r="P789" s="2"/>
      <c r="Q789" s="2"/>
      <c r="R789" s="62"/>
    </row>
    <row r="790">
      <c r="A790" s="2"/>
      <c r="B790" s="62"/>
      <c r="C790" s="2"/>
      <c r="D790" s="2"/>
      <c r="E790" s="2"/>
      <c r="F790" s="2"/>
      <c r="G790" s="2"/>
      <c r="H790" s="60"/>
      <c r="I790" s="60"/>
      <c r="J790" s="2"/>
      <c r="K790" s="2"/>
      <c r="L790" s="2"/>
      <c r="M790" s="2"/>
      <c r="N790" s="2"/>
      <c r="O790" s="2"/>
      <c r="P790" s="2"/>
      <c r="Q790" s="2"/>
      <c r="R790" s="62"/>
    </row>
    <row r="791">
      <c r="A791" s="2"/>
      <c r="B791" s="62"/>
      <c r="C791" s="2"/>
      <c r="D791" s="2"/>
      <c r="E791" s="2"/>
      <c r="F791" s="2"/>
      <c r="G791" s="2"/>
      <c r="H791" s="60"/>
      <c r="I791" s="60"/>
      <c r="J791" s="2"/>
      <c r="K791" s="2"/>
      <c r="L791" s="2"/>
      <c r="M791" s="2"/>
      <c r="N791" s="2"/>
      <c r="O791" s="2"/>
      <c r="P791" s="2"/>
      <c r="Q791" s="2"/>
      <c r="R791" s="62"/>
    </row>
    <row r="792">
      <c r="A792" s="2"/>
      <c r="B792" s="62"/>
      <c r="C792" s="2"/>
      <c r="D792" s="2"/>
      <c r="E792" s="2"/>
      <c r="F792" s="2"/>
      <c r="G792" s="2"/>
      <c r="H792" s="60"/>
      <c r="I792" s="60"/>
      <c r="J792" s="2"/>
      <c r="K792" s="2"/>
      <c r="L792" s="2"/>
      <c r="M792" s="2"/>
      <c r="N792" s="2"/>
      <c r="O792" s="2"/>
      <c r="Q792" s="2"/>
      <c r="R792" s="62"/>
    </row>
    <row r="793">
      <c r="A793" s="2"/>
      <c r="B793" s="62"/>
      <c r="C793" s="2"/>
      <c r="D793" s="2"/>
      <c r="E793" s="2"/>
      <c r="F793" s="2"/>
      <c r="G793" s="2"/>
      <c r="H793" s="60"/>
      <c r="I793" s="60"/>
      <c r="J793" s="2"/>
      <c r="K793" s="2"/>
      <c r="L793" s="2"/>
      <c r="M793" s="2"/>
      <c r="N793" s="2"/>
      <c r="O793" s="2"/>
      <c r="P793" s="2"/>
      <c r="Q793" s="2"/>
      <c r="R793" s="62"/>
    </row>
    <row r="794">
      <c r="A794" s="2"/>
      <c r="B794" s="62"/>
      <c r="C794" s="2"/>
      <c r="D794" s="2"/>
      <c r="E794" s="2"/>
      <c r="F794" s="2"/>
      <c r="G794" s="2"/>
      <c r="H794" s="60"/>
      <c r="I794" s="60"/>
      <c r="J794" s="2"/>
      <c r="K794" s="2"/>
      <c r="L794" s="2"/>
      <c r="M794" s="2"/>
      <c r="N794" s="2"/>
      <c r="O794" s="2"/>
      <c r="Q794" s="2"/>
      <c r="R794" s="62"/>
    </row>
    <row r="795">
      <c r="A795" s="2"/>
      <c r="B795" s="62"/>
      <c r="C795" s="2"/>
      <c r="D795" s="2"/>
      <c r="E795" s="2"/>
      <c r="F795" s="2"/>
      <c r="G795" s="2"/>
      <c r="H795" s="60"/>
      <c r="I795" s="60"/>
      <c r="J795" s="2"/>
      <c r="K795" s="2"/>
      <c r="L795" s="2"/>
      <c r="M795" s="2"/>
      <c r="N795" s="2"/>
      <c r="O795" s="2"/>
      <c r="P795" s="2"/>
      <c r="Q795" s="2"/>
      <c r="R795" s="62"/>
    </row>
    <row r="796">
      <c r="A796" s="2"/>
      <c r="B796" s="95"/>
      <c r="C796" s="2"/>
      <c r="D796" s="2"/>
      <c r="E796" s="2"/>
      <c r="F796" s="2"/>
      <c r="G796" s="2"/>
      <c r="H796" s="26"/>
      <c r="I796" s="26"/>
      <c r="J796" s="2"/>
      <c r="K796" s="2"/>
      <c r="L796" s="2"/>
      <c r="M796" s="2"/>
      <c r="N796" s="2"/>
      <c r="O796" s="2"/>
      <c r="Q796" s="2"/>
      <c r="R796" s="95"/>
    </row>
    <row r="797">
      <c r="A797" s="2"/>
      <c r="B797" s="95"/>
      <c r="C797" s="2"/>
      <c r="D797" s="2"/>
      <c r="E797" s="2"/>
      <c r="F797" s="2"/>
      <c r="G797" s="2"/>
      <c r="H797" s="26"/>
      <c r="I797" s="26"/>
      <c r="J797" s="2"/>
      <c r="K797" s="2"/>
      <c r="L797" s="2"/>
      <c r="M797" s="2"/>
      <c r="N797" s="2"/>
      <c r="O797" s="2"/>
      <c r="Q797" s="2"/>
      <c r="R797" s="95"/>
    </row>
    <row r="798">
      <c r="A798" s="2"/>
      <c r="B798" s="95"/>
      <c r="C798" s="2"/>
      <c r="D798" s="2"/>
      <c r="E798" s="2"/>
      <c r="F798" s="2"/>
      <c r="G798" s="2"/>
      <c r="H798" s="26"/>
      <c r="I798" s="26"/>
      <c r="J798" s="2"/>
      <c r="K798" s="2"/>
      <c r="L798" s="2"/>
      <c r="M798" s="2"/>
      <c r="N798" s="2"/>
      <c r="O798" s="2"/>
      <c r="Q798" s="2"/>
      <c r="R798" s="95"/>
    </row>
    <row r="799">
      <c r="A799" s="2"/>
      <c r="B799" s="95"/>
      <c r="C799" s="2"/>
      <c r="D799" s="2"/>
      <c r="E799" s="2"/>
      <c r="F799" s="2"/>
      <c r="G799" s="2"/>
      <c r="H799" s="26"/>
      <c r="I799" s="26"/>
      <c r="J799" s="2"/>
      <c r="K799" s="2"/>
      <c r="L799" s="2"/>
      <c r="M799" s="2"/>
      <c r="N799" s="2"/>
      <c r="O799" s="2"/>
      <c r="Q799" s="2"/>
      <c r="R799" s="95"/>
    </row>
    <row r="800">
      <c r="A800" s="2"/>
      <c r="B800" s="95"/>
      <c r="C800" s="2"/>
      <c r="D800" s="2"/>
      <c r="E800" s="2"/>
      <c r="F800" s="2"/>
      <c r="G800" s="2"/>
      <c r="H800" s="26"/>
      <c r="I800" s="26"/>
      <c r="J800" s="2"/>
      <c r="K800" s="2"/>
      <c r="L800" s="2"/>
      <c r="M800" s="2"/>
      <c r="N800" s="2"/>
      <c r="O800" s="2"/>
      <c r="Q800" s="2"/>
      <c r="R800" s="95"/>
    </row>
    <row r="801">
      <c r="A801" s="2"/>
      <c r="B801" s="95"/>
      <c r="C801" s="2"/>
      <c r="D801" s="2"/>
      <c r="E801" s="2"/>
      <c r="F801" s="2"/>
      <c r="G801" s="2"/>
      <c r="H801" s="26"/>
      <c r="I801" s="26"/>
      <c r="J801" s="2"/>
      <c r="K801" s="2"/>
      <c r="L801" s="2"/>
      <c r="M801" s="2"/>
      <c r="N801" s="2"/>
      <c r="O801" s="2"/>
      <c r="Q801" s="2"/>
      <c r="R801" s="95"/>
    </row>
    <row r="802">
      <c r="A802" s="2"/>
      <c r="B802" s="95"/>
      <c r="C802" s="2"/>
      <c r="D802" s="2"/>
      <c r="E802" s="2"/>
      <c r="F802" s="2"/>
      <c r="G802" s="2"/>
      <c r="H802" s="26"/>
      <c r="I802" s="26"/>
      <c r="J802" s="2"/>
      <c r="K802" s="2"/>
      <c r="L802" s="2"/>
      <c r="M802" s="2"/>
      <c r="N802" s="2"/>
      <c r="O802" s="2"/>
      <c r="P802" s="2"/>
      <c r="Q802" s="2"/>
      <c r="R802" s="95"/>
    </row>
    <row r="803">
      <c r="A803" s="2"/>
      <c r="B803" s="95"/>
      <c r="C803" s="2"/>
      <c r="D803" s="2"/>
      <c r="E803" s="2"/>
      <c r="F803" s="2"/>
      <c r="G803" s="2"/>
      <c r="H803" s="26"/>
      <c r="I803" s="26"/>
      <c r="J803" s="2"/>
      <c r="K803" s="2"/>
      <c r="L803" s="2"/>
      <c r="M803" s="2"/>
      <c r="N803" s="2"/>
      <c r="O803" s="2"/>
      <c r="Q803" s="2"/>
      <c r="R803" s="95"/>
    </row>
    <row r="804">
      <c r="A804" s="2"/>
      <c r="B804" s="95"/>
      <c r="C804" s="2"/>
      <c r="D804" s="2"/>
      <c r="E804" s="2"/>
      <c r="F804" s="2"/>
      <c r="G804" s="2"/>
      <c r="H804" s="26"/>
      <c r="I804" s="26"/>
      <c r="J804" s="2"/>
      <c r="K804" s="2"/>
      <c r="L804" s="2"/>
      <c r="M804" s="2"/>
      <c r="N804" s="2"/>
      <c r="O804" s="2"/>
      <c r="Q804" s="2"/>
      <c r="R804" s="95"/>
    </row>
    <row r="805">
      <c r="A805" s="2"/>
      <c r="B805" s="95"/>
      <c r="C805" s="2"/>
      <c r="D805" s="2"/>
      <c r="E805" s="2"/>
      <c r="F805" s="2"/>
      <c r="G805" s="2"/>
      <c r="H805" s="26"/>
      <c r="I805" s="26"/>
      <c r="J805" s="2"/>
      <c r="K805" s="2"/>
      <c r="L805" s="2"/>
      <c r="M805" s="2"/>
      <c r="N805" s="2"/>
      <c r="O805" s="2"/>
      <c r="Q805" s="2"/>
      <c r="R805" s="95"/>
    </row>
    <row r="806">
      <c r="A806" s="2"/>
      <c r="B806" s="95"/>
      <c r="C806" s="2"/>
      <c r="D806" s="2"/>
      <c r="E806" s="2"/>
      <c r="F806" s="2"/>
      <c r="G806" s="2"/>
      <c r="H806" s="26"/>
      <c r="I806" s="26"/>
      <c r="J806" s="2"/>
      <c r="K806" s="2"/>
      <c r="L806" s="2"/>
      <c r="M806" s="2"/>
      <c r="N806" s="2"/>
      <c r="O806" s="2"/>
      <c r="Q806" s="2"/>
      <c r="R806" s="95"/>
    </row>
    <row r="807">
      <c r="A807" s="2"/>
      <c r="B807" s="95"/>
      <c r="C807" s="2"/>
      <c r="D807" s="2"/>
      <c r="E807" s="2"/>
      <c r="F807" s="2"/>
      <c r="G807" s="2"/>
      <c r="H807" s="26"/>
      <c r="I807" s="26"/>
      <c r="J807" s="2"/>
      <c r="K807" s="2"/>
      <c r="L807" s="2"/>
      <c r="M807" s="2"/>
      <c r="N807" s="2"/>
      <c r="O807" s="2"/>
      <c r="Q807" s="2"/>
      <c r="R807" s="95"/>
    </row>
    <row r="808">
      <c r="A808" s="2"/>
      <c r="B808" s="95"/>
      <c r="C808" s="2"/>
      <c r="D808" s="2"/>
      <c r="E808" s="2"/>
      <c r="F808" s="2"/>
      <c r="G808" s="2"/>
      <c r="H808" s="26"/>
      <c r="I808" s="26"/>
      <c r="J808" s="2"/>
      <c r="K808" s="2"/>
      <c r="L808" s="2"/>
      <c r="M808" s="2"/>
      <c r="N808" s="2"/>
      <c r="O808" s="2"/>
      <c r="P808" s="2"/>
      <c r="Q808" s="2"/>
      <c r="R808" s="95"/>
    </row>
    <row r="809">
      <c r="A809" s="2"/>
      <c r="B809" s="95"/>
      <c r="C809" s="2"/>
      <c r="D809" s="2"/>
      <c r="E809" s="2"/>
      <c r="F809" s="2"/>
      <c r="G809" s="2"/>
      <c r="H809" s="26"/>
      <c r="I809" s="26"/>
      <c r="J809" s="2"/>
      <c r="K809" s="2"/>
      <c r="L809" s="2"/>
      <c r="M809" s="2"/>
      <c r="N809" s="2"/>
      <c r="O809" s="2"/>
      <c r="Q809" s="2"/>
      <c r="R809" s="95"/>
    </row>
    <row r="810">
      <c r="A810" s="2"/>
      <c r="B810" s="95"/>
      <c r="C810" s="2"/>
      <c r="D810" s="2"/>
      <c r="E810" s="2"/>
      <c r="F810" s="2"/>
      <c r="G810" s="2"/>
      <c r="H810" s="26"/>
      <c r="I810" s="26"/>
      <c r="J810" s="2"/>
      <c r="K810" s="2"/>
      <c r="L810" s="2"/>
      <c r="M810" s="2"/>
      <c r="N810" s="2"/>
      <c r="O810" s="2"/>
      <c r="P810" s="2"/>
      <c r="Q810" s="2"/>
      <c r="R810" s="95"/>
    </row>
    <row r="811">
      <c r="A811" s="2"/>
      <c r="B811" s="95"/>
      <c r="C811" s="2"/>
      <c r="D811" s="2"/>
      <c r="E811" s="2"/>
      <c r="F811" s="2"/>
      <c r="G811" s="2"/>
      <c r="H811" s="26"/>
      <c r="I811" s="26"/>
      <c r="J811" s="2"/>
      <c r="K811" s="2"/>
      <c r="L811" s="2"/>
      <c r="M811" s="2"/>
      <c r="N811" s="2"/>
      <c r="O811" s="2"/>
      <c r="P811" s="2"/>
      <c r="Q811" s="2"/>
      <c r="R811" s="95"/>
    </row>
    <row r="812">
      <c r="A812" s="2"/>
      <c r="B812" s="95"/>
      <c r="C812" s="2"/>
      <c r="D812" s="2"/>
      <c r="E812" s="2"/>
      <c r="F812" s="2"/>
      <c r="G812" s="2"/>
      <c r="H812" s="26"/>
      <c r="I812" s="26"/>
      <c r="J812" s="2"/>
      <c r="K812" s="2"/>
      <c r="L812" s="2"/>
      <c r="M812" s="2"/>
      <c r="N812" s="2"/>
      <c r="O812" s="2"/>
      <c r="Q812" s="2"/>
      <c r="R812" s="95"/>
    </row>
    <row r="813">
      <c r="A813" s="2"/>
      <c r="B813" s="95"/>
      <c r="C813" s="2"/>
      <c r="D813" s="2"/>
      <c r="E813" s="2"/>
      <c r="F813" s="2"/>
      <c r="G813" s="2"/>
      <c r="H813" s="26"/>
      <c r="I813" s="26"/>
      <c r="J813" s="2"/>
      <c r="K813" s="2"/>
      <c r="L813" s="2"/>
      <c r="M813" s="2"/>
      <c r="N813" s="2"/>
      <c r="O813" s="2"/>
      <c r="Q813" s="2"/>
      <c r="R813" s="95"/>
    </row>
    <row r="814">
      <c r="A814" s="2"/>
      <c r="B814" s="95"/>
      <c r="C814" s="2"/>
      <c r="D814" s="2"/>
      <c r="E814" s="2"/>
      <c r="F814" s="2"/>
      <c r="G814" s="2"/>
      <c r="H814" s="26"/>
      <c r="I814" s="26"/>
      <c r="J814" s="2"/>
      <c r="K814" s="2"/>
      <c r="L814" s="2"/>
      <c r="M814" s="2"/>
      <c r="N814" s="2"/>
      <c r="O814" s="2"/>
      <c r="Q814" s="2"/>
      <c r="R814" s="95"/>
    </row>
    <row r="815">
      <c r="A815" s="2"/>
      <c r="B815" s="95"/>
      <c r="C815" s="2"/>
      <c r="D815" s="2"/>
      <c r="E815" s="2"/>
      <c r="F815" s="2"/>
      <c r="G815" s="2"/>
      <c r="H815" s="26"/>
      <c r="I815" s="26"/>
      <c r="J815" s="2"/>
      <c r="K815" s="2"/>
      <c r="L815" s="2"/>
      <c r="M815" s="2"/>
      <c r="N815" s="2"/>
      <c r="O815" s="2"/>
      <c r="Q815" s="2"/>
      <c r="R815" s="95"/>
    </row>
    <row r="816">
      <c r="A816" s="2"/>
      <c r="B816" s="95"/>
      <c r="C816" s="2"/>
      <c r="D816" s="2"/>
      <c r="E816" s="2"/>
      <c r="F816" s="2"/>
      <c r="G816" s="2"/>
      <c r="H816" s="26"/>
      <c r="I816" s="26"/>
      <c r="J816" s="2"/>
      <c r="K816" s="2"/>
      <c r="L816" s="2"/>
      <c r="M816" s="2"/>
      <c r="N816" s="2"/>
      <c r="O816" s="2"/>
      <c r="Q816" s="2"/>
      <c r="R816" s="95"/>
    </row>
    <row r="817">
      <c r="A817" s="2"/>
      <c r="B817" s="95"/>
      <c r="C817" s="2"/>
      <c r="D817" s="2"/>
      <c r="E817" s="2"/>
      <c r="F817" s="2"/>
      <c r="G817" s="2"/>
      <c r="H817" s="26"/>
      <c r="I817" s="26"/>
      <c r="J817" s="2"/>
      <c r="K817" s="2"/>
      <c r="L817" s="2"/>
      <c r="M817" s="2"/>
      <c r="N817" s="2"/>
      <c r="O817" s="2"/>
      <c r="P817" s="2"/>
      <c r="Q817" s="2"/>
      <c r="R817" s="95"/>
    </row>
    <row r="818">
      <c r="A818" s="2"/>
      <c r="B818" s="95"/>
      <c r="C818" s="2"/>
      <c r="D818" s="2"/>
      <c r="E818" s="2"/>
      <c r="F818" s="2"/>
      <c r="G818" s="2"/>
      <c r="H818" s="26"/>
      <c r="I818" s="26"/>
      <c r="J818" s="2"/>
      <c r="K818" s="2"/>
      <c r="L818" s="2"/>
      <c r="M818" s="2"/>
      <c r="N818" s="2"/>
      <c r="O818" s="2"/>
      <c r="P818" s="2"/>
      <c r="Q818" s="2"/>
      <c r="R818" s="95"/>
    </row>
    <row r="819">
      <c r="A819" s="2"/>
      <c r="B819" s="95"/>
      <c r="C819" s="2"/>
      <c r="D819" s="2"/>
      <c r="E819" s="2"/>
      <c r="F819" s="2"/>
      <c r="G819" s="2"/>
      <c r="H819" s="26"/>
      <c r="I819" s="26"/>
      <c r="J819" s="2"/>
      <c r="K819" s="2"/>
      <c r="L819" s="2"/>
      <c r="M819" s="2"/>
      <c r="N819" s="2"/>
      <c r="O819" s="2"/>
      <c r="Q819" s="2"/>
      <c r="R819" s="95"/>
    </row>
    <row r="820">
      <c r="A820" s="2"/>
      <c r="B820" s="95"/>
      <c r="C820" s="2"/>
      <c r="D820" s="2"/>
      <c r="E820" s="2"/>
      <c r="F820" s="2"/>
      <c r="G820" s="2"/>
      <c r="H820" s="26"/>
      <c r="I820" s="26"/>
      <c r="J820" s="2"/>
      <c r="K820" s="2"/>
      <c r="L820" s="2"/>
      <c r="M820" s="2"/>
      <c r="N820" s="2"/>
      <c r="O820" s="2"/>
      <c r="P820" s="2"/>
      <c r="Q820" s="2"/>
      <c r="R820" s="95"/>
    </row>
    <row r="821">
      <c r="A821" s="2"/>
      <c r="B821" s="95"/>
      <c r="C821" s="2"/>
      <c r="D821" s="2"/>
      <c r="E821" s="2"/>
      <c r="F821" s="2"/>
      <c r="G821" s="2"/>
      <c r="H821" s="26"/>
      <c r="I821" s="26"/>
      <c r="J821" s="2"/>
      <c r="K821" s="2"/>
      <c r="L821" s="2"/>
      <c r="M821" s="2"/>
      <c r="N821" s="2"/>
      <c r="O821" s="2"/>
      <c r="P821" s="2"/>
      <c r="Q821" s="2"/>
      <c r="R821" s="95"/>
    </row>
    <row r="822">
      <c r="A822" s="2"/>
      <c r="B822" s="95"/>
      <c r="C822" s="2"/>
      <c r="D822" s="2"/>
      <c r="E822" s="2"/>
      <c r="F822" s="2"/>
      <c r="G822" s="2"/>
      <c r="H822" s="26"/>
      <c r="I822" s="26"/>
      <c r="J822" s="2"/>
      <c r="K822" s="2"/>
      <c r="L822" s="2"/>
      <c r="M822" s="2"/>
      <c r="N822" s="2"/>
      <c r="O822" s="2"/>
      <c r="P822" s="2"/>
      <c r="Q822" s="2"/>
      <c r="R822" s="95"/>
    </row>
    <row r="823">
      <c r="A823" s="2"/>
      <c r="B823" s="95"/>
      <c r="C823" s="2"/>
      <c r="D823" s="2"/>
      <c r="F823" s="2"/>
      <c r="G823" s="2"/>
      <c r="H823" s="26"/>
      <c r="I823" s="26"/>
      <c r="J823" s="2"/>
      <c r="K823" s="2"/>
      <c r="L823" s="2"/>
      <c r="M823" s="2"/>
      <c r="N823" s="2"/>
      <c r="O823" s="2"/>
      <c r="Q823" s="2"/>
      <c r="R823" s="95"/>
    </row>
    <row r="824">
      <c r="A824" s="2"/>
      <c r="B824" s="95"/>
      <c r="C824" s="2"/>
      <c r="D824" s="2"/>
      <c r="E824" s="2"/>
      <c r="F824" s="2"/>
      <c r="G824" s="2"/>
      <c r="H824" s="26"/>
      <c r="I824" s="26"/>
      <c r="J824" s="2"/>
      <c r="K824" s="2"/>
      <c r="L824" s="2"/>
      <c r="M824" s="2"/>
      <c r="N824" s="2"/>
      <c r="O824" s="2"/>
      <c r="P824" s="2"/>
      <c r="Q824" s="2"/>
      <c r="R824" s="95"/>
    </row>
    <row r="825">
      <c r="A825" s="2"/>
      <c r="B825" s="95"/>
      <c r="C825" s="2"/>
      <c r="D825" s="2"/>
      <c r="E825" s="2"/>
      <c r="F825" s="2"/>
      <c r="G825" s="2"/>
      <c r="H825" s="26"/>
      <c r="I825" s="26"/>
      <c r="J825" s="2"/>
      <c r="K825" s="2"/>
      <c r="L825" s="2"/>
      <c r="M825" s="2"/>
      <c r="N825" s="2"/>
      <c r="O825" s="2"/>
      <c r="Q825" s="2"/>
      <c r="R825" s="95"/>
    </row>
    <row r="826">
      <c r="A826" s="2"/>
      <c r="B826" s="95"/>
      <c r="C826" s="2"/>
      <c r="D826" s="2"/>
      <c r="E826" s="2"/>
      <c r="F826" s="2"/>
      <c r="G826" s="2"/>
      <c r="H826" s="26"/>
      <c r="I826" s="26"/>
      <c r="J826" s="2"/>
      <c r="K826" s="2"/>
      <c r="L826" s="2"/>
      <c r="M826" s="2"/>
      <c r="N826" s="2"/>
      <c r="O826" s="2"/>
      <c r="Q826" s="2"/>
      <c r="R826" s="95"/>
    </row>
    <row r="827">
      <c r="A827" s="2"/>
      <c r="B827" s="95"/>
      <c r="C827" s="2"/>
      <c r="D827" s="2"/>
      <c r="E827" s="2"/>
      <c r="F827" s="2"/>
      <c r="G827" s="2"/>
      <c r="H827" s="26"/>
      <c r="I827" s="26"/>
      <c r="J827" s="2"/>
      <c r="K827" s="2"/>
      <c r="L827" s="2"/>
      <c r="M827" s="2"/>
      <c r="N827" s="2"/>
      <c r="O827" s="2"/>
      <c r="Q827" s="2"/>
      <c r="R827" s="95"/>
    </row>
    <row r="828">
      <c r="A828" s="2"/>
      <c r="B828" s="95"/>
      <c r="C828" s="2"/>
      <c r="D828" s="2"/>
      <c r="E828" s="2"/>
      <c r="F828" s="2"/>
      <c r="G828" s="2"/>
      <c r="H828" s="26"/>
      <c r="I828" s="26"/>
      <c r="J828" s="2"/>
      <c r="K828" s="2"/>
      <c r="L828" s="2"/>
      <c r="M828" s="2"/>
      <c r="N828" s="2"/>
      <c r="O828" s="2"/>
      <c r="P828" s="2"/>
      <c r="Q828" s="2"/>
      <c r="R828" s="95"/>
    </row>
    <row r="829">
      <c r="A829" s="2"/>
      <c r="B829" s="95"/>
      <c r="C829" s="2"/>
      <c r="D829" s="2"/>
      <c r="E829" s="2"/>
      <c r="F829" s="2"/>
      <c r="G829" s="2"/>
      <c r="H829" s="26"/>
      <c r="I829" s="26"/>
      <c r="J829" s="2"/>
      <c r="K829" s="2"/>
      <c r="L829" s="2"/>
      <c r="M829" s="2"/>
      <c r="N829" s="2"/>
      <c r="O829" s="2"/>
      <c r="Q829" s="2"/>
      <c r="R829" s="95"/>
    </row>
    <row r="830">
      <c r="A830" s="2"/>
      <c r="B830" s="95"/>
      <c r="C830" s="2"/>
      <c r="D830" s="2"/>
      <c r="E830" s="2"/>
      <c r="F830" s="2"/>
      <c r="G830" s="2"/>
      <c r="H830" s="26"/>
      <c r="I830" s="26"/>
      <c r="J830" s="2"/>
      <c r="K830" s="2"/>
      <c r="L830" s="2"/>
      <c r="M830" s="2"/>
      <c r="N830" s="2"/>
      <c r="O830" s="2"/>
      <c r="Q830" s="2"/>
      <c r="R830" s="95"/>
    </row>
    <row r="831">
      <c r="A831" s="2"/>
      <c r="B831" s="95"/>
      <c r="C831" s="2"/>
      <c r="D831" s="2"/>
      <c r="E831" s="2"/>
      <c r="F831" s="2"/>
      <c r="G831" s="2"/>
      <c r="H831" s="26"/>
      <c r="I831" s="26"/>
      <c r="J831" s="2"/>
      <c r="K831" s="2"/>
      <c r="L831" s="2"/>
      <c r="M831" s="2"/>
      <c r="N831" s="2"/>
      <c r="O831" s="2"/>
      <c r="P831" s="2"/>
      <c r="Q831" s="2"/>
      <c r="R831" s="95"/>
    </row>
    <row r="832">
      <c r="A832" s="2"/>
      <c r="B832" s="95"/>
      <c r="C832" s="2"/>
      <c r="D832" s="2"/>
      <c r="E832" s="2"/>
      <c r="F832" s="2"/>
      <c r="G832" s="2"/>
      <c r="H832" s="26"/>
      <c r="I832" s="26"/>
      <c r="J832" s="2"/>
      <c r="K832" s="2"/>
      <c r="L832" s="2"/>
      <c r="M832" s="2"/>
      <c r="N832" s="2"/>
      <c r="O832" s="2"/>
      <c r="P832" s="2"/>
      <c r="Q832" s="2"/>
      <c r="R832" s="95"/>
    </row>
    <row r="833">
      <c r="A833" s="2"/>
      <c r="B833" s="95"/>
      <c r="C833" s="2"/>
      <c r="D833" s="2"/>
      <c r="E833" s="2"/>
      <c r="F833" s="2"/>
      <c r="G833" s="2"/>
      <c r="H833" s="26"/>
      <c r="I833" s="26"/>
      <c r="J833" s="2"/>
      <c r="K833" s="2"/>
      <c r="L833" s="2"/>
      <c r="M833" s="2"/>
      <c r="N833" s="2"/>
      <c r="O833" s="2"/>
      <c r="Q833" s="2"/>
      <c r="R833" s="95"/>
    </row>
    <row r="834">
      <c r="A834" s="2"/>
      <c r="B834" s="95"/>
      <c r="C834" s="2"/>
      <c r="D834" s="2"/>
      <c r="E834" s="2"/>
      <c r="F834" s="2"/>
      <c r="G834" s="2"/>
      <c r="H834" s="26"/>
      <c r="I834" s="26"/>
      <c r="J834" s="2"/>
      <c r="K834" s="2"/>
      <c r="L834" s="2"/>
      <c r="M834" s="2"/>
      <c r="N834" s="2"/>
      <c r="O834" s="2"/>
      <c r="Q834" s="2"/>
      <c r="R834" s="95"/>
    </row>
    <row r="835">
      <c r="A835" s="2"/>
      <c r="B835" s="95"/>
      <c r="C835" s="2"/>
      <c r="D835" s="2"/>
      <c r="E835" s="2"/>
      <c r="F835" s="2"/>
      <c r="G835" s="2"/>
      <c r="H835" s="26"/>
      <c r="I835" s="26"/>
      <c r="J835" s="2"/>
      <c r="K835" s="2"/>
      <c r="L835" s="2"/>
      <c r="M835" s="2"/>
      <c r="N835" s="2"/>
      <c r="O835" s="2"/>
      <c r="P835" s="2"/>
      <c r="Q835" s="2"/>
      <c r="R835" s="95"/>
    </row>
    <row r="836">
      <c r="A836" s="2"/>
      <c r="B836" s="95"/>
      <c r="C836" s="2"/>
      <c r="D836" s="2"/>
      <c r="E836" s="2"/>
      <c r="F836" s="2"/>
      <c r="G836" s="2"/>
      <c r="H836" s="26"/>
      <c r="I836" s="26"/>
      <c r="J836" s="2"/>
      <c r="K836" s="2"/>
      <c r="L836" s="2"/>
      <c r="M836" s="2"/>
      <c r="N836" s="2"/>
      <c r="O836" s="2"/>
      <c r="Q836" s="2"/>
      <c r="R836" s="95"/>
    </row>
    <row r="837">
      <c r="A837" s="2"/>
      <c r="B837" s="95"/>
      <c r="C837" s="2"/>
      <c r="D837" s="2"/>
      <c r="E837" s="2"/>
      <c r="F837" s="2"/>
      <c r="G837" s="2"/>
      <c r="H837" s="26"/>
      <c r="I837" s="26"/>
      <c r="J837" s="2"/>
      <c r="K837" s="2"/>
      <c r="L837" s="2"/>
      <c r="M837" s="2"/>
      <c r="N837" s="2"/>
      <c r="O837" s="2"/>
      <c r="P837" s="2"/>
      <c r="Q837" s="2"/>
      <c r="R837" s="95"/>
    </row>
    <row r="838">
      <c r="A838" s="2"/>
      <c r="B838" s="95"/>
      <c r="C838" s="2"/>
      <c r="D838" s="2"/>
      <c r="E838" s="2"/>
      <c r="F838" s="2"/>
      <c r="G838" s="2"/>
      <c r="H838" s="26"/>
      <c r="I838" s="26"/>
      <c r="J838" s="2"/>
      <c r="K838" s="2"/>
      <c r="L838" s="2"/>
      <c r="M838" s="2"/>
      <c r="N838" s="2"/>
      <c r="O838" s="2"/>
      <c r="Q838" s="2"/>
      <c r="R838" s="95"/>
    </row>
    <row r="839">
      <c r="A839" s="2"/>
      <c r="B839" s="95"/>
      <c r="C839" s="2"/>
      <c r="D839" s="2"/>
      <c r="E839" s="2"/>
      <c r="F839" s="2"/>
      <c r="G839" s="2"/>
      <c r="H839" s="26"/>
      <c r="I839" s="26"/>
      <c r="J839" s="2"/>
      <c r="K839" s="2"/>
      <c r="L839" s="2"/>
      <c r="M839" s="2"/>
      <c r="N839" s="2"/>
      <c r="O839" s="2"/>
      <c r="Q839" s="2"/>
      <c r="R839" s="95"/>
    </row>
    <row r="840">
      <c r="A840" s="2"/>
      <c r="B840" s="95"/>
      <c r="C840" s="2"/>
      <c r="D840" s="2"/>
      <c r="E840" s="2"/>
      <c r="F840" s="2"/>
      <c r="G840" s="2"/>
      <c r="H840" s="26"/>
      <c r="I840" s="26"/>
      <c r="J840" s="2"/>
      <c r="K840" s="2"/>
      <c r="L840" s="2"/>
      <c r="M840" s="2"/>
      <c r="N840" s="2"/>
      <c r="O840" s="2"/>
      <c r="Q840" s="2"/>
      <c r="R840" s="95"/>
    </row>
    <row r="841">
      <c r="A841" s="2"/>
      <c r="B841" s="95"/>
      <c r="C841" s="2"/>
      <c r="D841" s="2"/>
      <c r="E841" s="2"/>
      <c r="F841" s="2"/>
      <c r="G841" s="2"/>
      <c r="H841" s="26"/>
      <c r="I841" s="26"/>
      <c r="J841" s="2"/>
      <c r="K841" s="2"/>
      <c r="L841" s="2"/>
      <c r="M841" s="2"/>
      <c r="N841" s="2"/>
      <c r="O841" s="2"/>
      <c r="P841" s="2"/>
      <c r="Q841" s="2"/>
      <c r="R841" s="95"/>
    </row>
    <row r="842">
      <c r="A842" s="2"/>
      <c r="B842" s="95"/>
      <c r="C842" s="2"/>
      <c r="D842" s="2"/>
      <c r="E842" s="2"/>
      <c r="F842" s="2"/>
      <c r="G842" s="2"/>
      <c r="H842" s="26"/>
      <c r="I842" s="26"/>
      <c r="J842" s="2"/>
      <c r="K842" s="2"/>
      <c r="L842" s="2"/>
      <c r="M842" s="2"/>
      <c r="N842" s="2"/>
      <c r="O842" s="2"/>
      <c r="P842" s="2"/>
      <c r="Q842" s="2"/>
      <c r="R842" s="95"/>
    </row>
    <row r="843">
      <c r="A843" s="2"/>
      <c r="B843" s="95"/>
      <c r="C843" s="2"/>
      <c r="D843" s="2"/>
      <c r="E843" s="2"/>
      <c r="F843" s="2"/>
      <c r="G843" s="2"/>
      <c r="H843" s="26"/>
      <c r="I843" s="26"/>
      <c r="J843" s="2"/>
      <c r="K843" s="2"/>
      <c r="L843" s="2"/>
      <c r="M843" s="2"/>
      <c r="N843" s="2"/>
      <c r="O843" s="2"/>
      <c r="Q843" s="2"/>
      <c r="R843" s="95"/>
    </row>
    <row r="844">
      <c r="A844" s="2"/>
      <c r="B844" s="95"/>
      <c r="C844" s="2"/>
      <c r="D844" s="2"/>
      <c r="E844" s="2"/>
      <c r="F844" s="2"/>
      <c r="G844" s="2"/>
      <c r="H844" s="26"/>
      <c r="I844" s="26"/>
      <c r="J844" s="2"/>
      <c r="K844" s="2"/>
      <c r="L844" s="2"/>
      <c r="M844" s="2"/>
      <c r="N844" s="2"/>
      <c r="O844" s="2"/>
      <c r="P844" s="2"/>
      <c r="Q844" s="2"/>
      <c r="R844" s="95"/>
    </row>
    <row r="845">
      <c r="A845" s="2"/>
      <c r="B845" s="95"/>
      <c r="C845" s="2"/>
      <c r="D845" s="2"/>
      <c r="E845" s="2"/>
      <c r="F845" s="2"/>
      <c r="G845" s="2"/>
      <c r="H845" s="26"/>
      <c r="I845" s="26"/>
      <c r="J845" s="2"/>
      <c r="K845" s="2"/>
      <c r="L845" s="2"/>
      <c r="M845" s="2"/>
      <c r="N845" s="2"/>
      <c r="O845" s="2"/>
      <c r="Q845" s="2"/>
      <c r="R845" s="95"/>
    </row>
    <row r="846">
      <c r="A846" s="2"/>
      <c r="B846" s="95"/>
      <c r="C846" s="2"/>
      <c r="D846" s="2"/>
      <c r="E846" s="2"/>
      <c r="F846" s="2"/>
      <c r="G846" s="2"/>
      <c r="H846" s="26"/>
      <c r="I846" s="26"/>
      <c r="J846" s="2"/>
      <c r="K846" s="2"/>
      <c r="L846" s="2"/>
      <c r="M846" s="2"/>
      <c r="N846" s="2"/>
      <c r="O846" s="2"/>
      <c r="Q846" s="2"/>
      <c r="R846" s="95"/>
    </row>
    <row r="847">
      <c r="A847" s="2"/>
      <c r="B847" s="95"/>
      <c r="C847" s="2"/>
      <c r="D847" s="2"/>
      <c r="E847" s="2"/>
      <c r="F847" s="2"/>
      <c r="G847" s="2"/>
      <c r="H847" s="26"/>
      <c r="I847" s="26"/>
      <c r="J847" s="2"/>
      <c r="K847" s="2"/>
      <c r="L847" s="2"/>
      <c r="M847" s="2"/>
      <c r="N847" s="2"/>
      <c r="O847" s="2"/>
      <c r="Q847" s="2"/>
      <c r="R847" s="95"/>
    </row>
    <row r="848">
      <c r="A848" s="2"/>
      <c r="B848" s="95"/>
      <c r="C848" s="2"/>
      <c r="D848" s="2"/>
      <c r="E848" s="2"/>
      <c r="F848" s="2"/>
      <c r="G848" s="2"/>
      <c r="H848" s="26"/>
      <c r="I848" s="26"/>
      <c r="J848" s="2"/>
      <c r="K848" s="2"/>
      <c r="L848" s="2"/>
      <c r="M848" s="2"/>
      <c r="N848" s="2"/>
      <c r="O848" s="2"/>
      <c r="Q848" s="2"/>
      <c r="R848" s="95"/>
    </row>
    <row r="849">
      <c r="A849" s="2"/>
      <c r="B849" s="95"/>
      <c r="C849" s="2"/>
      <c r="D849" s="2"/>
      <c r="E849" s="2"/>
      <c r="F849" s="2"/>
      <c r="G849" s="2"/>
      <c r="H849" s="26"/>
      <c r="I849" s="26"/>
      <c r="J849" s="2"/>
      <c r="K849" s="2"/>
      <c r="L849" s="2"/>
      <c r="M849" s="2"/>
      <c r="N849" s="2"/>
      <c r="O849" s="2"/>
      <c r="P849" s="2"/>
      <c r="Q849" s="2"/>
      <c r="R849" s="95"/>
    </row>
    <row r="850">
      <c r="A850" s="2"/>
      <c r="B850" s="95"/>
      <c r="C850" s="2"/>
      <c r="D850" s="2"/>
      <c r="E850" s="2"/>
      <c r="F850" s="2"/>
      <c r="G850" s="2"/>
      <c r="H850" s="26"/>
      <c r="I850" s="26"/>
      <c r="J850" s="2"/>
      <c r="K850" s="2"/>
      <c r="L850" s="2"/>
      <c r="M850" s="2"/>
      <c r="N850" s="2"/>
      <c r="O850" s="2"/>
      <c r="Q850" s="2"/>
      <c r="R850" s="95"/>
    </row>
    <row r="851">
      <c r="A851" s="2"/>
      <c r="B851" s="95"/>
      <c r="C851" s="2"/>
      <c r="D851" s="2"/>
      <c r="E851" s="2"/>
      <c r="F851" s="2"/>
      <c r="G851" s="2"/>
      <c r="H851" s="26"/>
      <c r="I851" s="26"/>
      <c r="J851" s="2"/>
      <c r="K851" s="2"/>
      <c r="L851" s="2"/>
      <c r="M851" s="2"/>
      <c r="N851" s="2"/>
      <c r="O851" s="2"/>
      <c r="Q851" s="2"/>
      <c r="R851" s="95"/>
    </row>
    <row r="852">
      <c r="A852" s="2"/>
      <c r="B852" s="95"/>
      <c r="C852" s="2"/>
      <c r="D852" s="2"/>
      <c r="E852" s="2"/>
      <c r="F852" s="2"/>
      <c r="G852" s="2"/>
      <c r="H852" s="26"/>
      <c r="I852" s="26"/>
      <c r="J852" s="2"/>
      <c r="K852" s="2"/>
      <c r="L852" s="2"/>
      <c r="M852" s="2"/>
      <c r="N852" s="2"/>
      <c r="O852" s="2"/>
      <c r="Q852" s="2"/>
      <c r="R852" s="95"/>
    </row>
    <row r="853">
      <c r="A853" s="2"/>
      <c r="B853" s="95"/>
      <c r="C853" s="2"/>
      <c r="D853" s="2"/>
      <c r="E853" s="2"/>
      <c r="F853" s="2"/>
      <c r="G853" s="2"/>
      <c r="H853" s="26"/>
      <c r="I853" s="26"/>
      <c r="J853" s="2"/>
      <c r="K853" s="2"/>
      <c r="L853" s="2"/>
      <c r="M853" s="2"/>
      <c r="N853" s="2"/>
      <c r="O853" s="2"/>
      <c r="Q853" s="2"/>
      <c r="R853" s="95"/>
    </row>
    <row r="854">
      <c r="A854" s="2"/>
      <c r="B854" s="95"/>
      <c r="C854" s="2"/>
      <c r="D854" s="2"/>
      <c r="E854" s="2"/>
      <c r="F854" s="2"/>
      <c r="G854" s="2"/>
      <c r="H854" s="26"/>
      <c r="I854" s="26"/>
      <c r="J854" s="2"/>
      <c r="K854" s="2"/>
      <c r="L854" s="2"/>
      <c r="M854" s="2"/>
      <c r="N854" s="2"/>
      <c r="O854" s="2"/>
      <c r="Q854" s="2"/>
      <c r="R854" s="95"/>
    </row>
    <row r="855">
      <c r="A855" s="2"/>
      <c r="B855" s="95"/>
      <c r="C855" s="2"/>
      <c r="D855" s="2"/>
      <c r="E855" s="2"/>
      <c r="F855" s="2"/>
      <c r="G855" s="2"/>
      <c r="H855" s="26"/>
      <c r="I855" s="26"/>
      <c r="J855" s="2"/>
      <c r="K855" s="2"/>
      <c r="L855" s="2"/>
      <c r="M855" s="2"/>
      <c r="N855" s="2"/>
      <c r="O855" s="2"/>
      <c r="Q855" s="2"/>
      <c r="R855" s="95"/>
    </row>
    <row r="856">
      <c r="A856" s="2"/>
      <c r="B856" s="95"/>
      <c r="C856" s="2"/>
      <c r="D856" s="2"/>
      <c r="E856" s="2"/>
      <c r="F856" s="2"/>
      <c r="G856" s="2"/>
      <c r="H856" s="26"/>
      <c r="I856" s="26"/>
      <c r="J856" s="2"/>
      <c r="K856" s="2"/>
      <c r="L856" s="2"/>
      <c r="M856" s="2"/>
      <c r="N856" s="2"/>
      <c r="O856" s="2"/>
      <c r="Q856" s="2"/>
      <c r="R856" s="95"/>
    </row>
    <row r="857">
      <c r="A857" s="2"/>
      <c r="B857" s="95"/>
      <c r="C857" s="2"/>
      <c r="D857" s="2"/>
      <c r="E857" s="2"/>
      <c r="F857" s="2"/>
      <c r="G857" s="2"/>
      <c r="H857" s="26"/>
      <c r="I857" s="26"/>
      <c r="J857" s="2"/>
      <c r="K857" s="2"/>
      <c r="L857" s="2"/>
      <c r="M857" s="2"/>
      <c r="N857" s="2"/>
      <c r="O857" s="2"/>
      <c r="Q857" s="2"/>
      <c r="R857" s="95"/>
    </row>
    <row r="858">
      <c r="A858" s="2"/>
      <c r="B858" s="95"/>
      <c r="C858" s="2"/>
      <c r="D858" s="2"/>
      <c r="E858" s="2"/>
      <c r="F858" s="2"/>
      <c r="G858" s="2"/>
      <c r="H858" s="26"/>
      <c r="I858" s="26"/>
      <c r="J858" s="2"/>
      <c r="K858" s="2"/>
      <c r="L858" s="2"/>
      <c r="M858" s="2"/>
      <c r="N858" s="2"/>
      <c r="O858" s="2"/>
      <c r="Q858" s="2"/>
      <c r="R858" s="95"/>
    </row>
    <row r="859">
      <c r="A859" s="2"/>
      <c r="B859" s="95"/>
      <c r="C859" s="2"/>
      <c r="D859" s="2"/>
      <c r="F859" s="2"/>
      <c r="G859" s="2"/>
      <c r="H859" s="26"/>
      <c r="I859" s="26"/>
      <c r="J859" s="2"/>
      <c r="K859" s="2"/>
      <c r="L859" s="2"/>
      <c r="M859" s="2"/>
      <c r="N859" s="2"/>
      <c r="O859" s="2"/>
      <c r="Q859" s="2"/>
      <c r="R859" s="95"/>
    </row>
    <row r="860">
      <c r="A860" s="2"/>
      <c r="B860" s="95"/>
      <c r="C860" s="2"/>
      <c r="D860" s="2"/>
      <c r="F860" s="2"/>
      <c r="G860" s="2"/>
      <c r="H860" s="26"/>
      <c r="I860" s="26"/>
      <c r="J860" s="2"/>
      <c r="K860" s="2"/>
      <c r="L860" s="2"/>
      <c r="M860" s="2"/>
      <c r="N860" s="2"/>
      <c r="O860" s="2"/>
      <c r="P860" s="2"/>
      <c r="Q860" s="2"/>
      <c r="R860" s="95"/>
    </row>
    <row r="861">
      <c r="A861" s="2"/>
      <c r="B861" s="95"/>
      <c r="C861" s="2"/>
      <c r="D861" s="2"/>
      <c r="E861" s="2"/>
      <c r="F861" s="2"/>
      <c r="G861" s="2"/>
      <c r="H861" s="26"/>
      <c r="I861" s="26"/>
      <c r="J861" s="2"/>
      <c r="K861" s="2"/>
      <c r="L861" s="2"/>
      <c r="M861" s="2"/>
      <c r="N861" s="2"/>
      <c r="O861" s="2"/>
      <c r="Q861" s="2"/>
      <c r="R861" s="95"/>
    </row>
    <row r="862">
      <c r="A862" s="2"/>
      <c r="B862" s="95"/>
      <c r="C862" s="2"/>
      <c r="D862" s="2"/>
      <c r="E862" s="2"/>
      <c r="F862" s="2"/>
      <c r="G862" s="2"/>
      <c r="H862" s="26"/>
      <c r="I862" s="26"/>
      <c r="J862" s="2"/>
      <c r="K862" s="2"/>
      <c r="L862" s="2"/>
      <c r="M862" s="2"/>
      <c r="N862" s="2"/>
      <c r="O862" s="2"/>
      <c r="Q862" s="2"/>
      <c r="R862" s="95"/>
      <c r="S862" s="2"/>
    </row>
    <row r="863">
      <c r="A863" s="2"/>
      <c r="B863" s="95"/>
      <c r="C863" s="2"/>
      <c r="D863" s="2"/>
      <c r="E863" s="2"/>
      <c r="F863" s="2"/>
      <c r="G863" s="2"/>
      <c r="H863" s="26"/>
      <c r="I863" s="26"/>
      <c r="J863" s="2"/>
      <c r="K863" s="2"/>
      <c r="L863" s="2"/>
      <c r="M863" s="2"/>
      <c r="N863" s="2"/>
      <c r="O863" s="2"/>
      <c r="Q863" s="2"/>
      <c r="R863" s="95"/>
    </row>
    <row r="864">
      <c r="A864" s="2"/>
      <c r="B864" s="95"/>
      <c r="C864" s="2"/>
      <c r="D864" s="2"/>
      <c r="E864" s="2"/>
      <c r="F864" s="2"/>
      <c r="G864" s="2"/>
      <c r="H864" s="26"/>
      <c r="I864" s="26"/>
      <c r="J864" s="2"/>
      <c r="K864" s="2"/>
      <c r="L864" s="2"/>
      <c r="M864" s="2"/>
      <c r="N864" s="2"/>
      <c r="O864" s="2"/>
      <c r="Q864" s="2"/>
      <c r="R864" s="95"/>
    </row>
    <row r="865">
      <c r="A865" s="2"/>
      <c r="B865" s="95"/>
      <c r="C865" s="2"/>
      <c r="D865" s="2"/>
      <c r="E865" s="2"/>
      <c r="F865" s="2"/>
      <c r="G865" s="2"/>
      <c r="H865" s="26"/>
      <c r="I865" s="26"/>
      <c r="J865" s="2"/>
      <c r="K865" s="2"/>
      <c r="L865" s="2"/>
      <c r="M865" s="2"/>
      <c r="N865" s="2"/>
      <c r="O865" s="2"/>
      <c r="Q865" s="2"/>
      <c r="R865" s="95"/>
    </row>
    <row r="866">
      <c r="A866" s="2"/>
      <c r="B866" s="95"/>
      <c r="C866" s="2"/>
      <c r="D866" s="2"/>
      <c r="E866" s="2"/>
      <c r="F866" s="2"/>
      <c r="G866" s="2"/>
      <c r="H866" s="26"/>
      <c r="I866" s="26"/>
      <c r="J866" s="2"/>
      <c r="K866" s="2"/>
      <c r="L866" s="2"/>
      <c r="M866" s="2"/>
      <c r="N866" s="2"/>
      <c r="O866" s="2"/>
      <c r="Q866" s="2"/>
      <c r="R866" s="95"/>
      <c r="S866" s="2"/>
    </row>
    <row r="867">
      <c r="A867" s="2"/>
      <c r="B867" s="95"/>
      <c r="C867" s="2"/>
      <c r="D867" s="2"/>
      <c r="E867" s="2"/>
      <c r="F867" s="2"/>
      <c r="G867" s="2"/>
      <c r="H867" s="26"/>
      <c r="I867" s="26"/>
      <c r="J867" s="2"/>
      <c r="K867" s="2"/>
      <c r="L867" s="2"/>
      <c r="M867" s="2"/>
      <c r="N867" s="2"/>
      <c r="O867" s="2"/>
      <c r="Q867" s="2"/>
      <c r="R867" s="95"/>
    </row>
    <row r="868">
      <c r="A868" s="2"/>
      <c r="B868" s="95"/>
      <c r="C868" s="2"/>
      <c r="D868" s="2"/>
      <c r="E868" s="2"/>
      <c r="F868" s="2"/>
      <c r="G868" s="2"/>
      <c r="H868" s="26"/>
      <c r="I868" s="26"/>
      <c r="J868" s="2"/>
      <c r="K868" s="2"/>
      <c r="L868" s="2"/>
      <c r="M868" s="2"/>
      <c r="N868" s="2"/>
      <c r="O868" s="2"/>
      <c r="Q868" s="2"/>
      <c r="R868" s="95"/>
    </row>
    <row r="869">
      <c r="A869" s="2"/>
      <c r="B869" s="95"/>
      <c r="C869" s="2"/>
      <c r="D869" s="2"/>
      <c r="E869" s="2"/>
      <c r="F869" s="2"/>
      <c r="G869" s="2"/>
      <c r="H869" s="26"/>
      <c r="I869" s="26"/>
      <c r="J869" s="2"/>
      <c r="K869" s="2"/>
      <c r="L869" s="2"/>
      <c r="M869" s="2"/>
      <c r="N869" s="2"/>
      <c r="O869" s="2"/>
      <c r="Q869" s="2"/>
      <c r="R869" s="95"/>
    </row>
    <row r="870">
      <c r="A870" s="2"/>
      <c r="B870" s="95"/>
      <c r="C870" s="2"/>
      <c r="D870" s="2"/>
      <c r="E870" s="2"/>
      <c r="F870" s="2"/>
      <c r="G870" s="2"/>
      <c r="H870" s="26"/>
      <c r="I870" s="26"/>
      <c r="J870" s="2"/>
      <c r="K870" s="2"/>
      <c r="L870" s="2"/>
      <c r="M870" s="2"/>
      <c r="N870" s="2"/>
      <c r="O870" s="2"/>
      <c r="Q870" s="2"/>
      <c r="R870" s="95"/>
    </row>
    <row r="871">
      <c r="A871" s="2"/>
      <c r="B871" s="95"/>
      <c r="C871" s="2"/>
      <c r="D871" s="2"/>
      <c r="E871" s="2"/>
      <c r="F871" s="2"/>
      <c r="G871" s="2"/>
      <c r="H871" s="26"/>
      <c r="I871" s="26"/>
      <c r="J871" s="2"/>
      <c r="K871" s="2"/>
      <c r="L871" s="2"/>
      <c r="M871" s="2"/>
      <c r="N871" s="2"/>
      <c r="O871" s="2"/>
      <c r="Q871" s="2"/>
      <c r="R871" s="95"/>
    </row>
    <row r="872">
      <c r="A872" s="2"/>
      <c r="B872" s="95"/>
      <c r="C872" s="2"/>
      <c r="D872" s="2"/>
      <c r="E872" s="2"/>
      <c r="F872" s="2"/>
      <c r="G872" s="2"/>
      <c r="H872" s="26"/>
      <c r="I872" s="26"/>
      <c r="J872" s="2"/>
      <c r="K872" s="2"/>
      <c r="L872" s="2"/>
      <c r="M872" s="2"/>
      <c r="N872" s="2"/>
      <c r="O872" s="2"/>
      <c r="Q872" s="2"/>
      <c r="R872" s="95"/>
    </row>
    <row r="873">
      <c r="A873" s="2"/>
      <c r="B873" s="95"/>
      <c r="C873" s="2"/>
      <c r="D873" s="2"/>
      <c r="E873" s="2"/>
      <c r="F873" s="2"/>
      <c r="G873" s="2"/>
      <c r="H873" s="26"/>
      <c r="I873" s="26"/>
      <c r="J873" s="2"/>
      <c r="K873" s="2"/>
      <c r="L873" s="2"/>
      <c r="M873" s="2"/>
      <c r="N873" s="2"/>
      <c r="O873" s="2"/>
      <c r="Q873" s="2"/>
      <c r="R873" s="95"/>
    </row>
    <row r="874">
      <c r="A874" s="2"/>
      <c r="B874" s="95"/>
      <c r="C874" s="2"/>
      <c r="D874" s="2"/>
      <c r="E874" s="2"/>
      <c r="F874" s="2"/>
      <c r="G874" s="2"/>
      <c r="H874" s="26"/>
      <c r="I874" s="26"/>
      <c r="J874" s="2"/>
      <c r="K874" s="2"/>
      <c r="L874" s="2"/>
      <c r="M874" s="2"/>
      <c r="N874" s="2"/>
      <c r="O874" s="2"/>
      <c r="P874" s="2"/>
      <c r="Q874" s="2"/>
      <c r="R874" s="95"/>
    </row>
    <row r="875">
      <c r="A875" s="2"/>
      <c r="B875" s="95"/>
      <c r="C875" s="2"/>
      <c r="D875" s="2"/>
      <c r="E875" s="2"/>
      <c r="F875" s="2"/>
      <c r="G875" s="2"/>
      <c r="H875" s="26"/>
      <c r="I875" s="26"/>
      <c r="J875" s="2"/>
      <c r="K875" s="2"/>
      <c r="L875" s="2"/>
      <c r="M875" s="2"/>
      <c r="N875" s="2"/>
      <c r="O875" s="2"/>
      <c r="P875" s="2"/>
      <c r="Q875" s="2"/>
      <c r="R875" s="95"/>
    </row>
    <row r="876">
      <c r="A876" s="2"/>
      <c r="B876" s="95"/>
      <c r="C876" s="2"/>
      <c r="D876" s="2"/>
      <c r="E876" s="2"/>
      <c r="F876" s="2"/>
      <c r="G876" s="2"/>
      <c r="H876" s="26"/>
      <c r="I876" s="26"/>
      <c r="J876" s="2"/>
      <c r="K876" s="2"/>
      <c r="L876" s="2"/>
      <c r="M876" s="2"/>
      <c r="N876" s="2"/>
      <c r="O876" s="2"/>
      <c r="Q876" s="2"/>
      <c r="R876" s="95"/>
    </row>
    <row r="877">
      <c r="A877" s="2"/>
      <c r="B877" s="95"/>
      <c r="C877" s="2"/>
      <c r="D877" s="2"/>
      <c r="E877" s="2"/>
      <c r="F877" s="2"/>
      <c r="G877" s="2"/>
      <c r="H877" s="26"/>
      <c r="I877" s="26"/>
      <c r="J877" s="2"/>
      <c r="K877" s="2"/>
      <c r="L877" s="2"/>
      <c r="M877" s="2"/>
      <c r="N877" s="2"/>
      <c r="O877" s="2"/>
      <c r="Q877" s="2"/>
      <c r="R877" s="95"/>
    </row>
    <row r="878">
      <c r="A878" s="2"/>
      <c r="B878" s="95"/>
      <c r="C878" s="2"/>
      <c r="D878" s="2"/>
      <c r="E878" s="2"/>
      <c r="F878" s="2"/>
      <c r="G878" s="2"/>
      <c r="H878" s="26"/>
      <c r="I878" s="26"/>
      <c r="J878" s="2"/>
      <c r="K878" s="2"/>
      <c r="L878" s="2"/>
      <c r="M878" s="2"/>
      <c r="N878" s="2"/>
      <c r="O878" s="2"/>
      <c r="Q878" s="2"/>
      <c r="R878" s="95"/>
    </row>
    <row r="879">
      <c r="A879" s="2"/>
      <c r="B879" s="95"/>
      <c r="C879" s="2"/>
      <c r="D879" s="2"/>
      <c r="E879" s="2"/>
      <c r="F879" s="2"/>
      <c r="G879" s="2"/>
      <c r="H879" s="26"/>
      <c r="I879" s="26"/>
      <c r="J879" s="2"/>
      <c r="K879" s="2"/>
      <c r="L879" s="2"/>
      <c r="M879" s="2"/>
      <c r="N879" s="2"/>
      <c r="O879" s="2"/>
      <c r="P879" s="2"/>
      <c r="Q879" s="2"/>
      <c r="R879" s="95"/>
    </row>
    <row r="880">
      <c r="A880" s="2"/>
      <c r="B880" s="95"/>
      <c r="C880" s="2"/>
      <c r="D880" s="2"/>
      <c r="E880" s="2"/>
      <c r="F880" s="2"/>
      <c r="G880" s="2"/>
      <c r="H880" s="26"/>
      <c r="I880" s="26"/>
      <c r="J880" s="2"/>
      <c r="K880" s="2"/>
      <c r="L880" s="2"/>
      <c r="M880" s="2"/>
      <c r="N880" s="2"/>
      <c r="O880" s="2"/>
      <c r="P880" s="2"/>
      <c r="Q880" s="2"/>
      <c r="R880" s="95"/>
    </row>
    <row r="881">
      <c r="A881" s="2"/>
      <c r="B881" s="95"/>
      <c r="C881" s="2"/>
      <c r="D881" s="2"/>
      <c r="E881" s="2"/>
      <c r="F881" s="2"/>
      <c r="G881" s="2"/>
      <c r="H881" s="26"/>
      <c r="I881" s="26"/>
      <c r="J881" s="2"/>
      <c r="K881" s="2"/>
      <c r="L881" s="2"/>
      <c r="M881" s="2"/>
      <c r="N881" s="2"/>
      <c r="O881" s="2"/>
      <c r="P881" s="2"/>
      <c r="Q881" s="2"/>
      <c r="R881" s="95"/>
    </row>
    <row r="882">
      <c r="A882" s="2"/>
      <c r="B882" s="95"/>
      <c r="C882" s="2"/>
      <c r="D882" s="2"/>
      <c r="E882" s="2"/>
      <c r="F882" s="2"/>
      <c r="G882" s="2"/>
      <c r="H882" s="26"/>
      <c r="I882" s="26"/>
      <c r="J882" s="2"/>
      <c r="K882" s="2"/>
      <c r="L882" s="2"/>
      <c r="M882" s="2"/>
      <c r="N882" s="2"/>
      <c r="O882" s="2"/>
      <c r="Q882" s="2"/>
      <c r="R882" s="95"/>
    </row>
    <row r="883">
      <c r="A883" s="2"/>
      <c r="B883" s="95"/>
      <c r="C883" s="2"/>
      <c r="D883" s="2"/>
      <c r="E883" s="2"/>
      <c r="F883" s="2"/>
      <c r="G883" s="2"/>
      <c r="H883" s="26"/>
      <c r="I883" s="26"/>
      <c r="J883" s="2"/>
      <c r="K883" s="2"/>
      <c r="L883" s="2"/>
      <c r="M883" s="2"/>
      <c r="N883" s="2"/>
      <c r="O883" s="2"/>
      <c r="Q883" s="2"/>
      <c r="R883" s="95"/>
    </row>
    <row r="884">
      <c r="A884" s="2"/>
      <c r="B884" s="95"/>
      <c r="C884" s="2"/>
      <c r="D884" s="2"/>
      <c r="E884" s="2"/>
      <c r="F884" s="2"/>
      <c r="G884" s="2"/>
      <c r="H884" s="26"/>
      <c r="I884" s="26"/>
      <c r="J884" s="2"/>
      <c r="K884" s="2"/>
      <c r="L884" s="2"/>
      <c r="M884" s="2"/>
      <c r="N884" s="2"/>
      <c r="O884" s="2"/>
      <c r="Q884" s="2"/>
      <c r="R884" s="95"/>
    </row>
    <row r="885">
      <c r="A885" s="2"/>
      <c r="B885" s="95"/>
      <c r="C885" s="2"/>
      <c r="D885" s="2"/>
      <c r="E885" s="2"/>
      <c r="F885" s="2"/>
      <c r="G885" s="2"/>
      <c r="H885" s="26"/>
      <c r="I885" s="26"/>
      <c r="J885" s="2"/>
      <c r="K885" s="2"/>
      <c r="L885" s="2"/>
      <c r="M885" s="2"/>
      <c r="N885" s="2"/>
      <c r="O885" s="2"/>
      <c r="Q885" s="2"/>
      <c r="R885" s="95"/>
    </row>
    <row r="886">
      <c r="A886" s="2"/>
      <c r="B886" s="95"/>
      <c r="C886" s="2"/>
      <c r="D886" s="2"/>
      <c r="E886" s="2"/>
      <c r="F886" s="2"/>
      <c r="G886" s="2"/>
      <c r="H886" s="26"/>
      <c r="I886" s="26"/>
      <c r="J886" s="2"/>
      <c r="K886" s="2"/>
      <c r="L886" s="2"/>
      <c r="M886" s="2"/>
      <c r="N886" s="2"/>
      <c r="O886" s="2"/>
      <c r="Q886" s="2"/>
      <c r="R886" s="95"/>
    </row>
    <row r="887">
      <c r="A887" s="2"/>
      <c r="B887" s="95"/>
      <c r="C887" s="2"/>
      <c r="D887" s="2"/>
      <c r="E887" s="2"/>
      <c r="F887" s="2"/>
      <c r="G887" s="2"/>
      <c r="H887" s="26"/>
      <c r="I887" s="26"/>
      <c r="J887" s="2"/>
      <c r="K887" s="2"/>
      <c r="L887" s="2"/>
      <c r="M887" s="2"/>
      <c r="N887" s="2"/>
      <c r="O887" s="2"/>
      <c r="Q887" s="2"/>
      <c r="R887" s="95"/>
      <c r="S887" s="2"/>
    </row>
    <row r="888">
      <c r="A888" s="2"/>
      <c r="B888" s="95"/>
      <c r="C888" s="2"/>
      <c r="D888" s="2"/>
      <c r="E888" s="2"/>
      <c r="F888" s="2"/>
      <c r="G888" s="2"/>
      <c r="H888" s="26"/>
      <c r="I888" s="26"/>
      <c r="J888" s="2"/>
      <c r="K888" s="2"/>
      <c r="L888" s="2"/>
      <c r="M888" s="2"/>
      <c r="N888" s="2"/>
      <c r="O888" s="2"/>
      <c r="Q888" s="2"/>
      <c r="R888" s="95"/>
      <c r="S888" s="2"/>
    </row>
    <row r="889">
      <c r="A889" s="2"/>
      <c r="B889" s="95"/>
      <c r="C889" s="2"/>
      <c r="D889" s="2"/>
      <c r="E889" s="2"/>
      <c r="F889" s="2"/>
      <c r="G889" s="2"/>
      <c r="H889" s="26"/>
      <c r="I889" s="26"/>
      <c r="J889" s="2"/>
      <c r="K889" s="2"/>
      <c r="L889" s="2"/>
      <c r="M889" s="2"/>
      <c r="N889" s="2"/>
      <c r="O889" s="2"/>
      <c r="Q889" s="2"/>
      <c r="R889" s="95"/>
      <c r="S889" s="2"/>
    </row>
    <row r="890">
      <c r="A890" s="2"/>
      <c r="B890" s="95"/>
      <c r="C890" s="2"/>
      <c r="D890" s="2"/>
      <c r="E890" s="2"/>
      <c r="F890" s="2"/>
      <c r="G890" s="2"/>
      <c r="H890" s="26"/>
      <c r="I890" s="26"/>
      <c r="J890" s="2"/>
      <c r="K890" s="2"/>
      <c r="L890" s="2"/>
      <c r="M890" s="2"/>
      <c r="N890" s="2"/>
      <c r="O890" s="2"/>
      <c r="Q890" s="2"/>
      <c r="R890" s="95"/>
    </row>
    <row r="891">
      <c r="A891" s="2"/>
      <c r="B891" s="95"/>
      <c r="C891" s="2"/>
      <c r="D891" s="2"/>
      <c r="E891" s="2"/>
      <c r="F891" s="2"/>
      <c r="G891" s="2"/>
      <c r="H891" s="26"/>
      <c r="I891" s="26"/>
      <c r="J891" s="2"/>
      <c r="K891" s="2"/>
      <c r="L891" s="2"/>
      <c r="M891" s="2"/>
      <c r="N891" s="2"/>
      <c r="O891" s="2"/>
      <c r="Q891" s="2"/>
      <c r="R891" s="95"/>
    </row>
    <row r="892">
      <c r="A892" s="2"/>
      <c r="B892" s="95"/>
      <c r="C892" s="2"/>
      <c r="D892" s="2"/>
      <c r="E892" s="2"/>
      <c r="F892" s="2"/>
      <c r="G892" s="2"/>
      <c r="H892" s="26"/>
      <c r="I892" s="26"/>
      <c r="J892" s="2"/>
      <c r="K892" s="2"/>
      <c r="L892" s="2"/>
      <c r="M892" s="2"/>
      <c r="N892" s="2"/>
      <c r="O892" s="2"/>
      <c r="Q892" s="2"/>
      <c r="R892" s="95"/>
    </row>
    <row r="893">
      <c r="A893" s="2"/>
      <c r="B893" s="95"/>
      <c r="C893" s="2"/>
      <c r="D893" s="2"/>
      <c r="E893" s="2"/>
      <c r="F893" s="2"/>
      <c r="G893" s="2"/>
      <c r="H893" s="26"/>
      <c r="I893" s="26"/>
      <c r="J893" s="2"/>
      <c r="K893" s="2"/>
      <c r="L893" s="2"/>
      <c r="M893" s="2"/>
      <c r="N893" s="2"/>
      <c r="O893" s="2"/>
      <c r="R893" s="95"/>
      <c r="S893" s="2"/>
    </row>
    <row r="894">
      <c r="A894" s="2"/>
      <c r="B894" s="95"/>
      <c r="C894" s="2"/>
      <c r="D894" s="2"/>
      <c r="E894" s="2"/>
      <c r="F894" s="2"/>
      <c r="G894" s="2"/>
      <c r="H894" s="26"/>
      <c r="I894" s="26"/>
      <c r="J894" s="2"/>
      <c r="K894" s="2"/>
      <c r="L894" s="2"/>
      <c r="M894" s="2"/>
      <c r="N894" s="2"/>
      <c r="O894" s="2"/>
      <c r="P894" s="2"/>
      <c r="Q894" s="2"/>
      <c r="R894" s="95"/>
    </row>
    <row r="895">
      <c r="A895" s="2"/>
      <c r="B895" s="95"/>
      <c r="C895" s="2"/>
      <c r="D895" s="2"/>
      <c r="E895" s="2"/>
      <c r="F895" s="2"/>
      <c r="G895" s="2"/>
      <c r="H895" s="26"/>
      <c r="I895" s="26"/>
      <c r="J895" s="2"/>
      <c r="K895" s="2"/>
      <c r="L895" s="2"/>
      <c r="M895" s="2"/>
      <c r="N895" s="2"/>
      <c r="O895" s="2"/>
      <c r="Q895" s="2"/>
      <c r="R895" s="95"/>
    </row>
    <row r="896">
      <c r="A896" s="2"/>
      <c r="B896" s="95"/>
      <c r="C896" s="2"/>
      <c r="D896" s="2"/>
      <c r="E896" s="2"/>
      <c r="F896" s="2"/>
      <c r="G896" s="2"/>
      <c r="H896" s="26"/>
      <c r="I896" s="26"/>
      <c r="J896" s="2"/>
      <c r="K896" s="2"/>
      <c r="L896" s="2"/>
      <c r="M896" s="2"/>
      <c r="N896" s="2"/>
      <c r="O896" s="2"/>
      <c r="Q896" s="2"/>
      <c r="R896" s="95"/>
    </row>
    <row r="897">
      <c r="A897" s="2"/>
      <c r="B897" s="95"/>
      <c r="C897" s="2"/>
      <c r="D897" s="2"/>
      <c r="E897" s="2"/>
      <c r="F897" s="2"/>
      <c r="G897" s="2"/>
      <c r="H897" s="26"/>
      <c r="I897" s="26"/>
      <c r="J897" s="2"/>
      <c r="K897" s="2"/>
      <c r="L897" s="2"/>
      <c r="M897" s="2"/>
      <c r="N897" s="2"/>
      <c r="O897" s="2"/>
      <c r="Q897" s="2"/>
      <c r="R897" s="95"/>
      <c r="S897" s="2"/>
    </row>
    <row r="898">
      <c r="A898" s="2"/>
      <c r="B898" s="95"/>
      <c r="C898" s="2"/>
      <c r="D898" s="2"/>
      <c r="E898" s="2"/>
      <c r="F898" s="2"/>
      <c r="G898" s="2"/>
      <c r="H898" s="26"/>
      <c r="I898" s="26"/>
      <c r="J898" s="2"/>
      <c r="K898" s="2"/>
      <c r="L898" s="2"/>
      <c r="M898" s="2"/>
      <c r="N898" s="2"/>
      <c r="O898" s="2"/>
      <c r="Q898" s="2"/>
      <c r="R898" s="95"/>
    </row>
    <row r="899">
      <c r="A899" s="2"/>
      <c r="B899" s="95"/>
      <c r="C899" s="2"/>
      <c r="D899" s="2"/>
      <c r="E899" s="2"/>
      <c r="F899" s="2"/>
      <c r="G899" s="2"/>
      <c r="H899" s="26"/>
      <c r="I899" s="26"/>
      <c r="J899" s="2"/>
      <c r="K899" s="2"/>
      <c r="L899" s="2"/>
      <c r="M899" s="2"/>
      <c r="N899" s="2"/>
      <c r="O899" s="2"/>
      <c r="Q899" s="2"/>
      <c r="R899" s="95"/>
    </row>
    <row r="900">
      <c r="A900" s="2"/>
      <c r="B900" s="95"/>
      <c r="C900" s="2"/>
      <c r="D900" s="2"/>
      <c r="E900" s="2"/>
      <c r="F900" s="2"/>
      <c r="G900" s="2"/>
      <c r="H900" s="26"/>
      <c r="I900" s="26"/>
      <c r="J900" s="2"/>
      <c r="K900" s="2"/>
      <c r="L900" s="2"/>
      <c r="M900" s="2"/>
      <c r="N900" s="2"/>
      <c r="O900" s="2"/>
      <c r="Q900" s="2"/>
      <c r="R900" s="95"/>
    </row>
    <row r="901">
      <c r="A901" s="2"/>
      <c r="B901" s="95"/>
      <c r="C901" s="2"/>
      <c r="D901" s="2"/>
      <c r="E901" s="2"/>
      <c r="F901" s="2"/>
      <c r="G901" s="2"/>
      <c r="H901" s="26"/>
      <c r="I901" s="26"/>
      <c r="J901" s="2"/>
      <c r="K901" s="2"/>
      <c r="L901" s="2"/>
      <c r="M901" s="2"/>
      <c r="N901" s="2"/>
      <c r="O901" s="2"/>
      <c r="Q901" s="2"/>
      <c r="R901" s="95"/>
    </row>
    <row r="902">
      <c r="A902" s="2"/>
      <c r="B902" s="95"/>
      <c r="C902" s="2"/>
      <c r="D902" s="2"/>
      <c r="E902" s="2"/>
      <c r="F902" s="2"/>
      <c r="G902" s="2"/>
      <c r="H902" s="26"/>
      <c r="I902" s="26"/>
      <c r="J902" s="2"/>
      <c r="K902" s="2"/>
      <c r="L902" s="2"/>
      <c r="M902" s="2"/>
      <c r="N902" s="2"/>
      <c r="O902" s="2"/>
      <c r="Q902" s="2"/>
      <c r="R902" s="95"/>
    </row>
    <row r="903">
      <c r="A903" s="2"/>
      <c r="B903" s="95"/>
      <c r="C903" s="2"/>
      <c r="D903" s="2"/>
      <c r="E903" s="2"/>
      <c r="F903" s="2"/>
      <c r="G903" s="2"/>
      <c r="H903" s="26"/>
      <c r="I903" s="26"/>
      <c r="J903" s="2"/>
      <c r="K903" s="2"/>
      <c r="L903" s="2"/>
      <c r="M903" s="2"/>
      <c r="N903" s="2"/>
      <c r="O903" s="2"/>
      <c r="R903" s="95"/>
    </row>
    <row r="904">
      <c r="A904" s="2"/>
      <c r="B904" s="95"/>
      <c r="C904" s="2"/>
      <c r="D904" s="2"/>
      <c r="E904" s="2"/>
      <c r="F904" s="2"/>
      <c r="G904" s="2"/>
      <c r="H904" s="26"/>
      <c r="I904" s="26"/>
      <c r="J904" s="2"/>
      <c r="K904" s="2"/>
      <c r="L904" s="2"/>
      <c r="M904" s="2"/>
      <c r="N904" s="2"/>
      <c r="O904" s="2"/>
      <c r="R904" s="95"/>
    </row>
    <row r="905">
      <c r="A905" s="2"/>
      <c r="B905" s="95"/>
      <c r="C905" s="2"/>
      <c r="D905" s="2"/>
      <c r="E905" s="2"/>
      <c r="F905" s="2"/>
      <c r="G905" s="2"/>
      <c r="H905" s="26"/>
      <c r="I905" s="26"/>
      <c r="J905" s="2"/>
      <c r="K905" s="2"/>
      <c r="L905" s="2"/>
      <c r="M905" s="2"/>
      <c r="N905" s="2"/>
      <c r="O905" s="2"/>
      <c r="R905" s="95"/>
    </row>
    <row r="906">
      <c r="A906" s="2"/>
      <c r="B906" s="95"/>
      <c r="C906" s="2"/>
      <c r="D906" s="2"/>
      <c r="E906" s="2"/>
      <c r="F906" s="2"/>
      <c r="G906" s="2"/>
      <c r="H906" s="26"/>
      <c r="I906" s="26"/>
      <c r="J906" s="2"/>
      <c r="K906" s="2"/>
      <c r="L906" s="2"/>
      <c r="M906" s="2"/>
      <c r="N906" s="2"/>
      <c r="O906" s="2"/>
      <c r="Q906" s="2"/>
      <c r="R906" s="95"/>
    </row>
    <row r="907">
      <c r="A907" s="2"/>
      <c r="B907" s="95"/>
      <c r="C907" s="2"/>
      <c r="D907" s="2"/>
      <c r="E907" s="2"/>
      <c r="F907" s="2"/>
      <c r="G907" s="2"/>
      <c r="H907" s="26"/>
      <c r="I907" s="26"/>
      <c r="J907" s="2"/>
      <c r="K907" s="2"/>
      <c r="L907" s="2"/>
      <c r="M907" s="2"/>
      <c r="N907" s="2"/>
      <c r="O907" s="2"/>
      <c r="P907" s="2"/>
      <c r="Q907" s="2"/>
      <c r="R907" s="95"/>
    </row>
    <row r="908">
      <c r="A908" s="2"/>
      <c r="B908" s="95"/>
      <c r="C908" s="2"/>
      <c r="D908" s="2"/>
      <c r="E908" s="2"/>
      <c r="F908" s="2"/>
      <c r="G908" s="2"/>
      <c r="H908" s="26"/>
      <c r="I908" s="26"/>
      <c r="J908" s="2"/>
      <c r="K908" s="2"/>
      <c r="L908" s="2"/>
      <c r="M908" s="2"/>
      <c r="N908" s="2"/>
      <c r="O908" s="2"/>
      <c r="R908" s="95"/>
    </row>
    <row r="909">
      <c r="A909" s="2"/>
      <c r="B909" s="95"/>
      <c r="C909" s="2"/>
      <c r="D909" s="2"/>
      <c r="F909" s="2"/>
      <c r="G909" s="2"/>
      <c r="H909" s="26"/>
      <c r="I909" s="26"/>
      <c r="J909" s="2"/>
      <c r="K909" s="2"/>
      <c r="L909" s="2"/>
      <c r="M909" s="2"/>
      <c r="N909" s="2"/>
      <c r="O909" s="2"/>
      <c r="Q909" s="2"/>
      <c r="R909" s="95"/>
    </row>
    <row r="910">
      <c r="A910" s="2"/>
      <c r="B910" s="95"/>
      <c r="C910" s="2"/>
      <c r="D910" s="2"/>
      <c r="F910" s="2"/>
      <c r="G910" s="2"/>
      <c r="H910" s="26"/>
      <c r="I910" s="26"/>
      <c r="J910" s="2"/>
      <c r="K910" s="2"/>
      <c r="L910" s="2"/>
      <c r="M910" s="2"/>
      <c r="N910" s="2"/>
      <c r="O910" s="2"/>
      <c r="R910" s="95"/>
    </row>
    <row r="911">
      <c r="A911" s="2"/>
      <c r="B911" s="95"/>
      <c r="C911" s="2"/>
      <c r="D911" s="2"/>
      <c r="E911" s="2"/>
      <c r="F911" s="2"/>
      <c r="G911" s="2"/>
      <c r="H911" s="26"/>
      <c r="I911" s="26"/>
      <c r="J911" s="2"/>
      <c r="K911" s="2"/>
      <c r="L911" s="2"/>
      <c r="M911" s="2"/>
      <c r="N911" s="2"/>
      <c r="O911" s="2"/>
      <c r="R911" s="95"/>
    </row>
    <row r="912">
      <c r="A912" s="2"/>
      <c r="B912" s="95"/>
      <c r="C912" s="2"/>
      <c r="D912" s="2"/>
      <c r="E912" s="2"/>
      <c r="F912" s="2"/>
      <c r="G912" s="2"/>
      <c r="H912" s="26"/>
      <c r="I912" s="26"/>
      <c r="J912" s="2"/>
      <c r="K912" s="2"/>
      <c r="L912" s="2"/>
      <c r="M912" s="2"/>
      <c r="N912" s="2"/>
      <c r="O912" s="2"/>
      <c r="R912" s="95"/>
    </row>
    <row r="913">
      <c r="A913" s="2"/>
      <c r="B913" s="95"/>
      <c r="C913" s="2"/>
      <c r="D913" s="2"/>
      <c r="E913" s="2"/>
      <c r="F913" s="2"/>
      <c r="G913" s="2"/>
      <c r="H913" s="26"/>
      <c r="I913" s="26"/>
      <c r="J913" s="2"/>
      <c r="K913" s="2"/>
      <c r="L913" s="2"/>
      <c r="M913" s="2"/>
      <c r="N913" s="2"/>
      <c r="O913" s="2"/>
      <c r="Q913" s="2"/>
      <c r="R913" s="95"/>
    </row>
    <row r="914">
      <c r="A914" s="2"/>
      <c r="B914" s="95"/>
      <c r="C914" s="2"/>
      <c r="D914" s="2"/>
      <c r="E914" s="2"/>
      <c r="F914" s="2"/>
      <c r="G914" s="2"/>
      <c r="H914" s="26"/>
      <c r="I914" s="26"/>
      <c r="J914" s="2"/>
      <c r="K914" s="2"/>
      <c r="L914" s="2"/>
      <c r="M914" s="2"/>
      <c r="N914" s="2"/>
      <c r="O914" s="2"/>
      <c r="Q914" s="2"/>
      <c r="R914" s="95"/>
    </row>
    <row r="915">
      <c r="A915" s="2"/>
      <c r="B915" s="95"/>
      <c r="C915" s="2"/>
      <c r="D915" s="2"/>
      <c r="E915" s="2"/>
      <c r="F915" s="2"/>
      <c r="G915" s="2"/>
      <c r="H915" s="26"/>
      <c r="I915" s="26"/>
      <c r="J915" s="2"/>
      <c r="K915" s="2"/>
      <c r="L915" s="2"/>
      <c r="M915" s="2"/>
      <c r="N915" s="2"/>
      <c r="O915" s="2"/>
      <c r="Q915" s="2"/>
      <c r="R915" s="95"/>
    </row>
    <row r="916">
      <c r="A916" s="2"/>
      <c r="B916" s="95"/>
      <c r="C916" s="2"/>
      <c r="D916" s="2"/>
      <c r="E916" s="2"/>
      <c r="F916" s="2"/>
      <c r="G916" s="2"/>
      <c r="H916" s="26"/>
      <c r="I916" s="26"/>
      <c r="J916" s="2"/>
      <c r="K916" s="2"/>
      <c r="L916" s="2"/>
      <c r="M916" s="2"/>
      <c r="N916" s="2"/>
      <c r="O916" s="2"/>
      <c r="P916" s="2"/>
      <c r="Q916" s="2"/>
      <c r="R916" s="95"/>
    </row>
    <row r="917">
      <c r="A917" s="2"/>
      <c r="B917" s="95"/>
      <c r="C917" s="2"/>
      <c r="D917" s="2"/>
      <c r="E917" s="2"/>
      <c r="F917" s="2"/>
      <c r="G917" s="2"/>
      <c r="H917" s="26"/>
      <c r="I917" s="26"/>
      <c r="J917" s="2"/>
      <c r="K917" s="2"/>
      <c r="L917" s="2"/>
      <c r="M917" s="2"/>
      <c r="N917" s="2"/>
      <c r="O917" s="2"/>
      <c r="Q917" s="2"/>
      <c r="R917" s="95"/>
    </row>
    <row r="918">
      <c r="A918" s="2"/>
      <c r="B918" s="95"/>
      <c r="C918" s="2"/>
      <c r="D918" s="2"/>
      <c r="E918" s="2"/>
      <c r="F918" s="2"/>
      <c r="G918" s="2"/>
      <c r="H918" s="26"/>
      <c r="I918" s="26"/>
      <c r="J918" s="2"/>
      <c r="K918" s="2"/>
      <c r="L918" s="2"/>
      <c r="M918" s="2"/>
      <c r="N918" s="2"/>
      <c r="O918" s="2"/>
      <c r="Q918" s="2"/>
      <c r="R918" s="95"/>
    </row>
    <row r="919">
      <c r="A919" s="2"/>
      <c r="B919" s="95"/>
      <c r="C919" s="2"/>
      <c r="D919" s="2"/>
      <c r="E919" s="2"/>
      <c r="F919" s="2"/>
      <c r="G919" s="2"/>
      <c r="H919" s="26"/>
      <c r="I919" s="26"/>
      <c r="J919" s="2"/>
      <c r="K919" s="2"/>
      <c r="L919" s="2"/>
      <c r="M919" s="2"/>
      <c r="N919" s="2"/>
      <c r="O919" s="2"/>
      <c r="Q919" s="2"/>
      <c r="R919" s="95"/>
    </row>
    <row r="920">
      <c r="A920" s="2"/>
      <c r="B920" s="95"/>
      <c r="C920" s="2"/>
      <c r="D920" s="2"/>
      <c r="E920" s="2"/>
      <c r="F920" s="2"/>
      <c r="G920" s="2"/>
      <c r="H920" s="26"/>
      <c r="I920" s="26"/>
      <c r="J920" s="2"/>
      <c r="K920" s="2"/>
      <c r="L920" s="2"/>
      <c r="M920" s="2"/>
      <c r="N920" s="2"/>
      <c r="O920" s="2"/>
      <c r="Q920" s="2"/>
      <c r="R920" s="95"/>
    </row>
    <row r="921">
      <c r="A921" s="2"/>
      <c r="B921" s="95"/>
      <c r="C921" s="2"/>
      <c r="D921" s="2"/>
      <c r="E921" s="2"/>
      <c r="F921" s="2"/>
      <c r="G921" s="2"/>
      <c r="H921" s="26"/>
      <c r="I921" s="26"/>
      <c r="J921" s="2"/>
      <c r="K921" s="2"/>
      <c r="L921" s="2"/>
      <c r="M921" s="2"/>
      <c r="N921" s="2"/>
      <c r="O921" s="2"/>
      <c r="Q921" s="2"/>
      <c r="R921" s="95"/>
    </row>
    <row r="922">
      <c r="A922" s="2"/>
      <c r="B922" s="95"/>
      <c r="C922" s="2"/>
      <c r="D922" s="2"/>
      <c r="E922" s="2"/>
      <c r="F922" s="2"/>
      <c r="G922" s="2"/>
      <c r="H922" s="26"/>
      <c r="I922" s="26"/>
      <c r="J922" s="2"/>
      <c r="K922" s="2"/>
      <c r="L922" s="2"/>
      <c r="M922" s="2"/>
      <c r="N922" s="2"/>
      <c r="O922" s="2"/>
      <c r="Q922" s="2"/>
      <c r="R922" s="95"/>
    </row>
    <row r="923">
      <c r="A923" s="2"/>
      <c r="B923" s="95"/>
      <c r="C923" s="2"/>
      <c r="D923" s="2"/>
      <c r="E923" s="2"/>
      <c r="F923" s="2"/>
      <c r="G923" s="2"/>
      <c r="H923" s="26"/>
      <c r="I923" s="26"/>
      <c r="J923" s="2"/>
      <c r="K923" s="2"/>
      <c r="L923" s="2"/>
      <c r="M923" s="2"/>
      <c r="N923" s="2"/>
      <c r="O923" s="2"/>
      <c r="Q923" s="2"/>
      <c r="R923" s="95"/>
    </row>
    <row r="924">
      <c r="A924" s="2"/>
      <c r="B924" s="95"/>
      <c r="C924" s="2"/>
      <c r="D924" s="2"/>
      <c r="E924" s="2"/>
      <c r="F924" s="2"/>
      <c r="G924" s="2"/>
      <c r="H924" s="26"/>
      <c r="I924" s="26"/>
      <c r="J924" s="2"/>
      <c r="K924" s="2"/>
      <c r="L924" s="2"/>
      <c r="M924" s="2"/>
      <c r="N924" s="2"/>
      <c r="O924" s="2"/>
      <c r="Q924" s="2"/>
      <c r="R924" s="95"/>
    </row>
    <row r="925">
      <c r="A925" s="2"/>
      <c r="B925" s="95"/>
      <c r="C925" s="2"/>
      <c r="D925" s="2"/>
      <c r="E925" s="2"/>
      <c r="F925" s="2"/>
      <c r="G925" s="2"/>
      <c r="H925" s="26"/>
      <c r="I925" s="26"/>
      <c r="J925" s="2"/>
      <c r="K925" s="2"/>
      <c r="L925" s="2"/>
      <c r="M925" s="2"/>
      <c r="N925" s="2"/>
      <c r="O925" s="2"/>
      <c r="Q925" s="2"/>
      <c r="R925" s="95"/>
    </row>
    <row r="926">
      <c r="A926" s="2"/>
      <c r="B926" s="95"/>
      <c r="C926" s="2"/>
      <c r="D926" s="2"/>
      <c r="E926" s="2"/>
      <c r="F926" s="2"/>
      <c r="G926" s="2"/>
      <c r="H926" s="26"/>
      <c r="I926" s="26"/>
      <c r="J926" s="2"/>
      <c r="K926" s="2"/>
      <c r="L926" s="2"/>
      <c r="M926" s="2"/>
      <c r="N926" s="2"/>
      <c r="O926" s="2"/>
      <c r="Q926" s="2"/>
      <c r="R926" s="95"/>
    </row>
    <row r="927">
      <c r="A927" s="2"/>
      <c r="B927" s="95"/>
      <c r="C927" s="2"/>
      <c r="D927" s="2"/>
      <c r="E927" s="2"/>
      <c r="F927" s="2"/>
      <c r="G927" s="2"/>
      <c r="H927" s="26"/>
      <c r="I927" s="26"/>
      <c r="J927" s="2"/>
      <c r="K927" s="2"/>
      <c r="L927" s="2"/>
      <c r="M927" s="2"/>
      <c r="N927" s="2"/>
      <c r="O927" s="2"/>
      <c r="Q927" s="2"/>
      <c r="R927" s="95"/>
    </row>
    <row r="928">
      <c r="A928" s="2"/>
      <c r="B928" s="95"/>
      <c r="C928" s="2"/>
      <c r="D928" s="2"/>
      <c r="E928" s="2"/>
      <c r="F928" s="2"/>
      <c r="G928" s="2"/>
      <c r="H928" s="26"/>
      <c r="I928" s="26"/>
      <c r="J928" s="2"/>
      <c r="K928" s="2"/>
      <c r="L928" s="2"/>
      <c r="M928" s="2"/>
      <c r="N928" s="2"/>
      <c r="O928" s="2"/>
      <c r="Q928" s="2"/>
      <c r="R928" s="95"/>
    </row>
    <row r="929">
      <c r="A929" s="2"/>
      <c r="B929" s="95"/>
      <c r="C929" s="2"/>
      <c r="D929" s="2"/>
      <c r="E929" s="2"/>
      <c r="F929" s="2"/>
      <c r="G929" s="2"/>
      <c r="H929" s="26"/>
      <c r="I929" s="26"/>
      <c r="J929" s="2"/>
      <c r="K929" s="2"/>
      <c r="L929" s="2"/>
      <c r="M929" s="2"/>
      <c r="N929" s="2"/>
      <c r="O929" s="2"/>
      <c r="Q929" s="2"/>
      <c r="R929" s="95"/>
    </row>
    <row r="930">
      <c r="A930" s="2"/>
      <c r="B930" s="95"/>
      <c r="C930" s="2"/>
      <c r="D930" s="2"/>
      <c r="E930" s="2"/>
      <c r="F930" s="2"/>
      <c r="G930" s="2"/>
      <c r="H930" s="26"/>
      <c r="I930" s="26"/>
      <c r="J930" s="2"/>
      <c r="K930" s="2"/>
      <c r="L930" s="2"/>
      <c r="M930" s="2"/>
      <c r="N930" s="2"/>
      <c r="O930" s="2"/>
      <c r="R930" s="95"/>
    </row>
    <row r="931">
      <c r="A931" s="2"/>
      <c r="B931" s="95"/>
      <c r="C931" s="2"/>
      <c r="D931" s="2"/>
      <c r="E931" s="2"/>
      <c r="F931" s="2"/>
      <c r="G931" s="2"/>
      <c r="H931" s="26"/>
      <c r="I931" s="26"/>
      <c r="J931" s="2"/>
      <c r="K931" s="2"/>
      <c r="L931" s="2"/>
      <c r="M931" s="2"/>
      <c r="N931" s="2"/>
      <c r="O931" s="2"/>
      <c r="Q931" s="2"/>
      <c r="R931" s="95"/>
    </row>
    <row r="932">
      <c r="A932" s="2"/>
      <c r="B932" s="95"/>
      <c r="C932" s="2"/>
      <c r="D932" s="2"/>
      <c r="E932" s="2"/>
      <c r="F932" s="2"/>
      <c r="G932" s="2"/>
      <c r="H932" s="26"/>
      <c r="I932" s="26"/>
      <c r="J932" s="2"/>
      <c r="K932" s="2"/>
      <c r="L932" s="2"/>
      <c r="M932" s="2"/>
      <c r="N932" s="2"/>
      <c r="O932" s="2"/>
      <c r="Q932" s="2"/>
      <c r="R932" s="95"/>
    </row>
    <row r="933">
      <c r="A933" s="2"/>
      <c r="B933" s="95"/>
      <c r="C933" s="2"/>
      <c r="D933" s="2"/>
      <c r="E933" s="2"/>
      <c r="F933" s="2"/>
      <c r="G933" s="2"/>
      <c r="H933" s="26"/>
      <c r="I933" s="26"/>
      <c r="J933" s="2"/>
      <c r="K933" s="2"/>
      <c r="L933" s="2"/>
      <c r="M933" s="2"/>
      <c r="N933" s="2"/>
      <c r="O933" s="2"/>
      <c r="Q933" s="2"/>
      <c r="R933" s="95"/>
    </row>
    <row r="934">
      <c r="A934" s="2"/>
      <c r="B934" s="95"/>
      <c r="C934" s="2"/>
      <c r="D934" s="2"/>
      <c r="E934" s="2"/>
      <c r="F934" s="2"/>
      <c r="G934" s="2"/>
      <c r="H934" s="26"/>
      <c r="I934" s="26"/>
      <c r="J934" s="2"/>
      <c r="K934" s="2"/>
      <c r="L934" s="2"/>
      <c r="M934" s="2"/>
      <c r="N934" s="2"/>
      <c r="O934" s="2"/>
      <c r="Q934" s="2"/>
      <c r="R934" s="95"/>
    </row>
    <row r="935">
      <c r="A935" s="2"/>
      <c r="B935" s="95"/>
      <c r="C935" s="2"/>
      <c r="D935" s="2"/>
      <c r="E935" s="2"/>
      <c r="F935" s="2"/>
      <c r="G935" s="2"/>
      <c r="H935" s="26"/>
      <c r="I935" s="26"/>
      <c r="J935" s="2"/>
      <c r="K935" s="2"/>
      <c r="L935" s="2"/>
      <c r="M935" s="2"/>
      <c r="N935" s="2"/>
      <c r="O935" s="2"/>
      <c r="Q935" s="2"/>
      <c r="R935" s="95"/>
    </row>
    <row r="936">
      <c r="A936" s="2"/>
      <c r="B936" s="95"/>
      <c r="C936" s="2"/>
      <c r="D936" s="2"/>
      <c r="E936" s="2"/>
      <c r="F936" s="2"/>
      <c r="G936" s="2"/>
      <c r="H936" s="26"/>
      <c r="I936" s="26"/>
      <c r="J936" s="2"/>
      <c r="K936" s="2"/>
      <c r="L936" s="2"/>
      <c r="M936" s="2"/>
      <c r="N936" s="2"/>
      <c r="O936" s="2"/>
      <c r="Q936" s="2"/>
      <c r="R936" s="95"/>
    </row>
    <row r="937">
      <c r="A937" s="2"/>
      <c r="B937" s="95"/>
      <c r="C937" s="2"/>
      <c r="D937" s="2"/>
      <c r="E937" s="2"/>
      <c r="F937" s="2"/>
      <c r="G937" s="2"/>
      <c r="H937" s="26"/>
      <c r="I937" s="26"/>
      <c r="J937" s="2"/>
      <c r="K937" s="2"/>
      <c r="L937" s="2"/>
      <c r="M937" s="2"/>
      <c r="N937" s="2"/>
      <c r="O937" s="2"/>
      <c r="Q937" s="2"/>
      <c r="R937" s="95"/>
    </row>
    <row r="938">
      <c r="A938" s="2"/>
      <c r="B938" s="95"/>
      <c r="C938" s="2"/>
      <c r="D938" s="2"/>
      <c r="E938" s="2"/>
      <c r="F938" s="2"/>
      <c r="G938" s="2"/>
      <c r="H938" s="26"/>
      <c r="I938" s="26"/>
      <c r="J938" s="2"/>
      <c r="K938" s="2"/>
      <c r="L938" s="2"/>
      <c r="M938" s="2"/>
      <c r="N938" s="2"/>
      <c r="O938" s="2"/>
      <c r="Q938" s="2"/>
      <c r="R938" s="95"/>
    </row>
    <row r="939">
      <c r="A939" s="2"/>
      <c r="B939" s="95"/>
      <c r="C939" s="2"/>
      <c r="D939" s="2"/>
      <c r="E939" s="2"/>
      <c r="F939" s="2"/>
      <c r="G939" s="2"/>
      <c r="H939" s="26"/>
      <c r="I939" s="26"/>
      <c r="J939" s="2"/>
      <c r="K939" s="2"/>
      <c r="L939" s="2"/>
      <c r="M939" s="2"/>
      <c r="N939" s="2"/>
      <c r="O939" s="2"/>
      <c r="Q939" s="2"/>
      <c r="R939" s="95"/>
    </row>
    <row r="940">
      <c r="A940" s="2"/>
      <c r="B940" s="95"/>
      <c r="C940" s="2"/>
      <c r="D940" s="2"/>
      <c r="E940" s="2"/>
      <c r="F940" s="2"/>
      <c r="G940" s="2"/>
      <c r="H940" s="26"/>
      <c r="I940" s="26"/>
      <c r="J940" s="2"/>
      <c r="K940" s="2"/>
      <c r="L940" s="2"/>
      <c r="M940" s="2"/>
      <c r="N940" s="2"/>
      <c r="O940" s="2"/>
      <c r="Q940" s="2"/>
      <c r="R940" s="95"/>
    </row>
    <row r="941">
      <c r="A941" s="2"/>
      <c r="B941" s="95"/>
      <c r="C941" s="2"/>
      <c r="D941" s="2"/>
      <c r="E941" s="2"/>
      <c r="F941" s="2"/>
      <c r="G941" s="2"/>
      <c r="H941" s="26"/>
      <c r="I941" s="26"/>
      <c r="J941" s="2"/>
      <c r="K941" s="2"/>
      <c r="L941" s="2"/>
      <c r="M941" s="2"/>
      <c r="N941" s="2"/>
      <c r="O941" s="2"/>
      <c r="Q941" s="2"/>
      <c r="R941" s="95"/>
    </row>
    <row r="942">
      <c r="A942" s="2"/>
      <c r="B942" s="95"/>
      <c r="C942" s="2"/>
      <c r="D942" s="2"/>
      <c r="E942" s="2"/>
      <c r="F942" s="2"/>
      <c r="G942" s="2"/>
      <c r="H942" s="26"/>
      <c r="I942" s="26"/>
      <c r="J942" s="2"/>
      <c r="K942" s="2"/>
      <c r="L942" s="2"/>
      <c r="M942" s="2"/>
      <c r="N942" s="2"/>
      <c r="O942" s="2"/>
      <c r="Q942" s="2"/>
      <c r="R942" s="95"/>
    </row>
    <row r="943">
      <c r="A943" s="2"/>
      <c r="B943" s="95"/>
      <c r="C943" s="2"/>
      <c r="D943" s="2"/>
      <c r="E943" s="2"/>
      <c r="F943" s="2"/>
      <c r="G943" s="2"/>
      <c r="H943" s="26"/>
      <c r="I943" s="26"/>
      <c r="J943" s="2"/>
      <c r="K943" s="2"/>
      <c r="L943" s="2"/>
      <c r="M943" s="2"/>
      <c r="N943" s="2"/>
      <c r="O943" s="2"/>
      <c r="Q943" s="2"/>
      <c r="R943" s="95"/>
    </row>
    <row r="944">
      <c r="A944" s="2"/>
      <c r="B944" s="95"/>
      <c r="C944" s="2"/>
      <c r="D944" s="2"/>
      <c r="E944" s="2"/>
      <c r="F944" s="2"/>
      <c r="G944" s="2"/>
      <c r="H944" s="26"/>
      <c r="I944" s="26"/>
      <c r="J944" s="2"/>
      <c r="K944" s="2"/>
      <c r="L944" s="2"/>
      <c r="M944" s="2"/>
      <c r="N944" s="2"/>
      <c r="O944" s="2"/>
      <c r="Q944" s="2"/>
      <c r="R944" s="95"/>
    </row>
    <row r="945">
      <c r="A945" s="2"/>
      <c r="B945" s="95"/>
      <c r="C945" s="2"/>
      <c r="D945" s="2"/>
      <c r="E945" s="2"/>
      <c r="F945" s="2"/>
      <c r="G945" s="2"/>
      <c r="H945" s="26"/>
      <c r="I945" s="26"/>
      <c r="J945" s="2"/>
      <c r="K945" s="2"/>
      <c r="L945" s="2"/>
      <c r="M945" s="2"/>
      <c r="N945" s="2"/>
      <c r="O945" s="2"/>
      <c r="Q945" s="2"/>
      <c r="R945" s="95"/>
    </row>
    <row r="946">
      <c r="A946" s="2"/>
      <c r="B946" s="95"/>
      <c r="C946" s="2"/>
      <c r="D946" s="2"/>
      <c r="E946" s="2"/>
      <c r="F946" s="2"/>
      <c r="G946" s="2"/>
      <c r="H946" s="26"/>
      <c r="I946" s="26"/>
      <c r="J946" s="2"/>
      <c r="K946" s="2"/>
      <c r="L946" s="2"/>
      <c r="M946" s="2"/>
      <c r="N946" s="2"/>
      <c r="O946" s="2"/>
      <c r="Q946" s="2"/>
      <c r="R946" s="95"/>
    </row>
    <row r="947">
      <c r="A947" s="2"/>
      <c r="B947" s="95"/>
      <c r="C947" s="2"/>
      <c r="D947" s="2"/>
      <c r="E947" s="2"/>
      <c r="F947" s="2"/>
      <c r="G947" s="2"/>
      <c r="H947" s="26"/>
      <c r="I947" s="26"/>
      <c r="J947" s="2"/>
      <c r="K947" s="2"/>
      <c r="L947" s="2"/>
      <c r="M947" s="2"/>
      <c r="N947" s="2"/>
      <c r="O947" s="2"/>
      <c r="Q947" s="2"/>
      <c r="R947" s="95"/>
    </row>
    <row r="948">
      <c r="A948" s="2"/>
      <c r="B948" s="95"/>
      <c r="C948" s="2"/>
      <c r="D948" s="2"/>
      <c r="E948" s="2"/>
      <c r="F948" s="2"/>
      <c r="G948" s="2"/>
      <c r="H948" s="26"/>
      <c r="I948" s="26"/>
      <c r="J948" s="2"/>
      <c r="K948" s="2"/>
      <c r="L948" s="2"/>
      <c r="M948" s="2"/>
      <c r="N948" s="2"/>
      <c r="O948" s="2"/>
      <c r="Q948" s="2"/>
      <c r="R948" s="95"/>
    </row>
    <row r="949">
      <c r="A949" s="2"/>
      <c r="B949" s="95"/>
      <c r="C949" s="2"/>
      <c r="D949" s="2"/>
      <c r="E949" s="2"/>
      <c r="F949" s="2"/>
      <c r="G949" s="2"/>
      <c r="H949" s="26"/>
      <c r="I949" s="26"/>
      <c r="J949" s="2"/>
      <c r="K949" s="2"/>
      <c r="L949" s="2"/>
      <c r="M949" s="2"/>
      <c r="N949" s="2"/>
      <c r="O949" s="2"/>
      <c r="R949" s="95"/>
    </row>
    <row r="950">
      <c r="A950" s="2"/>
      <c r="B950" s="95"/>
      <c r="C950" s="2"/>
      <c r="D950" s="2"/>
      <c r="E950" s="2"/>
      <c r="F950" s="2"/>
      <c r="G950" s="2"/>
      <c r="H950" s="26"/>
      <c r="I950" s="26"/>
      <c r="J950" s="2"/>
      <c r="K950" s="2"/>
      <c r="L950" s="2"/>
      <c r="M950" s="2"/>
      <c r="N950" s="2"/>
      <c r="O950" s="2"/>
      <c r="Q950" s="2"/>
      <c r="R950" s="95"/>
    </row>
    <row r="951">
      <c r="A951" s="2"/>
      <c r="B951" s="95"/>
      <c r="C951" s="2"/>
      <c r="D951" s="2"/>
      <c r="E951" s="2"/>
      <c r="F951" s="2"/>
      <c r="G951" s="2"/>
      <c r="H951" s="26"/>
      <c r="I951" s="26"/>
      <c r="J951" s="2"/>
      <c r="K951" s="2"/>
      <c r="L951" s="2"/>
      <c r="M951" s="2"/>
      <c r="N951" s="2"/>
      <c r="O951" s="2"/>
      <c r="R951" s="95"/>
    </row>
    <row r="952">
      <c r="A952" s="2"/>
      <c r="B952" s="95"/>
      <c r="C952" s="2"/>
      <c r="D952" s="2"/>
      <c r="F952" s="2"/>
      <c r="G952" s="2"/>
      <c r="H952" s="26"/>
      <c r="I952" s="26"/>
      <c r="J952" s="2"/>
      <c r="K952" s="2"/>
      <c r="L952" s="2"/>
      <c r="M952" s="2"/>
      <c r="N952" s="2"/>
      <c r="O952" s="2"/>
      <c r="Q952" s="2"/>
      <c r="R952" s="95"/>
    </row>
    <row r="953">
      <c r="A953" s="2"/>
      <c r="B953" s="95"/>
      <c r="C953" s="2"/>
      <c r="D953" s="2"/>
      <c r="E953" s="2"/>
      <c r="F953" s="2"/>
      <c r="G953" s="2"/>
      <c r="H953" s="26"/>
      <c r="I953" s="26"/>
      <c r="J953" s="2"/>
      <c r="K953" s="2"/>
      <c r="L953" s="2"/>
      <c r="M953" s="2"/>
      <c r="N953" s="2"/>
      <c r="O953" s="2"/>
      <c r="Q953" s="2"/>
      <c r="R953" s="95"/>
    </row>
    <row r="954">
      <c r="A954" s="2"/>
      <c r="B954" s="95"/>
      <c r="C954" s="2"/>
      <c r="D954" s="2"/>
      <c r="E954" s="2"/>
      <c r="F954" s="2"/>
      <c r="G954" s="2"/>
      <c r="H954" s="26"/>
      <c r="I954" s="26"/>
      <c r="J954" s="2"/>
      <c r="K954" s="2"/>
      <c r="L954" s="2"/>
      <c r="M954" s="2"/>
      <c r="N954" s="2"/>
      <c r="O954" s="2"/>
      <c r="Q954" s="2"/>
      <c r="R954" s="95"/>
    </row>
    <row r="955">
      <c r="A955" s="2"/>
      <c r="B955" s="95"/>
      <c r="C955" s="2"/>
      <c r="D955" s="2"/>
      <c r="E955" s="2"/>
      <c r="F955" s="2"/>
      <c r="G955" s="2"/>
      <c r="H955" s="26"/>
      <c r="I955" s="26"/>
      <c r="J955" s="2"/>
      <c r="K955" s="2"/>
      <c r="L955" s="2"/>
      <c r="M955" s="2"/>
      <c r="N955" s="2"/>
      <c r="O955" s="2"/>
      <c r="Q955" s="2"/>
      <c r="R955" s="95"/>
    </row>
    <row r="956">
      <c r="A956" s="2"/>
      <c r="B956" s="95"/>
      <c r="C956" s="2"/>
      <c r="D956" s="2"/>
      <c r="E956" s="2"/>
      <c r="F956" s="2"/>
      <c r="G956" s="2"/>
      <c r="H956" s="26"/>
      <c r="I956" s="26"/>
      <c r="J956" s="2"/>
      <c r="K956" s="2"/>
      <c r="L956" s="2"/>
      <c r="M956" s="2"/>
      <c r="N956" s="2"/>
      <c r="O956" s="2"/>
      <c r="P956" s="2"/>
      <c r="Q956" s="2"/>
      <c r="R956" s="95"/>
    </row>
    <row r="957">
      <c r="A957" s="2"/>
      <c r="B957" s="95"/>
      <c r="C957" s="2"/>
      <c r="D957" s="2"/>
      <c r="E957" s="2"/>
      <c r="F957" s="2"/>
      <c r="G957" s="2"/>
      <c r="H957" s="26"/>
      <c r="I957" s="26"/>
      <c r="J957" s="2"/>
      <c r="K957" s="2"/>
      <c r="L957" s="2"/>
      <c r="M957" s="2"/>
      <c r="N957" s="2"/>
      <c r="O957" s="2"/>
      <c r="P957" s="2"/>
      <c r="Q957" s="2"/>
      <c r="R957" s="95"/>
    </row>
    <row r="958">
      <c r="A958" s="2"/>
      <c r="B958" s="95"/>
      <c r="C958" s="2"/>
      <c r="D958" s="2"/>
      <c r="E958" s="2"/>
      <c r="F958" s="2"/>
      <c r="G958" s="2"/>
      <c r="H958" s="26"/>
      <c r="I958" s="26"/>
      <c r="J958" s="2"/>
      <c r="K958" s="2"/>
      <c r="L958" s="2"/>
      <c r="M958" s="2"/>
      <c r="N958" s="2"/>
      <c r="O958" s="2"/>
      <c r="Q958" s="2"/>
      <c r="R958" s="95"/>
    </row>
    <row r="959">
      <c r="A959" s="2"/>
      <c r="B959" s="95"/>
      <c r="C959" s="2"/>
      <c r="D959" s="2"/>
      <c r="E959" s="2"/>
      <c r="F959" s="2"/>
      <c r="G959" s="2"/>
      <c r="H959" s="26"/>
      <c r="I959" s="26"/>
      <c r="J959" s="2"/>
      <c r="K959" s="2"/>
      <c r="L959" s="2"/>
      <c r="M959" s="2"/>
      <c r="N959" s="2"/>
      <c r="O959" s="2"/>
      <c r="Q959" s="2"/>
      <c r="R959" s="95"/>
    </row>
    <row r="960">
      <c r="A960" s="2"/>
      <c r="B960" s="95"/>
      <c r="C960" s="2"/>
      <c r="D960" s="2"/>
      <c r="E960" s="2"/>
      <c r="F960" s="2"/>
      <c r="G960" s="2"/>
      <c r="H960" s="26"/>
      <c r="I960" s="26"/>
      <c r="J960" s="2"/>
      <c r="K960" s="2"/>
      <c r="L960" s="2"/>
      <c r="M960" s="2"/>
      <c r="N960" s="2"/>
      <c r="O960" s="2"/>
      <c r="Q960" s="2"/>
      <c r="R960" s="95"/>
    </row>
    <row r="961">
      <c r="A961" s="2"/>
      <c r="B961" s="95"/>
      <c r="C961" s="2"/>
      <c r="D961" s="2"/>
      <c r="E961" s="2"/>
      <c r="F961" s="2"/>
      <c r="G961" s="2"/>
      <c r="H961" s="26"/>
      <c r="I961" s="26"/>
      <c r="J961" s="2"/>
      <c r="K961" s="2"/>
      <c r="L961" s="2"/>
      <c r="M961" s="2"/>
      <c r="N961" s="2"/>
      <c r="O961" s="2"/>
      <c r="Q961" s="2"/>
      <c r="R961" s="95"/>
    </row>
    <row r="962">
      <c r="A962" s="2"/>
      <c r="B962" s="95"/>
      <c r="C962" s="2"/>
      <c r="D962" s="2"/>
      <c r="E962" s="2"/>
      <c r="F962" s="2"/>
      <c r="G962" s="2"/>
      <c r="H962" s="26"/>
      <c r="I962" s="26"/>
      <c r="J962" s="2"/>
      <c r="K962" s="2"/>
      <c r="L962" s="2"/>
      <c r="M962" s="2"/>
      <c r="N962" s="2"/>
      <c r="O962" s="2"/>
      <c r="Q962" s="2"/>
      <c r="R962" s="95"/>
    </row>
    <row r="963">
      <c r="A963" s="2"/>
      <c r="B963" s="95"/>
      <c r="C963" s="2"/>
      <c r="D963" s="2"/>
      <c r="E963" s="2"/>
      <c r="F963" s="2"/>
      <c r="G963" s="2"/>
      <c r="H963" s="26"/>
      <c r="I963" s="26"/>
      <c r="J963" s="2"/>
      <c r="K963" s="2"/>
      <c r="L963" s="2"/>
      <c r="M963" s="2"/>
      <c r="N963" s="2"/>
      <c r="O963" s="2"/>
      <c r="Q963" s="2"/>
      <c r="R963" s="95"/>
    </row>
    <row r="964">
      <c r="A964" s="2"/>
      <c r="B964" s="95"/>
      <c r="C964" s="2"/>
      <c r="D964" s="2"/>
      <c r="E964" s="2"/>
      <c r="F964" s="2"/>
      <c r="G964" s="2"/>
      <c r="H964" s="26"/>
      <c r="I964" s="26"/>
      <c r="J964" s="2"/>
      <c r="K964" s="2"/>
      <c r="L964" s="2"/>
      <c r="M964" s="2"/>
      <c r="N964" s="2"/>
      <c r="O964" s="2"/>
      <c r="Q964" s="2"/>
      <c r="R964" s="95"/>
    </row>
    <row r="965">
      <c r="A965" s="2"/>
      <c r="B965" s="95"/>
      <c r="C965" s="2"/>
      <c r="D965" s="2"/>
      <c r="E965" s="2"/>
      <c r="F965" s="2"/>
      <c r="G965" s="2"/>
      <c r="H965" s="26"/>
      <c r="I965" s="26"/>
      <c r="J965" s="2"/>
      <c r="K965" s="2"/>
      <c r="L965" s="2"/>
      <c r="M965" s="2"/>
      <c r="N965" s="2"/>
      <c r="O965" s="2"/>
      <c r="Q965" s="2"/>
      <c r="R965" s="95"/>
    </row>
    <row r="966">
      <c r="A966" s="2"/>
      <c r="B966" s="95"/>
      <c r="C966" s="2"/>
      <c r="D966" s="2"/>
      <c r="E966" s="2"/>
      <c r="F966" s="2"/>
      <c r="G966" s="2"/>
      <c r="H966" s="26"/>
      <c r="I966" s="26"/>
      <c r="J966" s="2"/>
      <c r="K966" s="2"/>
      <c r="L966" s="2"/>
      <c r="M966" s="2"/>
      <c r="N966" s="2"/>
      <c r="O966" s="2"/>
      <c r="Q966" s="2"/>
      <c r="R966" s="95"/>
    </row>
    <row r="967">
      <c r="A967" s="2"/>
      <c r="B967" s="95"/>
      <c r="C967" s="2"/>
      <c r="D967" s="2"/>
      <c r="E967" s="2"/>
      <c r="F967" s="2"/>
      <c r="G967" s="2"/>
      <c r="H967" s="26"/>
      <c r="I967" s="26"/>
      <c r="J967" s="2"/>
      <c r="K967" s="2"/>
      <c r="L967" s="2"/>
      <c r="M967" s="2"/>
      <c r="N967" s="2"/>
      <c r="O967" s="2"/>
      <c r="Q967" s="2"/>
      <c r="R967" s="95"/>
    </row>
    <row r="968">
      <c r="A968" s="2"/>
      <c r="B968" s="95"/>
      <c r="C968" s="2"/>
      <c r="D968" s="2"/>
      <c r="E968" s="2"/>
      <c r="F968" s="2"/>
      <c r="G968" s="2"/>
      <c r="H968" s="26"/>
      <c r="I968" s="26"/>
      <c r="J968" s="2"/>
      <c r="K968" s="2"/>
      <c r="L968" s="2"/>
      <c r="M968" s="2"/>
      <c r="N968" s="2"/>
      <c r="O968" s="2"/>
      <c r="Q968" s="2"/>
      <c r="R968" s="95"/>
    </row>
    <row r="969">
      <c r="A969" s="2"/>
      <c r="B969" s="95"/>
      <c r="C969" s="2"/>
      <c r="D969" s="2"/>
      <c r="F969" s="2"/>
      <c r="G969" s="2"/>
      <c r="H969" s="26"/>
      <c r="I969" s="26"/>
      <c r="J969" s="2"/>
      <c r="K969" s="2"/>
      <c r="L969" s="2"/>
      <c r="M969" s="2"/>
      <c r="N969" s="2"/>
      <c r="O969" s="2"/>
      <c r="Q969" s="2"/>
      <c r="R969" s="95"/>
    </row>
    <row r="970">
      <c r="A970" s="2"/>
      <c r="B970" s="95"/>
      <c r="C970" s="2"/>
      <c r="D970" s="2"/>
      <c r="F970" s="2"/>
      <c r="G970" s="2"/>
      <c r="H970" s="26"/>
      <c r="I970" s="26"/>
      <c r="J970" s="2"/>
      <c r="K970" s="2"/>
      <c r="L970" s="2"/>
      <c r="M970" s="2"/>
      <c r="N970" s="2"/>
      <c r="O970" s="2"/>
      <c r="Q970" s="2"/>
      <c r="R970" s="95"/>
    </row>
    <row r="971">
      <c r="A971" s="2"/>
      <c r="B971" s="95"/>
      <c r="C971" s="2"/>
      <c r="D971" s="2"/>
      <c r="E971" s="2"/>
      <c r="F971" s="2"/>
      <c r="G971" s="2"/>
      <c r="H971" s="26"/>
      <c r="I971" s="26"/>
      <c r="J971" s="2"/>
      <c r="K971" s="2"/>
      <c r="L971" s="2"/>
      <c r="M971" s="2"/>
      <c r="N971" s="2"/>
      <c r="O971" s="2"/>
      <c r="R971" s="95"/>
    </row>
    <row r="972">
      <c r="A972" s="2"/>
      <c r="B972" s="95"/>
      <c r="C972" s="2"/>
      <c r="D972" s="2"/>
      <c r="E972" s="2"/>
      <c r="F972" s="2"/>
      <c r="G972" s="2"/>
      <c r="H972" s="26"/>
      <c r="I972" s="26"/>
      <c r="J972" s="2"/>
      <c r="K972" s="2"/>
      <c r="L972" s="2"/>
      <c r="M972" s="2"/>
      <c r="N972" s="2"/>
      <c r="O972" s="2"/>
      <c r="Q972" s="2"/>
      <c r="R972" s="95"/>
    </row>
    <row r="973">
      <c r="A973" s="2"/>
      <c r="B973" s="95"/>
      <c r="C973" s="2"/>
      <c r="D973" s="2"/>
      <c r="E973" s="2"/>
      <c r="F973" s="2"/>
      <c r="G973" s="2"/>
      <c r="H973" s="26"/>
      <c r="I973" s="26"/>
      <c r="J973" s="2"/>
      <c r="K973" s="2"/>
      <c r="L973" s="2"/>
      <c r="M973" s="2"/>
      <c r="N973" s="2"/>
      <c r="O973" s="2"/>
      <c r="Q973" s="2"/>
      <c r="R973" s="95"/>
    </row>
    <row r="974">
      <c r="A974" s="2"/>
      <c r="B974" s="95"/>
      <c r="C974" s="2"/>
      <c r="D974" s="2"/>
      <c r="E974" s="2"/>
      <c r="F974" s="2"/>
      <c r="G974" s="2"/>
      <c r="H974" s="26"/>
      <c r="I974" s="26"/>
      <c r="J974" s="2"/>
      <c r="K974" s="2"/>
      <c r="L974" s="2"/>
      <c r="M974" s="2"/>
      <c r="N974" s="2"/>
      <c r="O974" s="2"/>
      <c r="R974" s="95"/>
    </row>
    <row r="975">
      <c r="A975" s="2"/>
      <c r="B975" s="95"/>
      <c r="C975" s="2"/>
      <c r="D975" s="2"/>
      <c r="E975" s="2"/>
      <c r="F975" s="2"/>
      <c r="G975" s="2"/>
      <c r="H975" s="26"/>
      <c r="I975" s="26"/>
      <c r="J975" s="2"/>
      <c r="K975" s="2"/>
      <c r="L975" s="2"/>
      <c r="M975" s="2"/>
      <c r="N975" s="2"/>
      <c r="O975" s="2"/>
      <c r="R975" s="95"/>
    </row>
    <row r="976">
      <c r="A976" s="2"/>
      <c r="B976" s="95"/>
      <c r="C976" s="2"/>
      <c r="D976" s="2"/>
      <c r="E976" s="2"/>
      <c r="F976" s="2"/>
      <c r="G976" s="2"/>
      <c r="H976" s="26"/>
      <c r="I976" s="26"/>
      <c r="J976" s="2"/>
      <c r="K976" s="2"/>
      <c r="L976" s="2"/>
      <c r="M976" s="2"/>
      <c r="N976" s="2"/>
      <c r="O976" s="2"/>
      <c r="Q976" s="2"/>
      <c r="R976" s="95"/>
    </row>
    <row r="977">
      <c r="A977" s="2"/>
      <c r="B977" s="95"/>
      <c r="C977" s="2"/>
      <c r="D977" s="2"/>
      <c r="E977" s="2"/>
      <c r="F977" s="2"/>
      <c r="G977" s="2"/>
      <c r="H977" s="26"/>
      <c r="I977" s="26"/>
      <c r="J977" s="2"/>
      <c r="K977" s="2"/>
      <c r="L977" s="2"/>
      <c r="M977" s="2"/>
      <c r="N977" s="2"/>
      <c r="O977" s="2"/>
      <c r="Q977" s="2"/>
      <c r="R977" s="95"/>
    </row>
    <row r="978">
      <c r="A978" s="2"/>
      <c r="B978" s="95"/>
      <c r="C978" s="2"/>
      <c r="D978" s="2"/>
      <c r="E978" s="2"/>
      <c r="F978" s="2"/>
      <c r="G978" s="2"/>
      <c r="H978" s="26"/>
      <c r="I978" s="26"/>
      <c r="J978" s="2"/>
      <c r="K978" s="2"/>
      <c r="L978" s="2"/>
      <c r="M978" s="2"/>
      <c r="N978" s="2"/>
      <c r="O978" s="2"/>
      <c r="P978" s="2"/>
      <c r="Q978" s="2"/>
      <c r="R978" s="95"/>
    </row>
    <row r="979">
      <c r="A979" s="2"/>
      <c r="B979" s="95"/>
      <c r="C979" s="2"/>
      <c r="D979" s="2"/>
      <c r="E979" s="2"/>
      <c r="F979" s="2"/>
      <c r="G979" s="2"/>
      <c r="H979" s="26"/>
      <c r="I979" s="26"/>
      <c r="J979" s="2"/>
      <c r="K979" s="2"/>
      <c r="L979" s="2"/>
      <c r="M979" s="2"/>
      <c r="N979" s="2"/>
      <c r="O979" s="2"/>
      <c r="P979" s="2"/>
      <c r="Q979" s="2"/>
      <c r="R979" s="95"/>
    </row>
    <row r="980">
      <c r="A980" s="2"/>
      <c r="B980" s="95"/>
      <c r="C980" s="2"/>
      <c r="D980" s="2"/>
      <c r="E980" s="2"/>
      <c r="F980" s="2"/>
      <c r="G980" s="2"/>
      <c r="H980" s="26"/>
      <c r="I980" s="26"/>
      <c r="J980" s="2"/>
      <c r="K980" s="2"/>
      <c r="L980" s="2"/>
      <c r="M980" s="2"/>
      <c r="N980" s="2"/>
      <c r="O980" s="2"/>
      <c r="P980" s="2"/>
      <c r="Q980" s="2"/>
      <c r="R980" s="95"/>
    </row>
    <row r="981">
      <c r="A981" s="2"/>
      <c r="B981" s="95"/>
      <c r="C981" s="2"/>
      <c r="D981" s="2"/>
      <c r="E981" s="2"/>
      <c r="F981" s="2"/>
      <c r="G981" s="2"/>
      <c r="H981" s="26"/>
      <c r="I981" s="26"/>
      <c r="J981" s="2"/>
      <c r="K981" s="2"/>
      <c r="L981" s="2"/>
      <c r="M981" s="2"/>
      <c r="N981" s="2"/>
      <c r="O981" s="2"/>
      <c r="Q981" s="2"/>
      <c r="R981" s="95"/>
    </row>
    <row r="982">
      <c r="A982" s="2"/>
      <c r="B982" s="95"/>
      <c r="C982" s="2"/>
      <c r="D982" s="2"/>
      <c r="E982" s="2"/>
      <c r="F982" s="2"/>
      <c r="G982" s="2"/>
      <c r="H982" s="26"/>
      <c r="I982" s="26"/>
      <c r="J982" s="2"/>
      <c r="K982" s="2"/>
      <c r="L982" s="2"/>
      <c r="M982" s="2"/>
      <c r="N982" s="2"/>
      <c r="O982" s="2"/>
      <c r="Q982" s="2"/>
      <c r="R982" s="95"/>
    </row>
    <row r="983">
      <c r="A983" s="2"/>
      <c r="B983" s="95"/>
      <c r="C983" s="2"/>
      <c r="D983" s="2"/>
      <c r="E983" s="2"/>
      <c r="F983" s="2"/>
      <c r="G983" s="2"/>
      <c r="H983" s="26"/>
      <c r="I983" s="26"/>
      <c r="J983" s="2"/>
      <c r="K983" s="2"/>
      <c r="L983" s="2"/>
      <c r="M983" s="2"/>
      <c r="N983" s="2"/>
      <c r="O983" s="2"/>
      <c r="Q983" s="2"/>
      <c r="R983" s="95"/>
    </row>
    <row r="984">
      <c r="A984" s="2"/>
      <c r="B984" s="95"/>
      <c r="C984" s="2"/>
      <c r="D984" s="2"/>
      <c r="E984" s="2"/>
      <c r="F984" s="2"/>
      <c r="G984" s="2"/>
      <c r="H984" s="26"/>
      <c r="I984" s="26"/>
      <c r="J984" s="2"/>
      <c r="K984" s="2"/>
      <c r="L984" s="2"/>
      <c r="M984" s="2"/>
      <c r="N984" s="2"/>
      <c r="O984" s="2"/>
      <c r="Q984" s="2"/>
      <c r="R984" s="95"/>
    </row>
    <row r="985">
      <c r="A985" s="2"/>
      <c r="B985" s="95"/>
      <c r="C985" s="2"/>
      <c r="D985" s="2"/>
      <c r="E985" s="2"/>
      <c r="F985" s="2"/>
      <c r="G985" s="2"/>
      <c r="H985" s="26"/>
      <c r="I985" s="26"/>
      <c r="J985" s="2"/>
      <c r="K985" s="2"/>
      <c r="L985" s="2"/>
      <c r="M985" s="2"/>
      <c r="N985" s="2"/>
      <c r="O985" s="2"/>
      <c r="Q985" s="2"/>
      <c r="R985" s="95"/>
    </row>
    <row r="986">
      <c r="A986" s="2"/>
      <c r="B986" s="95"/>
      <c r="C986" s="2"/>
      <c r="D986" s="2"/>
      <c r="E986" s="2"/>
      <c r="F986" s="2"/>
      <c r="G986" s="2"/>
      <c r="H986" s="26"/>
      <c r="I986" s="26"/>
      <c r="J986" s="2"/>
      <c r="K986" s="2"/>
      <c r="L986" s="2"/>
      <c r="M986" s="2"/>
      <c r="N986" s="2"/>
      <c r="O986" s="2"/>
      <c r="Q986" s="2"/>
      <c r="R986" s="95"/>
    </row>
    <row r="987">
      <c r="A987" s="2"/>
      <c r="B987" s="95"/>
      <c r="C987" s="2"/>
      <c r="D987" s="2"/>
      <c r="E987" s="2"/>
      <c r="F987" s="2"/>
      <c r="G987" s="2"/>
      <c r="H987" s="26"/>
      <c r="I987" s="26"/>
      <c r="J987" s="2"/>
      <c r="K987" s="2"/>
      <c r="L987" s="2"/>
      <c r="M987" s="2"/>
      <c r="N987" s="2"/>
      <c r="O987" s="2"/>
      <c r="Q987" s="2"/>
      <c r="R987" s="95"/>
    </row>
    <row r="988">
      <c r="A988" s="2"/>
      <c r="B988" s="95"/>
      <c r="C988" s="2"/>
      <c r="D988" s="2"/>
      <c r="E988" s="2"/>
      <c r="F988" s="2"/>
      <c r="G988" s="2"/>
      <c r="H988" s="26"/>
      <c r="I988" s="26"/>
      <c r="J988" s="2"/>
      <c r="K988" s="2"/>
      <c r="L988" s="2"/>
      <c r="M988" s="2"/>
      <c r="N988" s="2"/>
      <c r="O988" s="2"/>
      <c r="Q988" s="2"/>
      <c r="R988" s="95"/>
    </row>
    <row r="989">
      <c r="A989" s="2"/>
      <c r="B989" s="95"/>
      <c r="C989" s="2"/>
      <c r="D989" s="2"/>
      <c r="E989" s="2"/>
      <c r="F989" s="2"/>
      <c r="G989" s="2"/>
      <c r="H989" s="26"/>
      <c r="I989" s="26"/>
      <c r="J989" s="2"/>
      <c r="K989" s="2"/>
      <c r="L989" s="2"/>
      <c r="M989" s="2"/>
      <c r="N989" s="2"/>
      <c r="O989" s="2"/>
      <c r="Q989" s="2"/>
      <c r="R989" s="95"/>
    </row>
    <row r="990">
      <c r="A990" s="2"/>
      <c r="B990" s="95"/>
      <c r="C990" s="2"/>
      <c r="D990" s="2"/>
      <c r="E990" s="2"/>
      <c r="F990" s="2"/>
      <c r="G990" s="2"/>
      <c r="H990" s="26"/>
      <c r="I990" s="26"/>
      <c r="J990" s="2"/>
      <c r="K990" s="2"/>
      <c r="L990" s="2"/>
      <c r="M990" s="2"/>
      <c r="N990" s="2"/>
      <c r="O990" s="2"/>
      <c r="Q990" s="2"/>
      <c r="R990" s="95"/>
    </row>
    <row r="991">
      <c r="A991" s="2"/>
      <c r="B991" s="95"/>
      <c r="C991" s="2"/>
      <c r="D991" s="2"/>
      <c r="E991" s="2"/>
      <c r="F991" s="2"/>
      <c r="G991" s="2"/>
      <c r="H991" s="26"/>
      <c r="I991" s="26"/>
      <c r="J991" s="2"/>
      <c r="K991" s="2"/>
      <c r="L991" s="2"/>
      <c r="M991" s="2"/>
      <c r="N991" s="2"/>
      <c r="O991" s="2"/>
      <c r="Q991" s="2"/>
      <c r="R991" s="95"/>
    </row>
    <row r="992">
      <c r="A992" s="2"/>
      <c r="B992" s="95"/>
      <c r="C992" s="2"/>
      <c r="D992" s="2"/>
      <c r="E992" s="2"/>
      <c r="F992" s="2"/>
      <c r="G992" s="2"/>
      <c r="H992" s="26"/>
      <c r="I992" s="26"/>
      <c r="J992" s="2"/>
      <c r="K992" s="2"/>
      <c r="L992" s="2"/>
      <c r="M992" s="2"/>
      <c r="N992" s="2"/>
      <c r="O992" s="2"/>
      <c r="Q992" s="2"/>
      <c r="R992" s="95"/>
    </row>
  </sheetData>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376</v>
      </c>
      <c r="B1" s="2" t="s">
        <v>508</v>
      </c>
    </row>
    <row r="2">
      <c r="A2" s="2" t="s">
        <v>513</v>
      </c>
      <c r="B2" s="72">
        <v>1012.0</v>
      </c>
    </row>
    <row r="3">
      <c r="A3" s="2" t="s">
        <v>237</v>
      </c>
      <c r="B3" s="72">
        <v>136.0</v>
      </c>
    </row>
    <row r="4">
      <c r="A4" s="2" t="s">
        <v>152</v>
      </c>
      <c r="B4" s="72">
        <v>38.0</v>
      </c>
    </row>
    <row r="5">
      <c r="A5" s="2" t="s">
        <v>116</v>
      </c>
      <c r="B5" s="72">
        <v>18.0</v>
      </c>
    </row>
    <row r="6">
      <c r="A6" s="2" t="s">
        <v>78</v>
      </c>
      <c r="B6" s="72">
        <v>17.0</v>
      </c>
    </row>
    <row r="7">
      <c r="A7" s="2" t="s">
        <v>391</v>
      </c>
      <c r="B7" s="72">
        <v>16.0</v>
      </c>
    </row>
    <row r="8">
      <c r="A8" s="2" t="s">
        <v>15</v>
      </c>
      <c r="B8" s="72">
        <v>13.0</v>
      </c>
    </row>
    <row r="9">
      <c r="A9" s="2" t="s">
        <v>430</v>
      </c>
      <c r="B9" s="72">
        <v>12.0</v>
      </c>
    </row>
    <row r="10">
      <c r="A10" s="2" t="s">
        <v>627</v>
      </c>
      <c r="B10" s="72">
        <v>7.0</v>
      </c>
    </row>
    <row r="11">
      <c r="A11" s="2" t="s">
        <v>251</v>
      </c>
      <c r="B11" s="72">
        <v>6.0</v>
      </c>
    </row>
    <row r="12">
      <c r="A12" s="2" t="s">
        <v>354</v>
      </c>
      <c r="B12" s="72">
        <v>1.0</v>
      </c>
    </row>
  </sheetData>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619</v>
      </c>
      <c r="B1" s="2" t="s">
        <v>620</v>
      </c>
      <c r="C1" s="2" t="s">
        <v>621</v>
      </c>
      <c r="D1" s="2" t="s">
        <v>622</v>
      </c>
      <c r="E1" s="2" t="s">
        <v>623</v>
      </c>
      <c r="F1" s="2" t="s">
        <v>624</v>
      </c>
      <c r="G1" s="2" t="s">
        <v>625</v>
      </c>
    </row>
    <row r="2">
      <c r="A2" s="73" t="s">
        <v>626</v>
      </c>
      <c r="B2" s="72">
        <v>3.5676519E7</v>
      </c>
      <c r="C2" s="74">
        <v>46207.96037306713</v>
      </c>
      <c r="D2" s="2" t="s">
        <v>628</v>
      </c>
      <c r="F2" s="2" t="s">
        <v>629</v>
      </c>
      <c r="G2" s="72">
        <v>3.14482176E8</v>
      </c>
    </row>
    <row r="3">
      <c r="A3" s="73" t="s">
        <v>626</v>
      </c>
      <c r="B3" s="72">
        <v>3.5676519E7</v>
      </c>
      <c r="C3" s="74">
        <v>46207.96077222222</v>
      </c>
      <c r="D3" s="2" t="s">
        <v>628</v>
      </c>
      <c r="F3" s="2" t="s">
        <v>629</v>
      </c>
      <c r="G3" s="72">
        <v>3.14484878E8</v>
      </c>
    </row>
    <row r="4">
      <c r="A4" s="73" t="s">
        <v>626</v>
      </c>
      <c r="B4" s="72">
        <v>3.5676519E7</v>
      </c>
      <c r="C4" s="74">
        <v>46207.54414729167</v>
      </c>
      <c r="D4" s="2" t="s">
        <v>628</v>
      </c>
      <c r="F4" s="2" t="s">
        <v>630</v>
      </c>
      <c r="G4" s="72">
        <v>3.1407911E8</v>
      </c>
    </row>
    <row r="5">
      <c r="A5" s="73" t="s">
        <v>631</v>
      </c>
      <c r="B5" s="72">
        <v>8.0064615E7</v>
      </c>
      <c r="C5" s="74">
        <v>46214.75185956019</v>
      </c>
      <c r="D5" s="2" t="s">
        <v>628</v>
      </c>
      <c r="F5" s="2" t="s">
        <v>632</v>
      </c>
      <c r="G5" s="72">
        <v>3.18913754E8</v>
      </c>
    </row>
    <row r="6">
      <c r="A6" s="73" t="s">
        <v>631</v>
      </c>
      <c r="B6" s="72">
        <v>8.0064615E7</v>
      </c>
      <c r="C6" s="74">
        <v>46215.96032643519</v>
      </c>
      <c r="D6" s="2" t="s">
        <v>628</v>
      </c>
      <c r="F6" s="2" t="s">
        <v>633</v>
      </c>
      <c r="G6" s="72">
        <v>3.19859306E8</v>
      </c>
    </row>
    <row r="7">
      <c r="A7" s="73" t="s">
        <v>634</v>
      </c>
      <c r="B7" s="72">
        <v>8.0978453E7</v>
      </c>
      <c r="C7" s="74">
        <v>46220.95945657407</v>
      </c>
      <c r="D7" s="2" t="s">
        <v>628</v>
      </c>
      <c r="F7" s="2" t="s">
        <v>635</v>
      </c>
      <c r="G7" s="72">
        <v>3.23241642E8</v>
      </c>
    </row>
    <row r="8">
      <c r="A8" s="73" t="s">
        <v>634</v>
      </c>
      <c r="C8" s="74">
        <v>46218.7519883912</v>
      </c>
      <c r="D8" s="2" t="s">
        <v>628</v>
      </c>
      <c r="F8" s="2" t="s">
        <v>636</v>
      </c>
      <c r="G8" s="72">
        <v>3.21566706E8</v>
      </c>
    </row>
    <row r="9">
      <c r="A9" s="73" t="s">
        <v>634</v>
      </c>
      <c r="B9" s="72">
        <v>8.0978453E7</v>
      </c>
      <c r="C9" s="74">
        <v>46220.54295459491</v>
      </c>
      <c r="D9" s="2" t="s">
        <v>628</v>
      </c>
      <c r="F9" s="2" t="s">
        <v>630</v>
      </c>
      <c r="G9" s="72">
        <v>3.22751483E8</v>
      </c>
    </row>
    <row r="10">
      <c r="A10" s="73" t="s">
        <v>637</v>
      </c>
      <c r="B10" s="72">
        <v>7.9393651E7</v>
      </c>
      <c r="C10" s="74">
        <v>46213.961998425926</v>
      </c>
      <c r="D10" s="2" t="s">
        <v>628</v>
      </c>
      <c r="F10" s="2" t="s">
        <v>638</v>
      </c>
      <c r="G10" s="72">
        <v>3.18412924E8</v>
      </c>
    </row>
    <row r="11">
      <c r="A11" s="73" t="s">
        <v>637</v>
      </c>
      <c r="B11" s="72">
        <v>7.9393651E7</v>
      </c>
      <c r="C11" s="74">
        <v>46210.753543506944</v>
      </c>
      <c r="D11" s="2" t="s">
        <v>628</v>
      </c>
      <c r="F11" s="2" t="s">
        <v>639</v>
      </c>
      <c r="G11" s="72">
        <v>3.16199102E8</v>
      </c>
    </row>
    <row r="12">
      <c r="A12" s="73" t="s">
        <v>637</v>
      </c>
      <c r="B12" s="72">
        <v>7.9393651E7</v>
      </c>
      <c r="C12" s="74">
        <v>46212.545379675925</v>
      </c>
      <c r="D12" s="2" t="s">
        <v>628</v>
      </c>
      <c r="F12" s="2" t="s">
        <v>630</v>
      </c>
      <c r="G12" s="72">
        <v>3.17261655E8</v>
      </c>
    </row>
    <row r="13">
      <c r="A13" s="73" t="s">
        <v>640</v>
      </c>
      <c r="B13" s="72">
        <v>3113959.0</v>
      </c>
      <c r="C13" s="74">
        <v>46213.75139150463</v>
      </c>
      <c r="D13" s="2" t="s">
        <v>628</v>
      </c>
      <c r="F13" s="2" t="s">
        <v>641</v>
      </c>
      <c r="G13" s="72">
        <v>3.18166744E8</v>
      </c>
    </row>
    <row r="14">
      <c r="A14" s="73" t="s">
        <v>640</v>
      </c>
      <c r="B14" s="72">
        <v>3113959.0</v>
      </c>
      <c r="C14" s="74">
        <v>46226.752272881946</v>
      </c>
      <c r="D14" s="2" t="s">
        <v>628</v>
      </c>
      <c r="F14" s="2" t="s">
        <v>642</v>
      </c>
      <c r="G14" s="72">
        <v>3.27106091E8</v>
      </c>
    </row>
    <row r="15">
      <c r="A15" s="73" t="s">
        <v>640</v>
      </c>
      <c r="B15" s="72">
        <v>3113959.0</v>
      </c>
      <c r="C15" s="74">
        <v>46225.752527916666</v>
      </c>
      <c r="D15" s="2" t="s">
        <v>628</v>
      </c>
      <c r="F15" s="2" t="s">
        <v>643</v>
      </c>
      <c r="G15" s="72">
        <v>3.26432468E8</v>
      </c>
    </row>
    <row r="16">
      <c r="A16" s="73" t="s">
        <v>640</v>
      </c>
      <c r="B16" s="72">
        <v>3113959.0</v>
      </c>
      <c r="C16" s="74">
        <v>46234.75321173611</v>
      </c>
      <c r="D16" s="2" t="s">
        <v>628</v>
      </c>
      <c r="F16" s="2" t="s">
        <v>644</v>
      </c>
      <c r="G16" s="72">
        <v>3.32851234E8</v>
      </c>
    </row>
    <row r="17">
      <c r="A17" s="73" t="s">
        <v>640</v>
      </c>
      <c r="B17" s="72">
        <v>3113959.0</v>
      </c>
      <c r="C17" s="74">
        <v>46228.753699050925</v>
      </c>
      <c r="D17" s="2" t="s">
        <v>628</v>
      </c>
      <c r="F17" s="2" t="s">
        <v>645</v>
      </c>
      <c r="G17" s="72">
        <v>3.28653644E8</v>
      </c>
    </row>
    <row r="18">
      <c r="A18" s="73" t="s">
        <v>646</v>
      </c>
      <c r="B18" s="72">
        <v>8.1834982E7</v>
      </c>
      <c r="C18" s="74">
        <v>46225.75262261574</v>
      </c>
      <c r="D18" s="2" t="s">
        <v>628</v>
      </c>
      <c r="F18" s="2" t="s">
        <v>647</v>
      </c>
      <c r="G18" s="72">
        <v>3.26433644E8</v>
      </c>
    </row>
    <row r="19">
      <c r="A19" s="73" t="s">
        <v>646</v>
      </c>
      <c r="B19" s="72">
        <v>8.1834982E7</v>
      </c>
      <c r="C19" s="74">
        <v>46227.544785729166</v>
      </c>
      <c r="D19" s="2" t="s">
        <v>628</v>
      </c>
      <c r="F19" s="2" t="s">
        <v>630</v>
      </c>
      <c r="G19" s="72">
        <v>3.27638645E8</v>
      </c>
    </row>
    <row r="20">
      <c r="A20" s="73" t="s">
        <v>646</v>
      </c>
      <c r="B20" s="72">
        <v>8.1834982E7</v>
      </c>
      <c r="C20" s="74">
        <v>46229.96057811343</v>
      </c>
      <c r="D20" s="2" t="s">
        <v>628</v>
      </c>
      <c r="F20" s="2" t="s">
        <v>648</v>
      </c>
      <c r="G20" s="72">
        <v>3.29611735E8</v>
      </c>
    </row>
    <row r="21">
      <c r="A21" s="73" t="s">
        <v>649</v>
      </c>
      <c r="B21" s="72">
        <v>8.1487455E7</v>
      </c>
      <c r="C21" s="74">
        <v>46225.96142935185</v>
      </c>
      <c r="D21" s="2" t="s">
        <v>628</v>
      </c>
      <c r="F21" s="2" t="s">
        <v>650</v>
      </c>
      <c r="G21" s="72">
        <v>3.26634393E8</v>
      </c>
    </row>
    <row r="22">
      <c r="A22" s="73" t="s">
        <v>649</v>
      </c>
      <c r="C22" s="74">
        <v>46221.753400173606</v>
      </c>
      <c r="D22" s="2" t="s">
        <v>628</v>
      </c>
      <c r="F22" s="2" t="s">
        <v>651</v>
      </c>
      <c r="G22" s="72">
        <v>3.23781964E8</v>
      </c>
    </row>
    <row r="23">
      <c r="A23" s="73" t="s">
        <v>649</v>
      </c>
      <c r="B23" s="72">
        <v>8.1487455E7</v>
      </c>
      <c r="C23" s="74">
        <v>46223.54498612268</v>
      </c>
      <c r="D23" s="2" t="s">
        <v>628</v>
      </c>
      <c r="F23" s="2" t="s">
        <v>630</v>
      </c>
      <c r="G23" s="72">
        <v>3.24989973E8</v>
      </c>
    </row>
    <row r="24">
      <c r="A24" s="73" t="s">
        <v>652</v>
      </c>
      <c r="B24" s="72">
        <v>8.1525896E7</v>
      </c>
      <c r="C24" s="74">
        <v>46223.808976307875</v>
      </c>
      <c r="D24" s="2" t="s">
        <v>653</v>
      </c>
      <c r="F24" s="2" t="s">
        <v>654</v>
      </c>
      <c r="G24" s="72">
        <v>3.25227005E8</v>
      </c>
    </row>
    <row r="25">
      <c r="A25" s="73" t="s">
        <v>652</v>
      </c>
      <c r="B25" s="72">
        <v>8.1525896E7</v>
      </c>
      <c r="C25" s="74">
        <v>46223.80898028935</v>
      </c>
      <c r="D25" s="2" t="s">
        <v>653</v>
      </c>
      <c r="F25" s="2" t="s">
        <v>655</v>
      </c>
      <c r="G25" s="72">
        <v>3.25227008E8</v>
      </c>
    </row>
    <row r="26">
      <c r="A26" s="73" t="s">
        <v>652</v>
      </c>
      <c r="B26" s="72">
        <v>8.1525896E7</v>
      </c>
      <c r="C26" s="74">
        <v>46225.54653575231</v>
      </c>
      <c r="D26" s="2" t="s">
        <v>628</v>
      </c>
      <c r="F26" s="2" t="s">
        <v>630</v>
      </c>
      <c r="G26" s="72">
        <v>3.26256162E8</v>
      </c>
    </row>
    <row r="27">
      <c r="A27" s="73" t="s">
        <v>652</v>
      </c>
      <c r="B27" s="72">
        <v>8.1525896E7</v>
      </c>
      <c r="C27" s="74">
        <v>46223.75343303241</v>
      </c>
      <c r="D27" s="2" t="s">
        <v>628</v>
      </c>
      <c r="F27" s="2" t="s">
        <v>656</v>
      </c>
      <c r="G27" s="72">
        <v>3.25172116E8</v>
      </c>
    </row>
    <row r="28">
      <c r="A28" s="73" t="s">
        <v>652</v>
      </c>
      <c r="B28" s="72">
        <v>8.1525896E7</v>
      </c>
      <c r="C28" s="74">
        <v>46226.96214658565</v>
      </c>
      <c r="D28" s="2" t="s">
        <v>628</v>
      </c>
      <c r="F28" s="2" t="s">
        <v>657</v>
      </c>
      <c r="G28" s="72">
        <v>3.27344593E8</v>
      </c>
    </row>
    <row r="29">
      <c r="A29" s="73" t="s">
        <v>658</v>
      </c>
      <c r="C29" s="74">
        <v>46228.751402766204</v>
      </c>
      <c r="D29" s="2" t="s">
        <v>628</v>
      </c>
      <c r="F29" s="2" t="s">
        <v>659</v>
      </c>
      <c r="G29" s="72">
        <v>3.28637834E8</v>
      </c>
    </row>
    <row r="30">
      <c r="A30" s="73" t="s">
        <v>658</v>
      </c>
      <c r="B30" s="72">
        <v>8.2654146E7</v>
      </c>
      <c r="C30" s="74">
        <v>46231.95984188658</v>
      </c>
      <c r="D30" s="2" t="s">
        <v>628</v>
      </c>
      <c r="F30" s="2" t="s">
        <v>660</v>
      </c>
      <c r="G30" s="72">
        <v>3.30915068E8</v>
      </c>
    </row>
    <row r="31">
      <c r="A31" s="73" t="s">
        <v>658</v>
      </c>
      <c r="B31" s="72">
        <v>8.2654146E7</v>
      </c>
      <c r="C31" s="74">
        <v>46230.54467295139</v>
      </c>
      <c r="D31" s="2" t="s">
        <v>628</v>
      </c>
      <c r="F31" s="2" t="s">
        <v>630</v>
      </c>
      <c r="G31" s="72">
        <v>3.29861523E8</v>
      </c>
    </row>
    <row r="32">
      <c r="A32" s="73" t="s">
        <v>661</v>
      </c>
      <c r="B32" s="72">
        <v>7.8628655E7</v>
      </c>
      <c r="C32" s="74">
        <v>46207.9616671875</v>
      </c>
      <c r="D32" s="2" t="s">
        <v>628</v>
      </c>
      <c r="F32" s="2" t="s">
        <v>662</v>
      </c>
      <c r="G32" s="72">
        <v>3.14489437E8</v>
      </c>
    </row>
    <row r="33">
      <c r="A33" s="73" t="s">
        <v>661</v>
      </c>
      <c r="B33" s="72">
        <v>7.8628655E7</v>
      </c>
      <c r="C33" s="74">
        <v>46205.75361712963</v>
      </c>
      <c r="D33" s="2" t="s">
        <v>628</v>
      </c>
      <c r="F33" s="2" t="s">
        <v>663</v>
      </c>
      <c r="G33" s="72">
        <v>3.12843193E8</v>
      </c>
    </row>
    <row r="34">
      <c r="A34" s="73" t="s">
        <v>661</v>
      </c>
      <c r="B34" s="72">
        <v>7.8628655E7</v>
      </c>
      <c r="C34" s="74">
        <v>46207.545031539354</v>
      </c>
      <c r="D34" s="2" t="s">
        <v>628</v>
      </c>
      <c r="F34" s="2" t="s">
        <v>630</v>
      </c>
      <c r="G34" s="72">
        <v>3.14094576E8</v>
      </c>
    </row>
    <row r="35">
      <c r="A35" s="73" t="s">
        <v>664</v>
      </c>
      <c r="B35" s="72">
        <v>8.1381203E7</v>
      </c>
      <c r="C35" s="74">
        <v>46222.75257590278</v>
      </c>
      <c r="D35" s="2" t="s">
        <v>628</v>
      </c>
      <c r="F35" s="2" t="s">
        <v>665</v>
      </c>
      <c r="G35" s="72">
        <v>3.24545629E8</v>
      </c>
    </row>
    <row r="36">
      <c r="A36" s="73" t="s">
        <v>664</v>
      </c>
      <c r="B36" s="72">
        <v>8.1381203E7</v>
      </c>
      <c r="C36" s="74">
        <v>46224.54359168981</v>
      </c>
      <c r="D36" s="2" t="s">
        <v>628</v>
      </c>
      <c r="F36" s="2" t="s">
        <v>630</v>
      </c>
      <c r="G36" s="72">
        <v>3.25602635E8</v>
      </c>
    </row>
    <row r="37">
      <c r="A37" s="73" t="s">
        <v>664</v>
      </c>
      <c r="B37" s="72">
        <v>8.1381203E7</v>
      </c>
      <c r="C37" s="74">
        <v>46226.96077788195</v>
      </c>
      <c r="D37" s="2" t="s">
        <v>628</v>
      </c>
      <c r="F37" s="2" t="s">
        <v>666</v>
      </c>
      <c r="G37" s="72">
        <v>3.27339485E8</v>
      </c>
    </row>
    <row r="38">
      <c r="A38" s="73" t="s">
        <v>664</v>
      </c>
      <c r="B38" s="72">
        <v>8.1381203E7</v>
      </c>
      <c r="C38" s="74">
        <v>46226.6363537963</v>
      </c>
      <c r="D38" s="2" t="s">
        <v>667</v>
      </c>
      <c r="E38" s="2" t="s">
        <v>668</v>
      </c>
      <c r="F38" s="2" t="s">
        <v>669</v>
      </c>
      <c r="G38" s="72">
        <v>3.27014381E8</v>
      </c>
    </row>
    <row r="39">
      <c r="A39" s="73" t="s">
        <v>670</v>
      </c>
      <c r="B39" s="72">
        <v>7.8526789E7</v>
      </c>
      <c r="C39" s="74">
        <v>46204.96076122685</v>
      </c>
      <c r="D39" s="2" t="s">
        <v>628</v>
      </c>
      <c r="F39" s="2" t="s">
        <v>671</v>
      </c>
      <c r="G39" s="72">
        <v>3.1238425E8</v>
      </c>
    </row>
    <row r="40">
      <c r="A40" s="73" t="s">
        <v>672</v>
      </c>
      <c r="B40" s="72">
        <v>8.1217635E7</v>
      </c>
      <c r="C40" s="74">
        <v>46223.543536770834</v>
      </c>
      <c r="D40" s="2" t="s">
        <v>628</v>
      </c>
      <c r="F40" s="2" t="s">
        <v>630</v>
      </c>
      <c r="G40" s="72">
        <v>3.24967336E8</v>
      </c>
    </row>
    <row r="41">
      <c r="A41" s="73" t="s">
        <v>672</v>
      </c>
      <c r="B41" s="72">
        <v>8.1217635E7</v>
      </c>
      <c r="C41" s="74">
        <v>46223.95973361111</v>
      </c>
      <c r="D41" s="2" t="s">
        <v>628</v>
      </c>
      <c r="F41" s="2" t="s">
        <v>657</v>
      </c>
      <c r="G41" s="72">
        <v>3.25363525E8</v>
      </c>
    </row>
    <row r="42">
      <c r="A42" s="73" t="s">
        <v>672</v>
      </c>
      <c r="B42" s="72">
        <v>8.1217635E7</v>
      </c>
      <c r="C42" s="74">
        <v>46221.75205736111</v>
      </c>
      <c r="D42" s="2" t="s">
        <v>628</v>
      </c>
      <c r="F42" s="2" t="s">
        <v>656</v>
      </c>
      <c r="G42" s="72">
        <v>3.23772293E8</v>
      </c>
    </row>
    <row r="43">
      <c r="A43" s="73" t="s">
        <v>673</v>
      </c>
      <c r="B43" s="72">
        <v>8.0877516E7</v>
      </c>
      <c r="C43" s="74">
        <v>46220.959239386575</v>
      </c>
      <c r="D43" s="2" t="s">
        <v>628</v>
      </c>
      <c r="F43" s="2" t="s">
        <v>674</v>
      </c>
      <c r="G43" s="72">
        <v>3.23241074E8</v>
      </c>
    </row>
    <row r="44">
      <c r="A44" s="73" t="s">
        <v>673</v>
      </c>
      <c r="B44" s="72">
        <v>8.0877516E7</v>
      </c>
      <c r="C44" s="74">
        <v>46219.82009136574</v>
      </c>
      <c r="D44" s="2" t="s">
        <v>628</v>
      </c>
      <c r="F44" s="2" t="s">
        <v>675</v>
      </c>
      <c r="G44" s="72">
        <v>3.22336868E8</v>
      </c>
    </row>
    <row r="45">
      <c r="A45" s="73" t="s">
        <v>676</v>
      </c>
      <c r="B45" s="72">
        <v>8.138341E7</v>
      </c>
      <c r="C45" s="74">
        <v>46222.75355216435</v>
      </c>
      <c r="D45" s="2" t="s">
        <v>628</v>
      </c>
      <c r="F45" s="2" t="s">
        <v>677</v>
      </c>
      <c r="G45" s="72">
        <v>3.24551694E8</v>
      </c>
    </row>
    <row r="46">
      <c r="A46" s="73" t="s">
        <v>676</v>
      </c>
      <c r="B46" s="72">
        <v>8.138341E7</v>
      </c>
      <c r="C46" s="74">
        <v>46223.96216034722</v>
      </c>
      <c r="D46" s="2" t="s">
        <v>628</v>
      </c>
      <c r="F46" s="2" t="s">
        <v>678</v>
      </c>
      <c r="G46" s="72">
        <v>3.2536964E8</v>
      </c>
    </row>
    <row r="47">
      <c r="A47" s="73" t="s">
        <v>679</v>
      </c>
      <c r="B47" s="72">
        <v>8.1190222E7</v>
      </c>
      <c r="C47" s="74">
        <v>46221.95936738426</v>
      </c>
      <c r="D47" s="2" t="s">
        <v>628</v>
      </c>
      <c r="F47" s="2" t="s">
        <v>680</v>
      </c>
      <c r="G47" s="72">
        <v>3.23989121E8</v>
      </c>
    </row>
    <row r="48">
      <c r="A48" s="73" t="s">
        <v>679</v>
      </c>
      <c r="B48" s="72">
        <v>8.1190222E7</v>
      </c>
      <c r="C48" s="74">
        <v>46221.60942087963</v>
      </c>
      <c r="D48" s="2" t="s">
        <v>628</v>
      </c>
      <c r="F48" s="2" t="s">
        <v>681</v>
      </c>
      <c r="G48" s="72">
        <v>3.23635613E8</v>
      </c>
    </row>
    <row r="49">
      <c r="A49" s="73" t="s">
        <v>682</v>
      </c>
      <c r="B49" s="72">
        <v>8.319343E7</v>
      </c>
      <c r="C49" s="74">
        <v>46233.75252880787</v>
      </c>
      <c r="D49" s="2" t="s">
        <v>628</v>
      </c>
      <c r="F49" s="2" t="s">
        <v>683</v>
      </c>
      <c r="G49" s="72">
        <v>3.32071545E8</v>
      </c>
    </row>
    <row r="50">
      <c r="A50" s="73" t="s">
        <v>684</v>
      </c>
      <c r="B50" s="72">
        <v>8.1221544E7</v>
      </c>
      <c r="C50" s="74">
        <v>46222.9615724537</v>
      </c>
      <c r="D50" s="2" t="s">
        <v>628</v>
      </c>
      <c r="F50" s="2" t="s">
        <v>685</v>
      </c>
      <c r="G50" s="72">
        <v>3.24728471E8</v>
      </c>
    </row>
    <row r="51">
      <c r="A51" s="73" t="s">
        <v>684</v>
      </c>
      <c r="B51" s="72">
        <v>8.1221544E7</v>
      </c>
      <c r="C51" s="74">
        <v>46221.75354133102</v>
      </c>
      <c r="D51" s="2" t="s">
        <v>628</v>
      </c>
      <c r="F51" s="2" t="s">
        <v>686</v>
      </c>
      <c r="G51" s="72">
        <v>3.23782794E8</v>
      </c>
    </row>
    <row r="52">
      <c r="A52" s="73" t="s">
        <v>687</v>
      </c>
      <c r="B52" s="72">
        <v>8.20027E7</v>
      </c>
      <c r="C52" s="74">
        <v>46226.79719414352</v>
      </c>
      <c r="D52" s="2" t="s">
        <v>653</v>
      </c>
      <c r="F52" s="2" t="s">
        <v>688</v>
      </c>
      <c r="G52" s="72">
        <v>3.27179866E8</v>
      </c>
    </row>
    <row r="53">
      <c r="A53" s="73" t="s">
        <v>687</v>
      </c>
      <c r="B53" s="72">
        <v>8.20027E7</v>
      </c>
      <c r="C53" s="74">
        <v>46234.65475811342</v>
      </c>
      <c r="D53" s="2" t="s">
        <v>653</v>
      </c>
      <c r="F53" s="2" t="s">
        <v>689</v>
      </c>
      <c r="G53" s="72">
        <v>3.32750991E8</v>
      </c>
    </row>
    <row r="54">
      <c r="A54" s="73" t="s">
        <v>687</v>
      </c>
      <c r="B54" s="72">
        <v>8.20027E7</v>
      </c>
      <c r="C54" s="74">
        <v>46228.96027710648</v>
      </c>
      <c r="D54" s="2" t="s">
        <v>628</v>
      </c>
      <c r="F54" s="2" t="s">
        <v>690</v>
      </c>
      <c r="G54" s="72">
        <v>3.28863099E8</v>
      </c>
    </row>
    <row r="55">
      <c r="A55" s="73" t="s">
        <v>687</v>
      </c>
      <c r="B55" s="72">
        <v>8.20027E7</v>
      </c>
      <c r="C55" s="74">
        <v>46227.6662553125</v>
      </c>
      <c r="D55" s="2" t="s">
        <v>653</v>
      </c>
      <c r="F55" s="2" t="s">
        <v>688</v>
      </c>
      <c r="G55" s="72">
        <v>3.27783568E8</v>
      </c>
    </row>
    <row r="56">
      <c r="A56" s="73" t="s">
        <v>687</v>
      </c>
      <c r="B56" s="72">
        <v>8.20027E7</v>
      </c>
      <c r="C56" s="74">
        <v>46230.66001085648</v>
      </c>
      <c r="D56" s="2" t="s">
        <v>653</v>
      </c>
      <c r="F56" s="2" t="s">
        <v>691</v>
      </c>
      <c r="G56" s="72">
        <v>3.29989066E8</v>
      </c>
    </row>
    <row r="57">
      <c r="A57" s="73" t="s">
        <v>687</v>
      </c>
      <c r="B57" s="72">
        <v>8.20027E7</v>
      </c>
      <c r="C57" s="74">
        <v>46229.53075777778</v>
      </c>
      <c r="D57" s="2" t="s">
        <v>653</v>
      </c>
      <c r="F57" s="2" t="s">
        <v>692</v>
      </c>
      <c r="G57" s="72">
        <v>3.29178739E8</v>
      </c>
    </row>
    <row r="58">
      <c r="A58" s="73" t="s">
        <v>687</v>
      </c>
      <c r="B58" s="72">
        <v>8.20027E7</v>
      </c>
      <c r="C58" s="74">
        <v>46226.797189178236</v>
      </c>
      <c r="D58" s="2" t="s">
        <v>653</v>
      </c>
      <c r="F58" s="2" t="s">
        <v>693</v>
      </c>
      <c r="G58" s="72">
        <v>3.27179864E8</v>
      </c>
    </row>
    <row r="59">
      <c r="A59" s="73" t="s">
        <v>687</v>
      </c>
      <c r="B59" s="72">
        <v>8.20027E7</v>
      </c>
      <c r="C59" s="74">
        <v>46228.544482743055</v>
      </c>
      <c r="D59" s="2" t="s">
        <v>628</v>
      </c>
      <c r="F59" s="2" t="s">
        <v>630</v>
      </c>
      <c r="G59" s="72">
        <v>3.28426044E8</v>
      </c>
    </row>
    <row r="60">
      <c r="A60" s="73" t="s">
        <v>687</v>
      </c>
      <c r="B60" s="72">
        <v>8.20027E7</v>
      </c>
      <c r="C60" s="74">
        <v>46226.75315729166</v>
      </c>
      <c r="D60" s="2" t="s">
        <v>628</v>
      </c>
      <c r="F60" s="2" t="s">
        <v>694</v>
      </c>
      <c r="G60" s="72">
        <v>3.27110748E8</v>
      </c>
    </row>
    <row r="61">
      <c r="A61" s="73" t="s">
        <v>695</v>
      </c>
      <c r="B61" s="72">
        <v>8.1217452E7</v>
      </c>
      <c r="C61" s="74">
        <v>46222.95974152778</v>
      </c>
      <c r="D61" s="2" t="s">
        <v>628</v>
      </c>
      <c r="F61" s="2" t="s">
        <v>696</v>
      </c>
      <c r="G61" s="72">
        <v>3.24722617E8</v>
      </c>
    </row>
    <row r="62">
      <c r="A62" s="73" t="s">
        <v>695</v>
      </c>
      <c r="B62" s="72">
        <v>8.1217452E7</v>
      </c>
      <c r="C62" s="74">
        <v>46221.75198076389</v>
      </c>
      <c r="D62" s="2" t="s">
        <v>628</v>
      </c>
      <c r="F62" s="2" t="s">
        <v>697</v>
      </c>
      <c r="G62" s="72">
        <v>3.23771851E8</v>
      </c>
    </row>
    <row r="63">
      <c r="A63" s="73" t="s">
        <v>698</v>
      </c>
      <c r="B63" s="72">
        <v>7.8573524E7</v>
      </c>
      <c r="C63" s="74">
        <v>46205.5301934375</v>
      </c>
      <c r="D63" s="2" t="s">
        <v>628</v>
      </c>
      <c r="F63" s="2" t="s">
        <v>656</v>
      </c>
      <c r="G63" s="72">
        <v>3.12610894E8</v>
      </c>
    </row>
    <row r="64">
      <c r="A64" s="73" t="s">
        <v>698</v>
      </c>
      <c r="B64" s="72">
        <v>7.8573524E7</v>
      </c>
      <c r="C64" s="74">
        <v>46205.96165704861</v>
      </c>
      <c r="D64" s="2" t="s">
        <v>628</v>
      </c>
      <c r="F64" s="2" t="s">
        <v>699</v>
      </c>
      <c r="G64" s="72">
        <v>3.13059789E8</v>
      </c>
    </row>
    <row r="65">
      <c r="A65" s="73" t="s">
        <v>700</v>
      </c>
      <c r="B65" s="72">
        <v>7.9879803E7</v>
      </c>
      <c r="C65" s="74">
        <v>46213.7522058912</v>
      </c>
      <c r="D65" s="2" t="s">
        <v>628</v>
      </c>
      <c r="F65" s="2" t="s">
        <v>701</v>
      </c>
      <c r="G65" s="72">
        <v>3.18172168E8</v>
      </c>
    </row>
    <row r="66">
      <c r="A66" s="73" t="s">
        <v>700</v>
      </c>
      <c r="B66" s="72">
        <v>7.9879803E7</v>
      </c>
      <c r="C66" s="74">
        <v>46215.960327002314</v>
      </c>
      <c r="D66" s="2" t="s">
        <v>628</v>
      </c>
      <c r="F66" s="2" t="s">
        <v>702</v>
      </c>
      <c r="G66" s="72">
        <v>3.19859308E8</v>
      </c>
    </row>
    <row r="67">
      <c r="A67" s="73" t="s">
        <v>700</v>
      </c>
      <c r="B67" s="72">
        <v>7.9879803E7</v>
      </c>
      <c r="C67" s="74">
        <v>46215.981202766205</v>
      </c>
      <c r="D67" s="2" t="s">
        <v>667</v>
      </c>
      <c r="E67" s="2" t="s">
        <v>703</v>
      </c>
      <c r="F67" s="2" t="s">
        <v>704</v>
      </c>
      <c r="G67" s="72">
        <v>3.19876071E8</v>
      </c>
    </row>
    <row r="68">
      <c r="A68" s="73" t="s">
        <v>700</v>
      </c>
      <c r="B68" s="72">
        <v>7.9879803E7</v>
      </c>
      <c r="C68" s="74">
        <v>46215.97652423611</v>
      </c>
      <c r="D68" s="2" t="s">
        <v>705</v>
      </c>
      <c r="F68" s="2" t="s">
        <v>706</v>
      </c>
      <c r="G68" s="72">
        <v>3.19873537E8</v>
      </c>
    </row>
    <row r="69">
      <c r="A69" s="73" t="s">
        <v>700</v>
      </c>
      <c r="B69" s="72">
        <v>7.9879803E7</v>
      </c>
      <c r="C69" s="74">
        <v>46215.543793854165</v>
      </c>
      <c r="D69" s="2" t="s">
        <v>628</v>
      </c>
      <c r="F69" s="2" t="s">
        <v>630</v>
      </c>
      <c r="G69" s="72">
        <v>3.19463064E8</v>
      </c>
    </row>
    <row r="70">
      <c r="A70" s="73" t="s">
        <v>707</v>
      </c>
      <c r="C70" s="74">
        <v>46217.75178972222</v>
      </c>
      <c r="D70" s="2" t="s">
        <v>628</v>
      </c>
      <c r="F70" s="2" t="s">
        <v>708</v>
      </c>
      <c r="G70" s="72">
        <v>3.20920396E8</v>
      </c>
    </row>
    <row r="71">
      <c r="A71" s="73" t="s">
        <v>707</v>
      </c>
      <c r="B71" s="72">
        <v>8.0793754E7</v>
      </c>
      <c r="C71" s="74">
        <v>46219.96048462963</v>
      </c>
      <c r="D71" s="2" t="s">
        <v>628</v>
      </c>
      <c r="F71" s="2" t="s">
        <v>709</v>
      </c>
      <c r="G71" s="72">
        <v>3.22476809E8</v>
      </c>
    </row>
    <row r="72">
      <c r="A72" s="73" t="s">
        <v>707</v>
      </c>
      <c r="B72" s="72">
        <v>8.0793754E7</v>
      </c>
      <c r="C72" s="74">
        <v>46219.54406327546</v>
      </c>
      <c r="D72" s="2" t="s">
        <v>628</v>
      </c>
      <c r="F72" s="2" t="s">
        <v>630</v>
      </c>
      <c r="G72" s="72">
        <v>3.2203391E8</v>
      </c>
    </row>
    <row r="73">
      <c r="A73" s="73" t="s">
        <v>710</v>
      </c>
      <c r="B73" s="72">
        <v>8.1838658E7</v>
      </c>
      <c r="C73" s="74">
        <v>46226.961601076386</v>
      </c>
      <c r="D73" s="2" t="s">
        <v>628</v>
      </c>
      <c r="F73" s="2" t="s">
        <v>711</v>
      </c>
      <c r="G73" s="72">
        <v>3.27342511E8</v>
      </c>
    </row>
    <row r="74">
      <c r="A74" s="73" t="s">
        <v>710</v>
      </c>
      <c r="B74" s="72">
        <v>8.1838658E7</v>
      </c>
      <c r="C74" s="74">
        <v>46225.753408703706</v>
      </c>
      <c r="D74" s="2" t="s">
        <v>628</v>
      </c>
      <c r="F74" s="2" t="s">
        <v>712</v>
      </c>
      <c r="G74" s="72">
        <v>3.26441609E8</v>
      </c>
    </row>
    <row r="75">
      <c r="A75" s="73" t="s">
        <v>713</v>
      </c>
      <c r="B75" s="72">
        <v>8.1027032E7</v>
      </c>
      <c r="C75" s="74">
        <v>46220.751872256944</v>
      </c>
      <c r="D75" s="2" t="s">
        <v>628</v>
      </c>
      <c r="F75" s="2" t="s">
        <v>714</v>
      </c>
      <c r="G75" s="72">
        <v>3.2299617E8</v>
      </c>
    </row>
    <row r="76">
      <c r="A76" s="73" t="s">
        <v>713</v>
      </c>
      <c r="B76" s="72">
        <v>8.1027032E7</v>
      </c>
      <c r="C76" s="74">
        <v>46221.96000987268</v>
      </c>
      <c r="D76" s="2" t="s">
        <v>628</v>
      </c>
      <c r="F76" s="2" t="s">
        <v>715</v>
      </c>
      <c r="G76" s="72">
        <v>3.23992714E8</v>
      </c>
    </row>
    <row r="77">
      <c r="A77" s="73" t="s">
        <v>716</v>
      </c>
      <c r="B77" s="72">
        <v>8.1033443E7</v>
      </c>
      <c r="C77" s="74">
        <v>46220.753382118055</v>
      </c>
      <c r="D77" s="2" t="s">
        <v>628</v>
      </c>
      <c r="F77" s="2" t="s">
        <v>683</v>
      </c>
      <c r="G77" s="72">
        <v>3.23009684E8</v>
      </c>
    </row>
    <row r="78">
      <c r="A78" s="73" t="s">
        <v>716</v>
      </c>
      <c r="B78" s="72">
        <v>8.1033443E7</v>
      </c>
      <c r="C78" s="74">
        <v>46221.961609861115</v>
      </c>
      <c r="D78" s="2" t="s">
        <v>628</v>
      </c>
      <c r="F78" s="2" t="s">
        <v>717</v>
      </c>
      <c r="G78" s="72">
        <v>3.24001421E8</v>
      </c>
    </row>
    <row r="79">
      <c r="A79" s="73" t="s">
        <v>718</v>
      </c>
      <c r="B79" s="72">
        <v>7.9880814E7</v>
      </c>
      <c r="C79" s="74">
        <v>46221.45740564815</v>
      </c>
      <c r="D79" s="2" t="s">
        <v>653</v>
      </c>
      <c r="F79" s="2" t="s">
        <v>719</v>
      </c>
      <c r="G79" s="72">
        <v>3.23409851E8</v>
      </c>
    </row>
    <row r="80">
      <c r="A80" s="73" t="s">
        <v>718</v>
      </c>
      <c r="B80" s="72">
        <v>7.9880814E7</v>
      </c>
      <c r="C80" s="74">
        <v>46213.75240349537</v>
      </c>
      <c r="D80" s="2" t="s">
        <v>628</v>
      </c>
      <c r="F80" s="2" t="s">
        <v>720</v>
      </c>
      <c r="G80" s="72">
        <v>3.18174254E8</v>
      </c>
    </row>
    <row r="81">
      <c r="A81" s="73" t="s">
        <v>718</v>
      </c>
      <c r="B81" s="72">
        <v>7.9880814E7</v>
      </c>
      <c r="C81" s="74">
        <v>46221.45741511574</v>
      </c>
      <c r="D81" s="2" t="s">
        <v>653</v>
      </c>
      <c r="F81" s="2" t="s">
        <v>721</v>
      </c>
      <c r="G81" s="72">
        <v>3.23409854E8</v>
      </c>
    </row>
    <row r="82">
      <c r="A82" s="73" t="s">
        <v>718</v>
      </c>
      <c r="B82" s="72">
        <v>7.9880814E7</v>
      </c>
      <c r="C82" s="74">
        <v>46221.45738143519</v>
      </c>
      <c r="D82" s="2" t="s">
        <v>705</v>
      </c>
      <c r="F82" s="2" t="s">
        <v>722</v>
      </c>
      <c r="G82" s="72">
        <v>3.23409844E8</v>
      </c>
    </row>
    <row r="83">
      <c r="A83" s="73" t="s">
        <v>718</v>
      </c>
      <c r="B83" s="72">
        <v>7.9880814E7</v>
      </c>
      <c r="C83" s="74">
        <v>46221.45739111111</v>
      </c>
      <c r="D83" s="2" t="s">
        <v>653</v>
      </c>
      <c r="F83" s="2" t="s">
        <v>723</v>
      </c>
      <c r="G83" s="72">
        <v>3.23409847E8</v>
      </c>
    </row>
    <row r="84">
      <c r="A84" s="73" t="s">
        <v>718</v>
      </c>
      <c r="B84" s="72">
        <v>7.9880814E7</v>
      </c>
      <c r="C84" s="74">
        <v>46221.45738620371</v>
      </c>
      <c r="D84" s="2" t="s">
        <v>653</v>
      </c>
      <c r="F84" s="2" t="s">
        <v>724</v>
      </c>
      <c r="G84" s="72">
        <v>3.23409846E8</v>
      </c>
    </row>
    <row r="85">
      <c r="A85" s="73" t="s">
        <v>718</v>
      </c>
      <c r="B85" s="72">
        <v>7.9880814E7</v>
      </c>
      <c r="C85" s="74">
        <v>46221.45740049769</v>
      </c>
      <c r="D85" s="2" t="s">
        <v>653</v>
      </c>
      <c r="F85" s="2" t="s">
        <v>725</v>
      </c>
      <c r="G85" s="72">
        <v>3.2340985E8</v>
      </c>
    </row>
    <row r="86">
      <c r="A86" s="73" t="s">
        <v>718</v>
      </c>
      <c r="B86" s="72">
        <v>7.9880814E7</v>
      </c>
      <c r="C86" s="74">
        <v>46221.45741055555</v>
      </c>
      <c r="D86" s="2" t="s">
        <v>653</v>
      </c>
      <c r="F86" s="2" t="s">
        <v>726</v>
      </c>
      <c r="G86" s="72">
        <v>3.23409852E8</v>
      </c>
    </row>
    <row r="87">
      <c r="A87" s="73" t="s">
        <v>718</v>
      </c>
      <c r="B87" s="72">
        <v>7.9880814E7</v>
      </c>
      <c r="C87" s="74">
        <v>46221.45737592592</v>
      </c>
      <c r="D87" s="2" t="s">
        <v>705</v>
      </c>
      <c r="F87" s="2" t="s">
        <v>727</v>
      </c>
      <c r="G87" s="72">
        <v>3.23409842E8</v>
      </c>
    </row>
    <row r="88">
      <c r="A88" s="73" t="s">
        <v>718</v>
      </c>
      <c r="B88" s="72">
        <v>7.9880814E7</v>
      </c>
      <c r="C88" s="74">
        <v>46214.96007631945</v>
      </c>
      <c r="D88" s="2" t="s">
        <v>628</v>
      </c>
      <c r="F88" s="2" t="s">
        <v>728</v>
      </c>
      <c r="G88" s="72">
        <v>3.19133181E8</v>
      </c>
    </row>
    <row r="89">
      <c r="A89" s="73" t="s">
        <v>718</v>
      </c>
      <c r="B89" s="72">
        <v>7.9880814E7</v>
      </c>
      <c r="C89" s="74">
        <v>46221.4573956713</v>
      </c>
      <c r="D89" s="2" t="s">
        <v>653</v>
      </c>
      <c r="F89" s="2" t="s">
        <v>723</v>
      </c>
      <c r="G89" s="72">
        <v>3.23409848E8</v>
      </c>
    </row>
    <row r="90">
      <c r="A90" s="73" t="s">
        <v>729</v>
      </c>
      <c r="B90" s="72">
        <v>8.1832123E7</v>
      </c>
      <c r="C90" s="74">
        <v>46226.959605428245</v>
      </c>
      <c r="D90" s="2" t="s">
        <v>628</v>
      </c>
      <c r="F90" s="2" t="s">
        <v>730</v>
      </c>
      <c r="G90" s="72">
        <v>3.27334998E8</v>
      </c>
    </row>
    <row r="91">
      <c r="A91" s="73" t="s">
        <v>729</v>
      </c>
      <c r="B91" s="72">
        <v>8.1832123E7</v>
      </c>
      <c r="C91" s="74">
        <v>46225.7519434375</v>
      </c>
      <c r="D91" s="2" t="s">
        <v>628</v>
      </c>
      <c r="F91" s="2" t="s">
        <v>731</v>
      </c>
      <c r="G91" s="72">
        <v>3.26427459E8</v>
      </c>
    </row>
    <row r="92">
      <c r="A92" s="73" t="s">
        <v>732</v>
      </c>
      <c r="B92" s="72">
        <v>8.1678664E7</v>
      </c>
      <c r="C92" s="74">
        <v>46226.54447957176</v>
      </c>
      <c r="D92" s="2" t="s">
        <v>628</v>
      </c>
      <c r="F92" s="2" t="s">
        <v>630</v>
      </c>
      <c r="G92" s="72">
        <v>3.26900128E8</v>
      </c>
    </row>
    <row r="93">
      <c r="A93" s="73" t="s">
        <v>732</v>
      </c>
      <c r="B93" s="72">
        <v>8.1678664E7</v>
      </c>
      <c r="C93" s="74">
        <v>46226.961653391205</v>
      </c>
      <c r="D93" s="2" t="s">
        <v>628</v>
      </c>
      <c r="F93" s="2" t="s">
        <v>733</v>
      </c>
      <c r="G93" s="72">
        <v>3.27342755E8</v>
      </c>
    </row>
    <row r="94">
      <c r="A94" s="73" t="s">
        <v>732</v>
      </c>
      <c r="B94" s="72">
        <v>8.1678664E7</v>
      </c>
      <c r="C94" s="74">
        <v>46224.75239739583</v>
      </c>
      <c r="D94" s="2" t="s">
        <v>628</v>
      </c>
      <c r="F94" s="2" t="s">
        <v>734</v>
      </c>
      <c r="G94" s="72">
        <v>3.25796867E8</v>
      </c>
    </row>
    <row r="95">
      <c r="A95" s="73" t="s">
        <v>735</v>
      </c>
      <c r="B95" s="72">
        <v>7.9387562E7</v>
      </c>
      <c r="C95" s="74">
        <v>46210.7511684375</v>
      </c>
      <c r="D95" s="2" t="s">
        <v>628</v>
      </c>
      <c r="F95" s="2" t="s">
        <v>736</v>
      </c>
      <c r="G95" s="72">
        <v>3.16184575E8</v>
      </c>
    </row>
    <row r="96">
      <c r="A96" s="73" t="s">
        <v>735</v>
      </c>
      <c r="B96" s="72">
        <v>7.9387562E7</v>
      </c>
      <c r="C96" s="74">
        <v>46212.54343160879</v>
      </c>
      <c r="D96" s="2" t="s">
        <v>628</v>
      </c>
      <c r="F96" s="2" t="s">
        <v>630</v>
      </c>
      <c r="G96" s="72">
        <v>3.1723178E8</v>
      </c>
    </row>
    <row r="97">
      <c r="A97" s="73" t="s">
        <v>735</v>
      </c>
      <c r="B97" s="72">
        <v>7.9387562E7</v>
      </c>
      <c r="C97" s="74">
        <v>46212.959907592594</v>
      </c>
      <c r="D97" s="2" t="s">
        <v>628</v>
      </c>
      <c r="F97" s="2" t="s">
        <v>737</v>
      </c>
      <c r="G97" s="72">
        <v>3.17657258E8</v>
      </c>
    </row>
    <row r="98">
      <c r="A98" s="73" t="s">
        <v>738</v>
      </c>
      <c r="B98" s="72">
        <v>8.0671655E7</v>
      </c>
      <c r="C98" s="74">
        <v>46219.96017335648</v>
      </c>
      <c r="D98" s="2" t="s">
        <v>628</v>
      </c>
      <c r="F98" s="2" t="s">
        <v>739</v>
      </c>
      <c r="G98" s="72">
        <v>3.22475439E8</v>
      </c>
    </row>
    <row r="99">
      <c r="A99" s="73" t="s">
        <v>738</v>
      </c>
      <c r="B99" s="72">
        <v>8.0671655E7</v>
      </c>
      <c r="C99" s="74">
        <v>46218.75188872685</v>
      </c>
      <c r="D99" s="2" t="s">
        <v>628</v>
      </c>
      <c r="F99" s="2" t="s">
        <v>740</v>
      </c>
      <c r="G99" s="72">
        <v>3.21565788E8</v>
      </c>
    </row>
    <row r="100">
      <c r="A100" s="73" t="s">
        <v>741</v>
      </c>
      <c r="B100" s="72">
        <v>8.2181852E7</v>
      </c>
      <c r="C100" s="74">
        <v>46227.72331266204</v>
      </c>
      <c r="D100" s="2" t="s">
        <v>705</v>
      </c>
      <c r="F100" s="2" t="s">
        <v>742</v>
      </c>
      <c r="G100" s="72">
        <v>3.27844299E8</v>
      </c>
    </row>
    <row r="101">
      <c r="A101" s="73" t="s">
        <v>741</v>
      </c>
      <c r="C101" s="74">
        <v>46226.75327243056</v>
      </c>
      <c r="D101" s="2" t="s">
        <v>628</v>
      </c>
      <c r="F101" s="2" t="s">
        <v>743</v>
      </c>
      <c r="G101" s="72">
        <v>3.27111613E8</v>
      </c>
    </row>
    <row r="102">
      <c r="A102" s="73" t="s">
        <v>741</v>
      </c>
      <c r="B102" s="72">
        <v>8.2181852E7</v>
      </c>
      <c r="C102" s="74">
        <v>46228.96071034722</v>
      </c>
      <c r="D102" s="2" t="s">
        <v>628</v>
      </c>
      <c r="F102" s="2" t="s">
        <v>744</v>
      </c>
      <c r="G102" s="72">
        <v>3.28865258E8</v>
      </c>
    </row>
    <row r="103">
      <c r="A103" s="73" t="s">
        <v>741</v>
      </c>
      <c r="B103" s="72">
        <v>8.2181852E7</v>
      </c>
      <c r="C103" s="74">
        <v>46227.72288971065</v>
      </c>
      <c r="D103" s="2" t="s">
        <v>667</v>
      </c>
      <c r="E103" s="2" t="s">
        <v>703</v>
      </c>
      <c r="F103" s="2" t="s">
        <v>745</v>
      </c>
      <c r="G103" s="72">
        <v>3.27844098E8</v>
      </c>
    </row>
    <row r="104">
      <c r="A104" s="73" t="s">
        <v>741</v>
      </c>
      <c r="B104" s="72">
        <v>8.2181852E7</v>
      </c>
      <c r="C104" s="74">
        <v>46228.544069386575</v>
      </c>
      <c r="D104" s="2" t="s">
        <v>628</v>
      </c>
      <c r="F104" s="2" t="s">
        <v>630</v>
      </c>
      <c r="G104" s="72">
        <v>3.28419335E8</v>
      </c>
    </row>
    <row r="105">
      <c r="A105" s="73" t="s">
        <v>746</v>
      </c>
      <c r="B105" s="72">
        <v>8.1832918E7</v>
      </c>
      <c r="C105" s="74">
        <v>46227.542766412036</v>
      </c>
      <c r="D105" s="2" t="s">
        <v>628</v>
      </c>
      <c r="F105" s="2" t="s">
        <v>630</v>
      </c>
      <c r="G105" s="72">
        <v>3.2761504E8</v>
      </c>
    </row>
    <row r="106">
      <c r="A106" s="73" t="s">
        <v>746</v>
      </c>
      <c r="B106" s="72">
        <v>8.1832918E7</v>
      </c>
      <c r="C106" s="74">
        <v>46225.75480747686</v>
      </c>
      <c r="D106" s="2" t="s">
        <v>653</v>
      </c>
      <c r="F106" s="2" t="s">
        <v>747</v>
      </c>
      <c r="G106" s="72">
        <v>3.26446022E8</v>
      </c>
    </row>
    <row r="107">
      <c r="A107" s="73" t="s">
        <v>746</v>
      </c>
      <c r="B107" s="72">
        <v>8.1832918E7</v>
      </c>
      <c r="C107" s="74">
        <v>46227.959402673616</v>
      </c>
      <c r="D107" s="2" t="s">
        <v>628</v>
      </c>
      <c r="F107" s="2" t="s">
        <v>748</v>
      </c>
      <c r="G107" s="72">
        <v>3.28114132E8</v>
      </c>
    </row>
    <row r="108">
      <c r="A108" s="73" t="s">
        <v>746</v>
      </c>
      <c r="B108" s="72">
        <v>8.1832918E7</v>
      </c>
      <c r="C108" s="74">
        <v>46225.75217591436</v>
      </c>
      <c r="D108" s="2" t="s">
        <v>628</v>
      </c>
      <c r="F108" s="2" t="s">
        <v>749</v>
      </c>
      <c r="G108" s="72">
        <v>3.26429192E8</v>
      </c>
    </row>
    <row r="109">
      <c r="A109" s="73" t="s">
        <v>750</v>
      </c>
      <c r="B109" s="72">
        <v>8.3380659E7</v>
      </c>
      <c r="C109" s="74">
        <v>46234.80294878472</v>
      </c>
      <c r="D109" s="2" t="s">
        <v>653</v>
      </c>
      <c r="F109" s="2" t="s">
        <v>751</v>
      </c>
      <c r="G109" s="72">
        <v>3.32922855E8</v>
      </c>
    </row>
    <row r="110">
      <c r="A110" s="73" t="s">
        <v>750</v>
      </c>
      <c r="B110" s="72">
        <v>8.3380659E7</v>
      </c>
      <c r="C110" s="74">
        <v>46234.75101548611</v>
      </c>
      <c r="D110" s="2" t="s">
        <v>628</v>
      </c>
      <c r="F110" s="2" t="s">
        <v>752</v>
      </c>
      <c r="G110" s="72">
        <v>3.32836256E8</v>
      </c>
    </row>
    <row r="111">
      <c r="A111" s="73" t="s">
        <v>750</v>
      </c>
      <c r="B111" s="72">
        <v>8.3380659E7</v>
      </c>
      <c r="C111" s="74">
        <v>46234.802945972224</v>
      </c>
      <c r="D111" s="2" t="s">
        <v>653</v>
      </c>
      <c r="F111" s="2" t="s">
        <v>753</v>
      </c>
      <c r="G111" s="72">
        <v>3.32922853E8</v>
      </c>
    </row>
    <row r="112">
      <c r="A112" s="73" t="s">
        <v>750</v>
      </c>
      <c r="B112" s="72">
        <v>8.3380659E7</v>
      </c>
      <c r="C112" s="74">
        <v>46234.802951412035</v>
      </c>
      <c r="D112" s="2" t="s">
        <v>653</v>
      </c>
      <c r="F112" s="2" t="s">
        <v>754</v>
      </c>
      <c r="G112" s="72">
        <v>3.32922859E8</v>
      </c>
    </row>
    <row r="113">
      <c r="A113" s="73" t="s">
        <v>755</v>
      </c>
      <c r="B113" s="72">
        <v>8.0835472E7</v>
      </c>
      <c r="C113" s="74">
        <v>46219.80654340278</v>
      </c>
      <c r="D113" s="2" t="s">
        <v>705</v>
      </c>
      <c r="F113" s="2" t="s">
        <v>756</v>
      </c>
      <c r="G113" s="72">
        <v>3.22327816E8</v>
      </c>
    </row>
    <row r="114">
      <c r="A114" s="73" t="s">
        <v>755</v>
      </c>
      <c r="B114" s="72">
        <v>8.0835472E7</v>
      </c>
      <c r="C114" s="74">
        <v>46219.751104780094</v>
      </c>
      <c r="D114" s="2" t="s">
        <v>628</v>
      </c>
      <c r="F114" s="2" t="s">
        <v>757</v>
      </c>
      <c r="G114" s="72">
        <v>3.22234225E8</v>
      </c>
    </row>
    <row r="115">
      <c r="A115" s="73" t="s">
        <v>755</v>
      </c>
      <c r="B115" s="72">
        <v>8.0835472E7</v>
      </c>
      <c r="C115" s="74">
        <v>46219.80654773148</v>
      </c>
      <c r="D115" s="2" t="s">
        <v>653</v>
      </c>
      <c r="F115" s="2" t="s">
        <v>758</v>
      </c>
      <c r="G115" s="72">
        <v>3.22327825E8</v>
      </c>
    </row>
    <row r="116">
      <c r="A116" s="73" t="s">
        <v>755</v>
      </c>
      <c r="B116" s="72">
        <v>8.0835472E7</v>
      </c>
      <c r="C116" s="74">
        <v>46220.95912767361</v>
      </c>
      <c r="D116" s="2" t="s">
        <v>628</v>
      </c>
      <c r="F116" s="2" t="s">
        <v>759</v>
      </c>
      <c r="G116" s="72">
        <v>3.23240812E8</v>
      </c>
    </row>
    <row r="117">
      <c r="A117" s="73" t="s">
        <v>755</v>
      </c>
      <c r="B117" s="72">
        <v>8.0835472E7</v>
      </c>
      <c r="C117" s="74">
        <v>46219.806552187496</v>
      </c>
      <c r="D117" s="2" t="s">
        <v>653</v>
      </c>
      <c r="F117" s="2" t="s">
        <v>760</v>
      </c>
      <c r="G117" s="72">
        <v>3.22327826E8</v>
      </c>
    </row>
    <row r="118">
      <c r="A118" s="73" t="s">
        <v>761</v>
      </c>
      <c r="B118" s="72">
        <v>8.0844748E7</v>
      </c>
      <c r="C118" s="74">
        <v>46220.959509085646</v>
      </c>
      <c r="D118" s="2" t="s">
        <v>628</v>
      </c>
      <c r="F118" s="2" t="s">
        <v>762</v>
      </c>
      <c r="G118" s="72">
        <v>3.23241778E8</v>
      </c>
    </row>
    <row r="119">
      <c r="A119" s="73" t="s">
        <v>761</v>
      </c>
      <c r="B119" s="72">
        <v>8.0844748E7</v>
      </c>
      <c r="C119" s="74">
        <v>46219.75362884259</v>
      </c>
      <c r="D119" s="2" t="s">
        <v>628</v>
      </c>
      <c r="F119" s="2" t="s">
        <v>645</v>
      </c>
      <c r="G119" s="72">
        <v>3.22252026E8</v>
      </c>
    </row>
    <row r="120">
      <c r="A120" s="73" t="s">
        <v>763</v>
      </c>
      <c r="B120" s="72">
        <v>8.3188127E7</v>
      </c>
      <c r="C120" s="74">
        <v>46233.75142724537</v>
      </c>
      <c r="D120" s="2" t="s">
        <v>628</v>
      </c>
      <c r="F120" s="2" t="s">
        <v>764</v>
      </c>
      <c r="G120" s="72">
        <v>3.3206062E8</v>
      </c>
    </row>
    <row r="121">
      <c r="A121" s="73" t="s">
        <v>765</v>
      </c>
      <c r="B121" s="72">
        <v>8.1108516E7</v>
      </c>
      <c r="C121" s="74">
        <v>46220.960675891205</v>
      </c>
      <c r="D121" s="2" t="s">
        <v>628</v>
      </c>
      <c r="F121" s="2" t="s">
        <v>766</v>
      </c>
      <c r="G121" s="72">
        <v>3.23245763E8</v>
      </c>
    </row>
    <row r="122">
      <c r="A122" s="73" t="s">
        <v>765</v>
      </c>
      <c r="C122" s="74">
        <v>46219.75306225695</v>
      </c>
      <c r="D122" s="2" t="s">
        <v>628</v>
      </c>
      <c r="F122" s="2" t="s">
        <v>767</v>
      </c>
      <c r="G122" s="72">
        <v>3.222472E8</v>
      </c>
    </row>
    <row r="123">
      <c r="A123" s="73" t="s">
        <v>768</v>
      </c>
      <c r="B123" s="72">
        <v>8.1179231E7</v>
      </c>
      <c r="C123" s="74">
        <v>46221.96196527778</v>
      </c>
      <c r="D123" s="2" t="s">
        <v>628</v>
      </c>
      <c r="F123" s="2" t="s">
        <v>769</v>
      </c>
      <c r="G123" s="72">
        <v>3.24003135E8</v>
      </c>
    </row>
    <row r="124">
      <c r="A124" s="73" t="s">
        <v>768</v>
      </c>
      <c r="B124" s="72">
        <v>8.1179231E7</v>
      </c>
      <c r="C124" s="74">
        <v>46222.96192325231</v>
      </c>
      <c r="D124" s="2" t="s">
        <v>628</v>
      </c>
      <c r="F124" s="2" t="s">
        <v>769</v>
      </c>
      <c r="G124" s="72">
        <v>3.24729354E8</v>
      </c>
    </row>
    <row r="125">
      <c r="A125" s="73" t="s">
        <v>768</v>
      </c>
      <c r="B125" s="72">
        <v>8.1179231E7</v>
      </c>
      <c r="C125" s="74">
        <v>46221.54575167824</v>
      </c>
      <c r="D125" s="2" t="s">
        <v>628</v>
      </c>
      <c r="F125" s="2" t="s">
        <v>630</v>
      </c>
      <c r="G125" s="72">
        <v>3.23567403E8</v>
      </c>
    </row>
    <row r="126">
      <c r="A126" s="73" t="s">
        <v>768</v>
      </c>
      <c r="C126" s="74">
        <v>46219.75458311343</v>
      </c>
      <c r="D126" s="2" t="s">
        <v>628</v>
      </c>
      <c r="F126" s="2" t="s">
        <v>770</v>
      </c>
      <c r="G126" s="72">
        <v>3.22262979E8</v>
      </c>
    </row>
    <row r="127">
      <c r="A127" s="73" t="s">
        <v>768</v>
      </c>
      <c r="B127" s="72">
        <v>8.1179231E7</v>
      </c>
      <c r="C127" s="74">
        <v>46221.753461342596</v>
      </c>
      <c r="D127" s="2" t="s">
        <v>628</v>
      </c>
      <c r="F127" s="2" t="s">
        <v>770</v>
      </c>
      <c r="G127" s="72">
        <v>3.23782371E8</v>
      </c>
    </row>
    <row r="128">
      <c r="A128" s="73" t="s">
        <v>771</v>
      </c>
      <c r="B128" s="72">
        <v>8.254642E7</v>
      </c>
      <c r="C128" s="74">
        <v>46229.75162444444</v>
      </c>
      <c r="D128" s="2" t="s">
        <v>628</v>
      </c>
      <c r="F128" s="2" t="s">
        <v>772</v>
      </c>
      <c r="G128" s="72">
        <v>3.29419623E8</v>
      </c>
    </row>
    <row r="129">
      <c r="A129" s="73" t="s">
        <v>773</v>
      </c>
      <c r="B129" s="72">
        <v>7070413.0</v>
      </c>
      <c r="C129" s="74">
        <v>46211.75217922454</v>
      </c>
      <c r="D129" s="2" t="s">
        <v>628</v>
      </c>
      <c r="F129" s="2" t="s">
        <v>774</v>
      </c>
      <c r="G129" s="72">
        <v>3.16791821E8</v>
      </c>
    </row>
    <row r="130">
      <c r="A130" s="73" t="s">
        <v>773</v>
      </c>
      <c r="B130" s="72">
        <v>7070413.0</v>
      </c>
      <c r="C130" s="74">
        <v>46225.75331262732</v>
      </c>
      <c r="D130" s="2" t="s">
        <v>628</v>
      </c>
      <c r="F130" s="2" t="s">
        <v>775</v>
      </c>
      <c r="G130" s="72">
        <v>3.26440796E8</v>
      </c>
    </row>
    <row r="131">
      <c r="A131" s="73" t="s">
        <v>773</v>
      </c>
      <c r="B131" s="72">
        <v>7070413.0</v>
      </c>
      <c r="C131" s="74">
        <v>46207.5441630787</v>
      </c>
      <c r="D131" s="2" t="s">
        <v>628</v>
      </c>
      <c r="F131" s="2" t="s">
        <v>630</v>
      </c>
      <c r="G131" s="72">
        <v>3.14079451E8</v>
      </c>
    </row>
    <row r="132">
      <c r="A132" s="73" t="s">
        <v>773</v>
      </c>
      <c r="B132" s="72">
        <v>7070413.0</v>
      </c>
      <c r="C132" s="74">
        <v>46221.75137291667</v>
      </c>
      <c r="D132" s="2" t="s">
        <v>628</v>
      </c>
      <c r="F132" s="2" t="s">
        <v>776</v>
      </c>
      <c r="G132" s="72">
        <v>3.23767645E8</v>
      </c>
    </row>
    <row r="133">
      <c r="A133" s="73" t="s">
        <v>773</v>
      </c>
      <c r="B133" s="72">
        <v>7070413.0</v>
      </c>
      <c r="C133" s="74">
        <v>46212.960163055555</v>
      </c>
      <c r="D133" s="2" t="s">
        <v>628</v>
      </c>
      <c r="F133" s="2" t="s">
        <v>777</v>
      </c>
      <c r="G133" s="72">
        <v>3.1765839E8</v>
      </c>
    </row>
    <row r="134">
      <c r="A134" s="73" t="s">
        <v>773</v>
      </c>
      <c r="B134" s="72">
        <v>7070413.0</v>
      </c>
      <c r="C134" s="74">
        <v>46221.96187377315</v>
      </c>
      <c r="D134" s="2" t="s">
        <v>628</v>
      </c>
      <c r="F134" s="2" t="s">
        <v>778</v>
      </c>
      <c r="G134" s="72">
        <v>3.24002714E8</v>
      </c>
    </row>
    <row r="135">
      <c r="A135" s="73" t="s">
        <v>773</v>
      </c>
      <c r="B135" s="72">
        <v>7070413.0</v>
      </c>
      <c r="C135" s="74">
        <v>46219.961584375</v>
      </c>
      <c r="D135" s="2" t="s">
        <v>628</v>
      </c>
      <c r="F135" s="2" t="s">
        <v>759</v>
      </c>
      <c r="G135" s="72">
        <v>3.22480861E8</v>
      </c>
    </row>
    <row r="136">
      <c r="A136" s="73" t="s">
        <v>773</v>
      </c>
      <c r="B136" s="72">
        <v>7070413.0</v>
      </c>
      <c r="C136" s="74">
        <v>46212.751633645836</v>
      </c>
      <c r="D136" s="2" t="s">
        <v>628</v>
      </c>
      <c r="F136" s="2" t="s">
        <v>779</v>
      </c>
      <c r="G136" s="72">
        <v>3.1743154E8</v>
      </c>
    </row>
    <row r="137">
      <c r="A137" s="73" t="s">
        <v>773</v>
      </c>
      <c r="B137" s="72">
        <v>7070413.0</v>
      </c>
      <c r="C137" s="74">
        <v>46213.7525725</v>
      </c>
      <c r="D137" s="2" t="s">
        <v>628</v>
      </c>
      <c r="F137" s="2" t="s">
        <v>780</v>
      </c>
      <c r="G137" s="72">
        <v>3.18176059E8</v>
      </c>
    </row>
    <row r="138">
      <c r="A138" s="73" t="s">
        <v>773</v>
      </c>
      <c r="B138" s="72">
        <v>7070413.0</v>
      </c>
      <c r="C138" s="74">
        <v>46205.54246163194</v>
      </c>
      <c r="D138" s="2" t="s">
        <v>628</v>
      </c>
      <c r="F138" s="2" t="s">
        <v>630</v>
      </c>
      <c r="G138" s="72">
        <v>3.12615065E8</v>
      </c>
    </row>
    <row r="139">
      <c r="A139" s="73" t="s">
        <v>773</v>
      </c>
      <c r="B139" s="72">
        <v>7070413.0</v>
      </c>
      <c r="C139" s="74">
        <v>46216.54484982639</v>
      </c>
      <c r="D139" s="2" t="s">
        <v>628</v>
      </c>
      <c r="F139" s="2" t="s">
        <v>630</v>
      </c>
      <c r="G139" s="72">
        <v>3.20118905E8</v>
      </c>
    </row>
    <row r="140">
      <c r="A140" s="73" t="s">
        <v>773</v>
      </c>
      <c r="B140" s="72">
        <v>7070413.0</v>
      </c>
      <c r="C140" s="74">
        <v>46205.75257418981</v>
      </c>
      <c r="D140" s="2" t="s">
        <v>628</v>
      </c>
      <c r="F140" s="2" t="s">
        <v>781</v>
      </c>
      <c r="G140" s="72">
        <v>3.12830213E8</v>
      </c>
    </row>
    <row r="141">
      <c r="A141" s="73" t="s">
        <v>773</v>
      </c>
      <c r="B141" s="72">
        <v>7070413.0</v>
      </c>
      <c r="C141" s="74">
        <v>46214.75314591435</v>
      </c>
      <c r="D141" s="2" t="s">
        <v>628</v>
      </c>
      <c r="F141" s="2" t="s">
        <v>757</v>
      </c>
      <c r="G141" s="72">
        <v>3.18924778E8</v>
      </c>
    </row>
    <row r="142">
      <c r="A142" s="73" t="s">
        <v>773</v>
      </c>
      <c r="B142" s="72">
        <v>7070413.0</v>
      </c>
      <c r="C142" s="74">
        <v>46207.959549583335</v>
      </c>
      <c r="D142" s="2" t="s">
        <v>628</v>
      </c>
      <c r="F142" s="2" t="s">
        <v>782</v>
      </c>
      <c r="G142" s="72">
        <v>3.14476066E8</v>
      </c>
    </row>
    <row r="143">
      <c r="A143" s="73" t="s">
        <v>773</v>
      </c>
      <c r="B143" s="72">
        <v>7070413.0</v>
      </c>
      <c r="C143" s="74">
        <v>46207.960124942125</v>
      </c>
      <c r="D143" s="2" t="s">
        <v>628</v>
      </c>
      <c r="F143" s="2" t="s">
        <v>783</v>
      </c>
      <c r="G143" s="72">
        <v>3.14480214E8</v>
      </c>
    </row>
    <row r="144">
      <c r="A144" s="73" t="s">
        <v>773</v>
      </c>
      <c r="B144" s="72">
        <v>7070413.0</v>
      </c>
      <c r="C144" s="74">
        <v>46227.75265166667</v>
      </c>
      <c r="D144" s="2" t="s">
        <v>628</v>
      </c>
      <c r="F144" s="2" t="s">
        <v>784</v>
      </c>
      <c r="G144" s="72">
        <v>3.27872858E8</v>
      </c>
    </row>
    <row r="145">
      <c r="A145" s="73" t="s">
        <v>773</v>
      </c>
      <c r="B145" s="72">
        <v>7070413.0</v>
      </c>
      <c r="C145" s="74">
        <v>46219.75384273149</v>
      </c>
      <c r="D145" s="2" t="s">
        <v>628</v>
      </c>
      <c r="F145" s="2" t="s">
        <v>785</v>
      </c>
      <c r="G145" s="72">
        <v>3.22254319E8</v>
      </c>
    </row>
    <row r="146">
      <c r="A146" s="73" t="s">
        <v>773</v>
      </c>
      <c r="B146" s="72">
        <v>7070413.0</v>
      </c>
      <c r="C146" s="74">
        <v>46234.75127878472</v>
      </c>
      <c r="D146" s="2" t="s">
        <v>628</v>
      </c>
      <c r="F146" s="2" t="s">
        <v>786</v>
      </c>
      <c r="G146" s="72">
        <v>3.3283774E8</v>
      </c>
    </row>
    <row r="147">
      <c r="A147" s="73" t="s">
        <v>773</v>
      </c>
      <c r="B147" s="72">
        <v>7070413.0</v>
      </c>
      <c r="C147" s="74">
        <v>46220.753242245366</v>
      </c>
      <c r="D147" s="2" t="s">
        <v>628</v>
      </c>
      <c r="F147" s="2" t="s">
        <v>787</v>
      </c>
      <c r="G147" s="72">
        <v>3.23008485E8</v>
      </c>
    </row>
    <row r="148">
      <c r="A148" s="73" t="s">
        <v>773</v>
      </c>
      <c r="B148" s="72">
        <v>7070413.0</v>
      </c>
      <c r="C148" s="74">
        <v>46215.75376927083</v>
      </c>
      <c r="D148" s="2" t="s">
        <v>628</v>
      </c>
      <c r="F148" s="2" t="s">
        <v>788</v>
      </c>
      <c r="G148" s="72">
        <v>3.19685552E8</v>
      </c>
    </row>
    <row r="149">
      <c r="A149" s="73" t="s">
        <v>773</v>
      </c>
      <c r="B149" s="72">
        <v>7070413.0</v>
      </c>
      <c r="C149" s="74">
        <v>46214.96043806713</v>
      </c>
      <c r="D149" s="2" t="s">
        <v>628</v>
      </c>
      <c r="F149" s="2" t="s">
        <v>789</v>
      </c>
      <c r="G149" s="72">
        <v>3.19135177E8</v>
      </c>
    </row>
    <row r="150">
      <c r="A150" s="73" t="s">
        <v>773</v>
      </c>
      <c r="B150" s="72">
        <v>7070413.0</v>
      </c>
      <c r="C150" s="74">
        <v>46214.96064434027</v>
      </c>
      <c r="D150" s="2" t="s">
        <v>628</v>
      </c>
      <c r="F150" s="2" t="s">
        <v>790</v>
      </c>
      <c r="G150" s="72">
        <v>3.19136338E8</v>
      </c>
    </row>
    <row r="151">
      <c r="A151" s="73" t="s">
        <v>773</v>
      </c>
      <c r="B151" s="72">
        <v>7070413.0</v>
      </c>
      <c r="C151" s="74">
        <v>46214.54377658565</v>
      </c>
      <c r="D151" s="2" t="s">
        <v>628</v>
      </c>
      <c r="F151" s="2" t="s">
        <v>630</v>
      </c>
      <c r="G151" s="72">
        <v>3.18698822E8</v>
      </c>
    </row>
    <row r="152">
      <c r="A152" s="73" t="s">
        <v>773</v>
      </c>
      <c r="B152" s="72">
        <v>7070413.0</v>
      </c>
      <c r="C152" s="74">
        <v>46228.96068715278</v>
      </c>
      <c r="D152" s="2" t="s">
        <v>628</v>
      </c>
      <c r="F152" s="2" t="s">
        <v>791</v>
      </c>
      <c r="G152" s="72">
        <v>3.28865142E8</v>
      </c>
    </row>
    <row r="153">
      <c r="A153" s="73" t="s">
        <v>792</v>
      </c>
      <c r="B153" s="72">
        <v>8.2197714E7</v>
      </c>
      <c r="C153" s="74">
        <v>46227.75389652778</v>
      </c>
      <c r="D153" s="2" t="s">
        <v>628</v>
      </c>
      <c r="F153" s="2" t="s">
        <v>793</v>
      </c>
      <c r="G153" s="72">
        <v>3.27885147E8</v>
      </c>
    </row>
    <row r="154">
      <c r="A154" s="73" t="s">
        <v>792</v>
      </c>
      <c r="B154" s="72">
        <v>8.2197714E7</v>
      </c>
      <c r="C154" s="74">
        <v>46228.96181356482</v>
      </c>
      <c r="D154" s="2" t="s">
        <v>628</v>
      </c>
      <c r="F154" s="2" t="s">
        <v>794</v>
      </c>
      <c r="G154" s="72">
        <v>3.28870353E8</v>
      </c>
    </row>
    <row r="155">
      <c r="A155" s="73" t="s">
        <v>795</v>
      </c>
      <c r="B155" s="72">
        <v>8.0577299E7</v>
      </c>
      <c r="C155" s="74">
        <v>46218.64274491898</v>
      </c>
      <c r="D155" s="2" t="s">
        <v>653</v>
      </c>
      <c r="F155" s="2" t="s">
        <v>796</v>
      </c>
      <c r="G155" s="72">
        <v>3.21477381E8</v>
      </c>
    </row>
    <row r="156">
      <c r="A156" s="73" t="s">
        <v>795</v>
      </c>
      <c r="B156" s="72">
        <v>8.0577299E7</v>
      </c>
      <c r="C156" s="74">
        <v>46218.632172488426</v>
      </c>
      <c r="D156" s="2" t="s">
        <v>667</v>
      </c>
      <c r="E156" s="2" t="s">
        <v>668</v>
      </c>
      <c r="F156" s="2" t="s">
        <v>797</v>
      </c>
      <c r="G156" s="72">
        <v>3.21472922E8</v>
      </c>
    </row>
    <row r="157">
      <c r="A157" s="73" t="s">
        <v>795</v>
      </c>
      <c r="B157" s="72">
        <v>8.0577299E7</v>
      </c>
      <c r="C157" s="74">
        <v>46217.9616728588</v>
      </c>
      <c r="D157" s="2" t="s">
        <v>628</v>
      </c>
      <c r="F157" s="2" t="s">
        <v>798</v>
      </c>
      <c r="G157" s="72">
        <v>3.21117303E8</v>
      </c>
    </row>
    <row r="158">
      <c r="A158" s="73" t="s">
        <v>795</v>
      </c>
      <c r="B158" s="72">
        <v>8.0577299E7</v>
      </c>
      <c r="C158" s="74">
        <v>46218.64274837963</v>
      </c>
      <c r="D158" s="2" t="s">
        <v>653</v>
      </c>
      <c r="F158" s="2" t="s">
        <v>799</v>
      </c>
      <c r="G158" s="72">
        <v>3.21477384E8</v>
      </c>
    </row>
    <row r="159">
      <c r="A159" s="73" t="s">
        <v>800</v>
      </c>
      <c r="C159" s="74">
        <v>46233.75233096065</v>
      </c>
      <c r="D159" s="2" t="s">
        <v>628</v>
      </c>
      <c r="F159" s="2" t="s">
        <v>801</v>
      </c>
      <c r="G159" s="72">
        <v>3.32069312E8</v>
      </c>
    </row>
    <row r="160">
      <c r="A160" s="73" t="s">
        <v>802</v>
      </c>
      <c r="B160" s="72">
        <v>7.8052307E7</v>
      </c>
      <c r="C160" s="74">
        <v>46204.95977028935</v>
      </c>
      <c r="D160" s="2" t="s">
        <v>628</v>
      </c>
      <c r="F160" s="2" t="s">
        <v>803</v>
      </c>
      <c r="G160" s="72">
        <v>3.1238006E8</v>
      </c>
    </row>
    <row r="161">
      <c r="A161" s="73" t="s">
        <v>804</v>
      </c>
      <c r="B161" s="72">
        <v>8.0069058E7</v>
      </c>
      <c r="C161" s="74">
        <v>46217.96179811342</v>
      </c>
      <c r="D161" s="2" t="s">
        <v>628</v>
      </c>
      <c r="F161" s="2" t="s">
        <v>805</v>
      </c>
      <c r="G161" s="72">
        <v>3.21117697E8</v>
      </c>
    </row>
    <row r="162">
      <c r="A162" s="73" t="s">
        <v>804</v>
      </c>
      <c r="B162" s="72">
        <v>8.0069058E7</v>
      </c>
      <c r="C162" s="74">
        <v>46214.75321300926</v>
      </c>
      <c r="D162" s="2" t="s">
        <v>628</v>
      </c>
      <c r="F162" s="2" t="s">
        <v>806</v>
      </c>
      <c r="G162" s="72">
        <v>3.1892522E8</v>
      </c>
    </row>
    <row r="163">
      <c r="A163" s="73" t="s">
        <v>804</v>
      </c>
      <c r="B163" s="72">
        <v>8.0069058E7</v>
      </c>
      <c r="C163" s="74">
        <v>46216.544514375</v>
      </c>
      <c r="D163" s="2" t="s">
        <v>628</v>
      </c>
      <c r="F163" s="2" t="s">
        <v>630</v>
      </c>
      <c r="G163" s="72">
        <v>3.20114392E8</v>
      </c>
    </row>
    <row r="164">
      <c r="A164" s="73" t="s">
        <v>807</v>
      </c>
      <c r="B164" s="72">
        <v>8.3126471E7</v>
      </c>
      <c r="C164" s="74">
        <v>46234.54377978009</v>
      </c>
      <c r="D164" s="2" t="s">
        <v>628</v>
      </c>
      <c r="F164" s="2" t="s">
        <v>630</v>
      </c>
      <c r="G164" s="72">
        <v>3.32600636E8</v>
      </c>
    </row>
    <row r="165">
      <c r="A165" s="73" t="s">
        <v>807</v>
      </c>
      <c r="B165" s="72">
        <v>8.3126471E7</v>
      </c>
      <c r="C165" s="74">
        <v>46233.47219042824</v>
      </c>
      <c r="D165" s="2" t="s">
        <v>653</v>
      </c>
      <c r="F165" s="2" t="s">
        <v>808</v>
      </c>
      <c r="G165" s="72">
        <v>3.31769369E8</v>
      </c>
    </row>
    <row r="166">
      <c r="A166" s="73" t="s">
        <v>807</v>
      </c>
      <c r="B166" s="72">
        <v>8.3126471E7</v>
      </c>
      <c r="C166" s="74">
        <v>46233.46019217593</v>
      </c>
      <c r="D166" s="2" t="s">
        <v>628</v>
      </c>
      <c r="F166" s="2" t="s">
        <v>809</v>
      </c>
      <c r="G166" s="72">
        <v>3.31739048E8</v>
      </c>
    </row>
    <row r="167">
      <c r="A167" s="73" t="s">
        <v>807</v>
      </c>
      <c r="B167" s="72">
        <v>8.3126471E7</v>
      </c>
      <c r="C167" s="74">
        <v>46233.45178456018</v>
      </c>
      <c r="D167" s="2" t="s">
        <v>705</v>
      </c>
      <c r="F167" s="2" t="s">
        <v>756</v>
      </c>
      <c r="G167" s="72">
        <v>3.3172612E8</v>
      </c>
    </row>
    <row r="168">
      <c r="A168" s="73" t="s">
        <v>807</v>
      </c>
      <c r="B168" s="72">
        <v>8.3126471E7</v>
      </c>
      <c r="C168" s="74">
        <v>46234.95948508102</v>
      </c>
      <c r="D168" s="2" t="s">
        <v>628</v>
      </c>
      <c r="F168" s="2" t="s">
        <v>810</v>
      </c>
      <c r="G168" s="72">
        <v>3.33096302E8</v>
      </c>
    </row>
    <row r="169">
      <c r="A169" s="73" t="s">
        <v>807</v>
      </c>
      <c r="B169" s="72">
        <v>8.3126471E7</v>
      </c>
      <c r="C169" s="74">
        <v>46233.66638576389</v>
      </c>
      <c r="D169" s="2" t="s">
        <v>653</v>
      </c>
      <c r="F169" s="2" t="s">
        <v>811</v>
      </c>
      <c r="G169" s="72">
        <v>3.31988364E8</v>
      </c>
    </row>
    <row r="170">
      <c r="A170" s="73" t="s">
        <v>812</v>
      </c>
      <c r="B170" s="72">
        <v>8.0324965E7</v>
      </c>
      <c r="C170" s="74">
        <v>46217.698695162035</v>
      </c>
      <c r="D170" s="2" t="s">
        <v>705</v>
      </c>
      <c r="F170" s="2" t="s">
        <v>813</v>
      </c>
      <c r="G170" s="72">
        <v>3.20878821E8</v>
      </c>
    </row>
    <row r="171">
      <c r="A171" s="73" t="s">
        <v>812</v>
      </c>
      <c r="B171" s="72">
        <v>8.0324965E7</v>
      </c>
      <c r="C171" s="74">
        <v>46216.846091747684</v>
      </c>
      <c r="D171" s="2" t="s">
        <v>667</v>
      </c>
      <c r="E171" s="2" t="s">
        <v>703</v>
      </c>
      <c r="F171" s="2" t="s">
        <v>814</v>
      </c>
      <c r="G171" s="72">
        <v>3.20377439E8</v>
      </c>
    </row>
    <row r="172">
      <c r="A172" s="73" t="s">
        <v>812</v>
      </c>
      <c r="B172" s="72">
        <v>8.0324965E7</v>
      </c>
      <c r="C172" s="74">
        <v>46216.8500687037</v>
      </c>
      <c r="D172" s="2" t="s">
        <v>667</v>
      </c>
      <c r="E172" s="2" t="s">
        <v>703</v>
      </c>
      <c r="F172" s="2" t="s">
        <v>815</v>
      </c>
      <c r="G172" s="72">
        <v>3.20379804E8</v>
      </c>
    </row>
    <row r="173">
      <c r="A173" s="73" t="s">
        <v>812</v>
      </c>
      <c r="B173" s="72">
        <v>8.0324965E7</v>
      </c>
      <c r="C173" s="74">
        <v>46216.85513063657</v>
      </c>
      <c r="D173" s="2" t="s">
        <v>705</v>
      </c>
      <c r="F173" s="2" t="s">
        <v>816</v>
      </c>
      <c r="G173" s="72">
        <v>3.20383165E8</v>
      </c>
    </row>
    <row r="174">
      <c r="A174" s="73" t="s">
        <v>812</v>
      </c>
      <c r="B174" s="72">
        <v>8.0324965E7</v>
      </c>
      <c r="C174" s="74">
        <v>46216.84735859954</v>
      </c>
      <c r="D174" s="2" t="s">
        <v>705</v>
      </c>
      <c r="F174" s="2" t="s">
        <v>817</v>
      </c>
      <c r="G174" s="72">
        <v>3.20378168E8</v>
      </c>
    </row>
    <row r="175">
      <c r="A175" s="73" t="s">
        <v>812</v>
      </c>
      <c r="B175" s="72">
        <v>8.0324965E7</v>
      </c>
      <c r="C175" s="74">
        <v>46216.84588836806</v>
      </c>
      <c r="D175" s="2" t="s">
        <v>667</v>
      </c>
      <c r="E175" s="2" t="s">
        <v>703</v>
      </c>
      <c r="F175" s="2" t="s">
        <v>818</v>
      </c>
      <c r="G175" s="72">
        <v>3.20377314E8</v>
      </c>
    </row>
    <row r="176">
      <c r="A176" s="73" t="s">
        <v>812</v>
      </c>
      <c r="C176" s="74">
        <v>46214.75135896991</v>
      </c>
      <c r="D176" s="2" t="s">
        <v>628</v>
      </c>
      <c r="F176" s="2" t="s">
        <v>819</v>
      </c>
      <c r="G176" s="72">
        <v>3.18910906E8</v>
      </c>
    </row>
    <row r="177">
      <c r="A177" s="73" t="s">
        <v>812</v>
      </c>
      <c r="B177" s="72">
        <v>8.0324965E7</v>
      </c>
      <c r="C177" s="74">
        <v>46217.90640630787</v>
      </c>
      <c r="D177" s="2" t="s">
        <v>705</v>
      </c>
      <c r="F177" s="2" t="s">
        <v>820</v>
      </c>
      <c r="G177" s="72">
        <v>3.21069625E8</v>
      </c>
    </row>
    <row r="178">
      <c r="A178" s="73" t="s">
        <v>812</v>
      </c>
      <c r="B178" s="72">
        <v>8.0324965E7</v>
      </c>
      <c r="C178" s="74">
        <v>46216.85502453704</v>
      </c>
      <c r="D178" s="2" t="s">
        <v>705</v>
      </c>
      <c r="F178" s="2" t="s">
        <v>821</v>
      </c>
      <c r="G178" s="72">
        <v>3.20383098E8</v>
      </c>
    </row>
    <row r="179">
      <c r="A179" s="73" t="s">
        <v>812</v>
      </c>
      <c r="B179" s="72">
        <v>8.0324965E7</v>
      </c>
      <c r="C179" s="74">
        <v>46217.95977032407</v>
      </c>
      <c r="D179" s="2" t="s">
        <v>628</v>
      </c>
      <c r="F179" s="2" t="s">
        <v>822</v>
      </c>
      <c r="G179" s="72">
        <v>3.21111911E8</v>
      </c>
    </row>
    <row r="180">
      <c r="A180" s="73" t="s">
        <v>812</v>
      </c>
      <c r="B180" s="72">
        <v>8.0324965E7</v>
      </c>
      <c r="C180" s="74">
        <v>46217.90684994213</v>
      </c>
      <c r="D180" s="2" t="s">
        <v>705</v>
      </c>
      <c r="F180" s="2" t="s">
        <v>823</v>
      </c>
      <c r="G180" s="72">
        <v>3.21069973E8</v>
      </c>
    </row>
    <row r="181">
      <c r="A181" s="73" t="s">
        <v>812</v>
      </c>
      <c r="B181" s="72">
        <v>8.0324965E7</v>
      </c>
      <c r="C181" s="74">
        <v>46217.69510994213</v>
      </c>
      <c r="D181" s="2" t="s">
        <v>705</v>
      </c>
      <c r="F181" s="2" t="s">
        <v>824</v>
      </c>
      <c r="G181" s="72">
        <v>3.20877263E8</v>
      </c>
    </row>
    <row r="182">
      <c r="A182" s="73" t="s">
        <v>812</v>
      </c>
      <c r="B182" s="72">
        <v>8.0324965E7</v>
      </c>
      <c r="C182" s="74">
        <v>46216.75262721065</v>
      </c>
      <c r="D182" s="2" t="s">
        <v>705</v>
      </c>
      <c r="F182" s="2" t="s">
        <v>825</v>
      </c>
      <c r="G182" s="72">
        <v>3.20293424E8</v>
      </c>
    </row>
    <row r="183">
      <c r="A183" s="73" t="s">
        <v>812</v>
      </c>
      <c r="B183" s="72">
        <v>8.0324965E7</v>
      </c>
      <c r="C183" s="74">
        <v>46216.85459418982</v>
      </c>
      <c r="D183" s="2" t="s">
        <v>705</v>
      </c>
      <c r="F183" s="2" t="s">
        <v>826</v>
      </c>
      <c r="G183" s="72">
        <v>3.20382833E8</v>
      </c>
    </row>
    <row r="184">
      <c r="A184" s="73" t="s">
        <v>812</v>
      </c>
      <c r="B184" s="72">
        <v>8.0324965E7</v>
      </c>
      <c r="C184" s="74">
        <v>46217.905788020835</v>
      </c>
      <c r="D184" s="2" t="s">
        <v>667</v>
      </c>
      <c r="E184" s="2" t="s">
        <v>703</v>
      </c>
      <c r="F184" s="2" t="s">
        <v>827</v>
      </c>
      <c r="G184" s="72">
        <v>3.21069082E8</v>
      </c>
    </row>
    <row r="185">
      <c r="A185" s="73" t="s">
        <v>812</v>
      </c>
      <c r="B185" s="72">
        <v>8.0324965E7</v>
      </c>
      <c r="C185" s="74">
        <v>46217.90882563658</v>
      </c>
      <c r="D185" s="2" t="s">
        <v>667</v>
      </c>
      <c r="E185" s="2" t="s">
        <v>703</v>
      </c>
      <c r="F185" s="2" t="s">
        <v>828</v>
      </c>
      <c r="G185" s="72">
        <v>3.21071214E8</v>
      </c>
    </row>
    <row r="186">
      <c r="A186" s="73" t="s">
        <v>812</v>
      </c>
      <c r="B186" s="72">
        <v>8.0324965E7</v>
      </c>
      <c r="C186" s="74">
        <v>46216.75281664352</v>
      </c>
      <c r="D186" s="2" t="s">
        <v>705</v>
      </c>
      <c r="G186" s="72">
        <v>3.20294746E8</v>
      </c>
    </row>
    <row r="187">
      <c r="A187" s="73" t="s">
        <v>812</v>
      </c>
      <c r="B187" s="72">
        <v>8.0324965E7</v>
      </c>
      <c r="C187" s="74">
        <v>46217.54443599537</v>
      </c>
      <c r="D187" s="2" t="s">
        <v>667</v>
      </c>
      <c r="E187" s="2" t="s">
        <v>829</v>
      </c>
      <c r="F187" s="2" t="s">
        <v>830</v>
      </c>
      <c r="G187" s="72">
        <v>3.20738975E8</v>
      </c>
    </row>
    <row r="188">
      <c r="A188" s="73" t="s">
        <v>812</v>
      </c>
      <c r="B188" s="72">
        <v>8.0324965E7</v>
      </c>
      <c r="C188" s="74">
        <v>46217.91477873843</v>
      </c>
      <c r="D188" s="2" t="s">
        <v>667</v>
      </c>
      <c r="E188" s="2" t="s">
        <v>703</v>
      </c>
      <c r="F188" s="2" t="s">
        <v>831</v>
      </c>
      <c r="G188" s="72">
        <v>3.21075043E8</v>
      </c>
    </row>
    <row r="189">
      <c r="A189" s="73" t="s">
        <v>812</v>
      </c>
      <c r="B189" s="72">
        <v>8.0324965E7</v>
      </c>
      <c r="C189" s="74">
        <v>46217.91273517361</v>
      </c>
      <c r="D189" s="2" t="s">
        <v>705</v>
      </c>
      <c r="F189" s="2" t="s">
        <v>832</v>
      </c>
      <c r="G189" s="72">
        <v>3.21073831E8</v>
      </c>
    </row>
    <row r="190">
      <c r="A190" s="73" t="s">
        <v>812</v>
      </c>
      <c r="B190" s="72">
        <v>8.0324965E7</v>
      </c>
      <c r="C190" s="74">
        <v>46216.543660509255</v>
      </c>
      <c r="D190" s="2" t="s">
        <v>628</v>
      </c>
      <c r="F190" s="2" t="s">
        <v>630</v>
      </c>
      <c r="G190" s="72">
        <v>3.20099992E8</v>
      </c>
    </row>
    <row r="191">
      <c r="A191" s="73" t="s">
        <v>833</v>
      </c>
      <c r="B191" s="72">
        <v>7.842002E7</v>
      </c>
      <c r="C191" s="74">
        <v>46207.95929616898</v>
      </c>
      <c r="D191" s="2" t="s">
        <v>628</v>
      </c>
      <c r="F191" s="2" t="s">
        <v>834</v>
      </c>
      <c r="G191" s="72">
        <v>3.14474915E8</v>
      </c>
    </row>
    <row r="192">
      <c r="A192" s="73" t="s">
        <v>833</v>
      </c>
      <c r="B192" s="72">
        <v>7.842002E7</v>
      </c>
      <c r="C192" s="74">
        <v>46204.54313278935</v>
      </c>
      <c r="D192" s="2" t="s">
        <v>628</v>
      </c>
      <c r="F192" s="2" t="s">
        <v>630</v>
      </c>
      <c r="G192" s="72">
        <v>3.11993823E8</v>
      </c>
    </row>
    <row r="193">
      <c r="A193" s="73" t="s">
        <v>835</v>
      </c>
      <c r="B193" s="72">
        <v>8.3191078E7</v>
      </c>
      <c r="C193" s="74">
        <v>46233.75206753472</v>
      </c>
      <c r="D193" s="2" t="s">
        <v>628</v>
      </c>
      <c r="F193" s="2" t="s">
        <v>836</v>
      </c>
      <c r="G193" s="72">
        <v>3.32066669E8</v>
      </c>
    </row>
    <row r="194">
      <c r="A194" s="73" t="s">
        <v>837</v>
      </c>
      <c r="B194" s="72">
        <v>8.3018915E7</v>
      </c>
      <c r="C194" s="74">
        <v>46233.95966912037</v>
      </c>
      <c r="D194" s="2" t="s">
        <v>628</v>
      </c>
      <c r="F194" s="2" t="s">
        <v>838</v>
      </c>
      <c r="G194" s="72">
        <v>3.32301851E8</v>
      </c>
    </row>
    <row r="195">
      <c r="A195" s="73" t="s">
        <v>837</v>
      </c>
      <c r="B195" s="72">
        <v>8.3018915E7</v>
      </c>
      <c r="C195" s="74">
        <v>46232.751673391205</v>
      </c>
      <c r="D195" s="2" t="s">
        <v>628</v>
      </c>
      <c r="F195" s="2" t="s">
        <v>785</v>
      </c>
      <c r="G195" s="72">
        <v>3.31376036E8</v>
      </c>
    </row>
    <row r="196">
      <c r="A196" s="73" t="s">
        <v>839</v>
      </c>
      <c r="B196" s="72">
        <v>8.0224571E7</v>
      </c>
      <c r="C196" s="74">
        <v>46217.54419501158</v>
      </c>
      <c r="D196" s="2" t="s">
        <v>628</v>
      </c>
      <c r="F196" s="2" t="s">
        <v>630</v>
      </c>
      <c r="G196" s="72">
        <v>3.20735878E8</v>
      </c>
    </row>
    <row r="197">
      <c r="A197" s="73" t="s">
        <v>839</v>
      </c>
      <c r="B197" s="72">
        <v>8.0224571E7</v>
      </c>
      <c r="C197" s="74">
        <v>46217.960853993056</v>
      </c>
      <c r="D197" s="2" t="s">
        <v>628</v>
      </c>
      <c r="F197" s="2" t="s">
        <v>840</v>
      </c>
      <c r="G197" s="72">
        <v>3.21114822E8</v>
      </c>
    </row>
    <row r="198">
      <c r="A198" s="73" t="s">
        <v>839</v>
      </c>
      <c r="B198" s="72">
        <v>8.0224571E7</v>
      </c>
      <c r="C198" s="74">
        <v>46215.752848275464</v>
      </c>
      <c r="D198" s="2" t="s">
        <v>628</v>
      </c>
      <c r="F198" s="2" t="s">
        <v>841</v>
      </c>
      <c r="G198" s="72">
        <v>3.19679376E8</v>
      </c>
    </row>
    <row r="199">
      <c r="A199" s="73" t="s">
        <v>842</v>
      </c>
      <c r="B199" s="72">
        <v>7.7859844E7</v>
      </c>
      <c r="C199" s="74">
        <v>46207.9609475926</v>
      </c>
      <c r="D199" s="2" t="s">
        <v>628</v>
      </c>
      <c r="F199" s="2" t="s">
        <v>843</v>
      </c>
      <c r="G199" s="72">
        <v>3.1448591E8</v>
      </c>
    </row>
    <row r="200">
      <c r="A200" s="73" t="s">
        <v>844</v>
      </c>
      <c r="B200" s="72">
        <v>8.2384745E7</v>
      </c>
      <c r="C200" s="74">
        <v>46228.75247810185</v>
      </c>
      <c r="D200" s="2" t="s">
        <v>628</v>
      </c>
      <c r="F200" s="2" t="s">
        <v>845</v>
      </c>
      <c r="G200" s="72">
        <v>3.28645461E8</v>
      </c>
    </row>
    <row r="201">
      <c r="A201" s="73" t="s">
        <v>844</v>
      </c>
      <c r="B201" s="72">
        <v>8.2384745E7</v>
      </c>
      <c r="C201" s="74">
        <v>46229.96094016204</v>
      </c>
      <c r="D201" s="2" t="s">
        <v>628</v>
      </c>
      <c r="F201" s="2" t="s">
        <v>846</v>
      </c>
      <c r="G201" s="72">
        <v>3.29612921E8</v>
      </c>
    </row>
    <row r="202">
      <c r="A202" s="73" t="s">
        <v>847</v>
      </c>
      <c r="B202" s="72">
        <v>8.2384945E7</v>
      </c>
      <c r="C202" s="74">
        <v>46230.54500863426</v>
      </c>
      <c r="D202" s="2" t="s">
        <v>628</v>
      </c>
      <c r="F202" s="2" t="s">
        <v>630</v>
      </c>
      <c r="G202" s="72">
        <v>3.29866588E8</v>
      </c>
    </row>
    <row r="203">
      <c r="A203" s="73" t="s">
        <v>847</v>
      </c>
      <c r="B203" s="72">
        <v>8.2384945E7</v>
      </c>
      <c r="C203" s="74">
        <v>46228.75256525463</v>
      </c>
      <c r="D203" s="2" t="s">
        <v>628</v>
      </c>
      <c r="F203" s="2" t="s">
        <v>647</v>
      </c>
      <c r="G203" s="72">
        <v>3.28645996E8</v>
      </c>
    </row>
    <row r="204">
      <c r="A204" s="73" t="s">
        <v>847</v>
      </c>
      <c r="B204" s="72">
        <v>8.2384945E7</v>
      </c>
      <c r="C204" s="74">
        <v>46232.96123376157</v>
      </c>
      <c r="D204" s="2" t="s">
        <v>628</v>
      </c>
      <c r="F204" s="2" t="s">
        <v>648</v>
      </c>
      <c r="G204" s="72">
        <v>3.31588244E8</v>
      </c>
    </row>
    <row r="205">
      <c r="A205" s="73" t="s">
        <v>848</v>
      </c>
      <c r="B205" s="72">
        <v>8.2380596E7</v>
      </c>
      <c r="C205" s="74">
        <v>46228.75068549768</v>
      </c>
      <c r="D205" s="2" t="s">
        <v>628</v>
      </c>
      <c r="F205" s="2" t="s">
        <v>775</v>
      </c>
      <c r="G205" s="72">
        <v>3.28634201E8</v>
      </c>
    </row>
    <row r="206">
      <c r="A206" s="73" t="s">
        <v>848</v>
      </c>
      <c r="B206" s="72">
        <v>8.2380596E7</v>
      </c>
      <c r="C206" s="74">
        <v>46230.542776064816</v>
      </c>
      <c r="D206" s="2" t="s">
        <v>628</v>
      </c>
      <c r="F206" s="2" t="s">
        <v>630</v>
      </c>
      <c r="G206" s="72">
        <v>3.29846889E8</v>
      </c>
    </row>
    <row r="207">
      <c r="A207" s="73" t="s">
        <v>848</v>
      </c>
      <c r="B207" s="72">
        <v>8.2380596E7</v>
      </c>
      <c r="C207" s="74">
        <v>46232.95962216435</v>
      </c>
      <c r="D207" s="2" t="s">
        <v>628</v>
      </c>
      <c r="F207" s="2" t="s">
        <v>849</v>
      </c>
      <c r="G207" s="72">
        <v>3.31582692E8</v>
      </c>
    </row>
    <row r="208">
      <c r="A208" s="73" t="s">
        <v>850</v>
      </c>
      <c r="B208" s="72">
        <v>7.9876466E7</v>
      </c>
      <c r="C208" s="74">
        <v>46214.931526030094</v>
      </c>
      <c r="D208" s="2" t="s">
        <v>705</v>
      </c>
      <c r="F208" s="2" t="s">
        <v>851</v>
      </c>
      <c r="G208" s="72">
        <v>3.19107674E8</v>
      </c>
    </row>
    <row r="209">
      <c r="A209" s="73" t="s">
        <v>850</v>
      </c>
      <c r="B209" s="72">
        <v>7.9876466E7</v>
      </c>
      <c r="C209" s="74">
        <v>46214.8603309375</v>
      </c>
      <c r="D209" s="2" t="s">
        <v>667</v>
      </c>
      <c r="E209" s="2" t="s">
        <v>852</v>
      </c>
      <c r="F209" s="2" t="s">
        <v>853</v>
      </c>
      <c r="G209" s="72">
        <v>3.19033835E8</v>
      </c>
    </row>
    <row r="210">
      <c r="A210" s="73" t="s">
        <v>850</v>
      </c>
      <c r="B210" s="72">
        <v>7.9876466E7</v>
      </c>
      <c r="C210" s="74">
        <v>46213.75100365741</v>
      </c>
      <c r="D210" s="2" t="s">
        <v>628</v>
      </c>
      <c r="F210" s="2" t="s">
        <v>854</v>
      </c>
      <c r="G210" s="72">
        <v>3.18165267E8</v>
      </c>
    </row>
    <row r="211">
      <c r="A211" s="73" t="s">
        <v>850</v>
      </c>
      <c r="B211" s="72">
        <v>7.9876466E7</v>
      </c>
      <c r="C211" s="74">
        <v>46214.95962317129</v>
      </c>
      <c r="D211" s="2" t="s">
        <v>628</v>
      </c>
      <c r="F211" s="2" t="s">
        <v>855</v>
      </c>
      <c r="G211" s="72">
        <v>3.1913023E8</v>
      </c>
    </row>
    <row r="212">
      <c r="A212" s="73" t="s">
        <v>850</v>
      </c>
      <c r="B212" s="72">
        <v>7.9876466E7</v>
      </c>
      <c r="C212" s="74">
        <v>46215.959781909725</v>
      </c>
      <c r="D212" s="2" t="s">
        <v>628</v>
      </c>
      <c r="F212" s="2" t="s">
        <v>855</v>
      </c>
      <c r="G212" s="72">
        <v>3.19857384E8</v>
      </c>
    </row>
    <row r="213">
      <c r="A213" s="73" t="s">
        <v>856</v>
      </c>
      <c r="C213" s="74">
        <v>46216.752586539355</v>
      </c>
      <c r="D213" s="2" t="s">
        <v>628</v>
      </c>
      <c r="F213" s="2" t="s">
        <v>857</v>
      </c>
      <c r="G213" s="72">
        <v>3.20293144E8</v>
      </c>
    </row>
    <row r="214">
      <c r="A214" s="73" t="s">
        <v>856</v>
      </c>
      <c r="B214" s="72">
        <v>8.0577066E7</v>
      </c>
      <c r="C214" s="74">
        <v>46217.9612953125</v>
      </c>
      <c r="D214" s="2" t="s">
        <v>628</v>
      </c>
      <c r="F214" s="2" t="s">
        <v>858</v>
      </c>
      <c r="G214" s="72">
        <v>3.2111603E8</v>
      </c>
    </row>
    <row r="215">
      <c r="A215" s="73" t="s">
        <v>859</v>
      </c>
      <c r="B215" s="72">
        <v>8.238073E7</v>
      </c>
      <c r="C215" s="74">
        <v>46228.750800381946</v>
      </c>
      <c r="D215" s="2" t="s">
        <v>628</v>
      </c>
      <c r="F215" s="2" t="s">
        <v>860</v>
      </c>
      <c r="G215" s="72">
        <v>3.28634539E8</v>
      </c>
    </row>
    <row r="216">
      <c r="A216" s="73" t="s">
        <v>859</v>
      </c>
      <c r="B216" s="72">
        <v>8.238073E7</v>
      </c>
      <c r="C216" s="74">
        <v>46230.95971230324</v>
      </c>
      <c r="D216" s="2" t="s">
        <v>628</v>
      </c>
      <c r="F216" s="2" t="s">
        <v>861</v>
      </c>
      <c r="G216" s="72">
        <v>3.30267224E8</v>
      </c>
    </row>
    <row r="217">
      <c r="A217" s="73" t="s">
        <v>859</v>
      </c>
      <c r="B217" s="72">
        <v>8.238073E7</v>
      </c>
      <c r="C217" s="74">
        <v>46230.5431178125</v>
      </c>
      <c r="D217" s="2" t="s">
        <v>628</v>
      </c>
      <c r="F217" s="2" t="s">
        <v>630</v>
      </c>
      <c r="G217" s="72">
        <v>3.29849666E8</v>
      </c>
    </row>
    <row r="218">
      <c r="A218" s="73" t="s">
        <v>862</v>
      </c>
      <c r="B218" s="72">
        <v>8.3388571E7</v>
      </c>
      <c r="C218" s="74">
        <v>46234.7539099537</v>
      </c>
      <c r="D218" s="2" t="s">
        <v>628</v>
      </c>
      <c r="F218" s="2" t="s">
        <v>863</v>
      </c>
      <c r="G218" s="72">
        <v>3.32854015E8</v>
      </c>
    </row>
    <row r="219">
      <c r="A219" s="73" t="s">
        <v>864</v>
      </c>
      <c r="B219" s="72">
        <v>8.2186301E7</v>
      </c>
      <c r="C219" s="74">
        <v>46227.7507944213</v>
      </c>
      <c r="D219" s="2" t="s">
        <v>628</v>
      </c>
      <c r="F219" s="2" t="s">
        <v>809</v>
      </c>
      <c r="G219" s="72">
        <v>3.2786143E8</v>
      </c>
    </row>
    <row r="220">
      <c r="A220" s="73" t="s">
        <v>864</v>
      </c>
      <c r="B220" s="72">
        <v>8.2186301E7</v>
      </c>
      <c r="C220" s="74">
        <v>46229.542573784725</v>
      </c>
      <c r="D220" s="2" t="s">
        <v>628</v>
      </c>
      <c r="F220" s="2" t="s">
        <v>630</v>
      </c>
      <c r="G220" s="72">
        <v>3.29185476E8</v>
      </c>
    </row>
    <row r="221">
      <c r="A221" s="73" t="s">
        <v>864</v>
      </c>
      <c r="B221" s="72">
        <v>8.2186301E7</v>
      </c>
      <c r="C221" s="74">
        <v>46229.958759560184</v>
      </c>
      <c r="D221" s="2" t="s">
        <v>628</v>
      </c>
      <c r="F221" s="2" t="s">
        <v>810</v>
      </c>
      <c r="G221" s="72">
        <v>3.29607128E8</v>
      </c>
    </row>
    <row r="222">
      <c r="A222" s="73" t="s">
        <v>865</v>
      </c>
      <c r="B222" s="72">
        <v>8.2979566E7</v>
      </c>
      <c r="C222" s="74">
        <v>46232.5455252199</v>
      </c>
      <c r="D222" s="2" t="s">
        <v>628</v>
      </c>
      <c r="F222" s="2" t="s">
        <v>630</v>
      </c>
      <c r="G222" s="72">
        <v>3.3119146E8</v>
      </c>
    </row>
    <row r="223">
      <c r="A223" s="73" t="s">
        <v>865</v>
      </c>
      <c r="C223" s="74">
        <v>46230.754067222224</v>
      </c>
      <c r="D223" s="2" t="s">
        <v>628</v>
      </c>
      <c r="F223" s="2" t="s">
        <v>866</v>
      </c>
      <c r="G223" s="72">
        <v>3.30070773E8</v>
      </c>
    </row>
    <row r="224">
      <c r="A224" s="73" t="s">
        <v>865</v>
      </c>
      <c r="B224" s="72">
        <v>8.2979566E7</v>
      </c>
      <c r="C224" s="74">
        <v>46233.96153369213</v>
      </c>
      <c r="D224" s="2" t="s">
        <v>628</v>
      </c>
      <c r="F224" s="2" t="s">
        <v>867</v>
      </c>
      <c r="G224" s="72">
        <v>3.32309744E8</v>
      </c>
    </row>
    <row r="225">
      <c r="A225" s="73" t="s">
        <v>868</v>
      </c>
      <c r="B225" s="72">
        <v>8.1036056E7</v>
      </c>
      <c r="C225" s="74">
        <v>46220.81085317129</v>
      </c>
      <c r="D225" s="2" t="s">
        <v>653</v>
      </c>
      <c r="F225" s="2" t="s">
        <v>869</v>
      </c>
      <c r="G225" s="72">
        <v>3.23079744E8</v>
      </c>
    </row>
    <row r="226">
      <c r="A226" s="73" t="s">
        <v>868</v>
      </c>
      <c r="B226" s="72">
        <v>8.1036056E7</v>
      </c>
      <c r="C226" s="74">
        <v>46221.673076493054</v>
      </c>
      <c r="D226" s="2" t="s">
        <v>653</v>
      </c>
      <c r="F226" s="2" t="s">
        <v>869</v>
      </c>
      <c r="G226" s="72">
        <v>3.23706208E8</v>
      </c>
    </row>
    <row r="227">
      <c r="A227" s="73" t="s">
        <v>868</v>
      </c>
      <c r="B227" s="72">
        <v>8.1036056E7</v>
      </c>
      <c r="C227" s="74">
        <v>46220.754164259255</v>
      </c>
      <c r="D227" s="2" t="s">
        <v>628</v>
      </c>
      <c r="F227" s="2" t="s">
        <v>870</v>
      </c>
      <c r="G227" s="72">
        <v>3.23015235E8</v>
      </c>
    </row>
    <row r="228">
      <c r="A228" s="73" t="s">
        <v>868</v>
      </c>
      <c r="B228" s="72">
        <v>8.1036056E7</v>
      </c>
      <c r="C228" s="74">
        <v>46222.640770949074</v>
      </c>
      <c r="D228" s="2" t="s">
        <v>653</v>
      </c>
      <c r="F228" s="2" t="s">
        <v>871</v>
      </c>
      <c r="G228" s="72">
        <v>3.24463102E8</v>
      </c>
    </row>
    <row r="229">
      <c r="A229" s="73" t="s">
        <v>868</v>
      </c>
      <c r="B229" s="72">
        <v>8.1036056E7</v>
      </c>
      <c r="C229" s="74">
        <v>46220.756180752316</v>
      </c>
      <c r="D229" s="2" t="s">
        <v>705</v>
      </c>
      <c r="F229" s="2" t="s">
        <v>872</v>
      </c>
      <c r="G229" s="72">
        <v>3.2301698E8</v>
      </c>
    </row>
    <row r="230">
      <c r="A230" s="73" t="s">
        <v>868</v>
      </c>
      <c r="B230" s="72">
        <v>8.1036056E7</v>
      </c>
      <c r="C230" s="74">
        <v>46221.962239953704</v>
      </c>
      <c r="D230" s="2" t="s">
        <v>628</v>
      </c>
      <c r="F230" s="2" t="s">
        <v>873</v>
      </c>
      <c r="G230" s="72">
        <v>3.24004077E8</v>
      </c>
    </row>
    <row r="231">
      <c r="A231" s="73" t="s">
        <v>868</v>
      </c>
      <c r="B231" s="72">
        <v>8.1036056E7</v>
      </c>
      <c r="C231" s="74">
        <v>46224.477564444445</v>
      </c>
      <c r="D231" s="2" t="s">
        <v>653</v>
      </c>
      <c r="F231" s="2" t="s">
        <v>874</v>
      </c>
      <c r="G231" s="72">
        <v>3.25536259E8</v>
      </c>
    </row>
    <row r="232">
      <c r="A232" s="73" t="s">
        <v>868</v>
      </c>
      <c r="B232" s="72">
        <v>8.1036056E7</v>
      </c>
      <c r="C232" s="74">
        <v>46222.640766365745</v>
      </c>
      <c r="D232" s="2" t="s">
        <v>653</v>
      </c>
      <c r="F232" s="2" t="s">
        <v>871</v>
      </c>
      <c r="G232" s="72">
        <v>3.24463099E8</v>
      </c>
    </row>
    <row r="233">
      <c r="A233" s="73" t="s">
        <v>868</v>
      </c>
      <c r="B233" s="72">
        <v>8.1036056E7</v>
      </c>
      <c r="C233" s="74">
        <v>46220.75618765046</v>
      </c>
      <c r="D233" s="2" t="s">
        <v>653</v>
      </c>
      <c r="F233" s="2" t="s">
        <v>875</v>
      </c>
      <c r="G233" s="72">
        <v>3.23016984E8</v>
      </c>
    </row>
    <row r="234">
      <c r="A234" s="73" t="s">
        <v>876</v>
      </c>
      <c r="B234" s="72">
        <v>7.8976683E7</v>
      </c>
      <c r="C234" s="74">
        <v>46209.96062534722</v>
      </c>
      <c r="D234" s="2" t="s">
        <v>628</v>
      </c>
      <c r="F234" s="2" t="s">
        <v>877</v>
      </c>
      <c r="G234" s="72">
        <v>3.15780751E8</v>
      </c>
    </row>
    <row r="235">
      <c r="A235" s="73" t="s">
        <v>876</v>
      </c>
      <c r="B235" s="72">
        <v>7.8976683E7</v>
      </c>
      <c r="C235" s="74">
        <v>46207.75271927084</v>
      </c>
      <c r="D235" s="2" t="s">
        <v>628</v>
      </c>
      <c r="F235" s="2" t="s">
        <v>878</v>
      </c>
      <c r="G235" s="72">
        <v>3.14292352E8</v>
      </c>
    </row>
    <row r="236">
      <c r="A236" s="73" t="s">
        <v>876</v>
      </c>
      <c r="B236" s="72">
        <v>7.8976683E7</v>
      </c>
      <c r="C236" s="74">
        <v>46209.544837395835</v>
      </c>
      <c r="D236" s="2" t="s">
        <v>628</v>
      </c>
      <c r="F236" s="2" t="s">
        <v>630</v>
      </c>
      <c r="G236" s="72">
        <v>3.15411516E8</v>
      </c>
    </row>
    <row r="237">
      <c r="A237" s="73" t="s">
        <v>879</v>
      </c>
      <c r="B237" s="72">
        <v>7.861773E7</v>
      </c>
      <c r="C237" s="74">
        <v>46208.96020189815</v>
      </c>
      <c r="D237" s="2" t="s">
        <v>628</v>
      </c>
      <c r="F237" s="2" t="s">
        <v>880</v>
      </c>
      <c r="G237" s="72">
        <v>3.15164068E8</v>
      </c>
    </row>
    <row r="238">
      <c r="A238" s="73" t="s">
        <v>879</v>
      </c>
      <c r="B238" s="72">
        <v>7.861773E7</v>
      </c>
      <c r="C238" s="74">
        <v>46205.75182881944</v>
      </c>
      <c r="D238" s="2" t="s">
        <v>628</v>
      </c>
      <c r="F238" s="2" t="s">
        <v>881</v>
      </c>
      <c r="G238" s="72">
        <v>3.12821507E8</v>
      </c>
    </row>
    <row r="239">
      <c r="A239" s="73" t="s">
        <v>879</v>
      </c>
      <c r="B239" s="72">
        <v>7.861773E7</v>
      </c>
      <c r="C239" s="74">
        <v>46207.543392430554</v>
      </c>
      <c r="D239" s="2" t="s">
        <v>628</v>
      </c>
      <c r="F239" s="2" t="s">
        <v>630</v>
      </c>
      <c r="G239" s="72">
        <v>3.14067847E8</v>
      </c>
    </row>
    <row r="240">
      <c r="A240" s="73" t="s">
        <v>882</v>
      </c>
      <c r="B240" s="72">
        <v>8.0839291E7</v>
      </c>
      <c r="C240" s="74">
        <v>46219.752192025466</v>
      </c>
      <c r="D240" s="2" t="s">
        <v>628</v>
      </c>
      <c r="F240" s="2" t="s">
        <v>883</v>
      </c>
      <c r="G240" s="72">
        <v>3.22241454E8</v>
      </c>
    </row>
    <row r="241">
      <c r="A241" s="73" t="s">
        <v>882</v>
      </c>
      <c r="B241" s="72">
        <v>8.0839291E7</v>
      </c>
      <c r="C241" s="74">
        <v>46221.960060428246</v>
      </c>
      <c r="D241" s="2" t="s">
        <v>628</v>
      </c>
      <c r="F241" s="2" t="s">
        <v>884</v>
      </c>
      <c r="G241" s="72">
        <v>3.23993065E8</v>
      </c>
    </row>
    <row r="242">
      <c r="A242" s="73" t="s">
        <v>882</v>
      </c>
      <c r="B242" s="72">
        <v>8.0839291E7</v>
      </c>
      <c r="C242" s="74">
        <v>46221.54366795139</v>
      </c>
      <c r="D242" s="2" t="s">
        <v>628</v>
      </c>
      <c r="F242" s="2" t="s">
        <v>630</v>
      </c>
      <c r="G242" s="72">
        <v>3.23539903E8</v>
      </c>
    </row>
    <row r="243">
      <c r="A243" s="73" t="s">
        <v>885</v>
      </c>
      <c r="B243" s="72">
        <v>8.2755616E7</v>
      </c>
      <c r="C243" s="74">
        <v>46230.95050975695</v>
      </c>
      <c r="D243" s="2" t="s">
        <v>667</v>
      </c>
      <c r="E243" s="2" t="s">
        <v>886</v>
      </c>
      <c r="F243" s="2" t="s">
        <v>887</v>
      </c>
      <c r="G243" s="72">
        <v>3.30259449E8</v>
      </c>
    </row>
    <row r="244">
      <c r="A244" s="73" t="s">
        <v>885</v>
      </c>
      <c r="B244" s="72">
        <v>8.2755616E7</v>
      </c>
      <c r="C244" s="74">
        <v>46230.94195241898</v>
      </c>
      <c r="D244" s="2" t="s">
        <v>705</v>
      </c>
      <c r="F244" s="2" t="s">
        <v>756</v>
      </c>
      <c r="G244" s="72">
        <v>3.30252949E8</v>
      </c>
    </row>
    <row r="245">
      <c r="A245" s="73" t="s">
        <v>885</v>
      </c>
      <c r="B245" s="72">
        <v>8.2755616E7</v>
      </c>
      <c r="C245" s="74">
        <v>46230.94195912037</v>
      </c>
      <c r="D245" s="2" t="s">
        <v>705</v>
      </c>
      <c r="F245" s="2" t="s">
        <v>888</v>
      </c>
      <c r="G245" s="72">
        <v>3.30252957E8</v>
      </c>
    </row>
    <row r="246">
      <c r="A246" s="73" t="s">
        <v>889</v>
      </c>
      <c r="B246" s="72">
        <v>8.1219636E7</v>
      </c>
      <c r="C246" s="74">
        <v>46221.7527755787</v>
      </c>
      <c r="D246" s="2" t="s">
        <v>628</v>
      </c>
      <c r="F246" s="2" t="s">
        <v>890</v>
      </c>
      <c r="G246" s="72">
        <v>3.23777561E8</v>
      </c>
    </row>
    <row r="247">
      <c r="A247" s="73" t="s">
        <v>891</v>
      </c>
      <c r="B247" s="72">
        <v>8.2190425E7</v>
      </c>
      <c r="C247" s="74">
        <v>46230.96194497685</v>
      </c>
      <c r="D247" s="2" t="s">
        <v>628</v>
      </c>
      <c r="F247" s="2" t="s">
        <v>892</v>
      </c>
      <c r="G247" s="72">
        <v>3.30273812E8</v>
      </c>
    </row>
    <row r="248">
      <c r="A248" s="73" t="s">
        <v>891</v>
      </c>
      <c r="B248" s="72">
        <v>8.2190425E7</v>
      </c>
      <c r="C248" s="74">
        <v>46230.562074016205</v>
      </c>
      <c r="D248" s="2" t="s">
        <v>628</v>
      </c>
      <c r="F248" s="2" t="s">
        <v>893</v>
      </c>
      <c r="G248" s="72">
        <v>3.29892879E8</v>
      </c>
    </row>
    <row r="249">
      <c r="A249" s="73" t="s">
        <v>891</v>
      </c>
      <c r="B249" s="72">
        <v>8.2190425E7</v>
      </c>
      <c r="C249" s="74">
        <v>46227.75232622685</v>
      </c>
      <c r="D249" s="2" t="s">
        <v>628</v>
      </c>
      <c r="F249" s="2" t="s">
        <v>893</v>
      </c>
      <c r="G249" s="72">
        <v>3.27870176E8</v>
      </c>
    </row>
    <row r="250">
      <c r="A250" s="73" t="s">
        <v>891</v>
      </c>
      <c r="B250" s="72">
        <v>8.2190425E7</v>
      </c>
      <c r="C250" s="74">
        <v>46228.75170309028</v>
      </c>
      <c r="D250" s="2" t="s">
        <v>628</v>
      </c>
      <c r="F250" s="2" t="s">
        <v>893</v>
      </c>
      <c r="G250" s="72">
        <v>3.28640145E8</v>
      </c>
    </row>
    <row r="251">
      <c r="A251" s="73" t="s">
        <v>891</v>
      </c>
      <c r="B251" s="72">
        <v>8.2190425E7</v>
      </c>
      <c r="C251" s="74">
        <v>46229.95983313657</v>
      </c>
      <c r="D251" s="2" t="s">
        <v>628</v>
      </c>
      <c r="F251" s="2" t="s">
        <v>892</v>
      </c>
      <c r="G251" s="72">
        <v>3.29609043E8</v>
      </c>
    </row>
    <row r="252">
      <c r="A252" s="73" t="s">
        <v>891</v>
      </c>
      <c r="B252" s="72">
        <v>8.2190425E7</v>
      </c>
      <c r="C252" s="74">
        <v>46229.54437671296</v>
      </c>
      <c r="D252" s="2" t="s">
        <v>628</v>
      </c>
      <c r="F252" s="2" t="s">
        <v>630</v>
      </c>
      <c r="G252" s="72">
        <v>3.29196192E8</v>
      </c>
    </row>
    <row r="253">
      <c r="A253" s="73" t="s">
        <v>894</v>
      </c>
      <c r="C253" s="74">
        <v>46222.750944722226</v>
      </c>
      <c r="D253" s="2" t="s">
        <v>628</v>
      </c>
      <c r="F253" s="2" t="s">
        <v>895</v>
      </c>
      <c r="G253" s="72">
        <v>3.24534308E8</v>
      </c>
    </row>
    <row r="254">
      <c r="A254" s="73" t="s">
        <v>894</v>
      </c>
      <c r="B254" s="72">
        <v>8.1636108E7</v>
      </c>
      <c r="C254" s="74">
        <v>46224.54290893518</v>
      </c>
      <c r="D254" s="2" t="s">
        <v>628</v>
      </c>
      <c r="F254" s="2" t="s">
        <v>630</v>
      </c>
      <c r="G254" s="72">
        <v>3.25593212E8</v>
      </c>
    </row>
    <row r="255">
      <c r="A255" s="73" t="s">
        <v>894</v>
      </c>
      <c r="B255" s="72">
        <v>8.1636108E7</v>
      </c>
      <c r="C255" s="74">
        <v>46225.95958175926</v>
      </c>
      <c r="D255" s="2" t="s">
        <v>628</v>
      </c>
      <c r="F255" s="2" t="s">
        <v>896</v>
      </c>
      <c r="G255" s="72">
        <v>3.26628349E8</v>
      </c>
    </row>
    <row r="256">
      <c r="A256" s="73" t="s">
        <v>897</v>
      </c>
      <c r="B256" s="72">
        <v>1.3196947E7</v>
      </c>
      <c r="C256" s="74">
        <v>46206.44400185185</v>
      </c>
      <c r="D256" s="2" t="s">
        <v>705</v>
      </c>
      <c r="F256" s="2" t="s">
        <v>898</v>
      </c>
      <c r="G256" s="72">
        <v>3.13202863E8</v>
      </c>
    </row>
    <row r="257">
      <c r="A257" s="73" t="s">
        <v>897</v>
      </c>
      <c r="B257" s="72">
        <v>1.3196947E7</v>
      </c>
      <c r="C257" s="74">
        <v>46208.96068188657</v>
      </c>
      <c r="D257" s="2" t="s">
        <v>628</v>
      </c>
      <c r="F257" s="2" t="s">
        <v>899</v>
      </c>
      <c r="G257" s="72">
        <v>3.1516627E8</v>
      </c>
    </row>
    <row r="258">
      <c r="A258" s="73" t="s">
        <v>897</v>
      </c>
      <c r="B258" s="72">
        <v>1.3196947E7</v>
      </c>
      <c r="C258" s="74">
        <v>46205.75273460648</v>
      </c>
      <c r="D258" s="2" t="s">
        <v>628</v>
      </c>
      <c r="F258" s="2" t="s">
        <v>900</v>
      </c>
      <c r="G258" s="72">
        <v>3.12832115E8</v>
      </c>
    </row>
    <row r="259">
      <c r="A259" s="73" t="s">
        <v>897</v>
      </c>
      <c r="B259" s="72">
        <v>1.3196947E7</v>
      </c>
      <c r="C259" s="74">
        <v>46207.5444218287</v>
      </c>
      <c r="D259" s="2" t="s">
        <v>628</v>
      </c>
      <c r="F259" s="2" t="s">
        <v>630</v>
      </c>
      <c r="G259" s="72">
        <v>3.14084339E8</v>
      </c>
    </row>
    <row r="260">
      <c r="A260" s="73" t="s">
        <v>901</v>
      </c>
      <c r="B260" s="72">
        <v>8.148476E7</v>
      </c>
      <c r="C260" s="74">
        <v>46225.96072555556</v>
      </c>
      <c r="D260" s="2" t="s">
        <v>628</v>
      </c>
      <c r="F260" s="2" t="s">
        <v>902</v>
      </c>
      <c r="G260" s="72">
        <v>3.26631732E8</v>
      </c>
    </row>
    <row r="261">
      <c r="A261" s="73" t="s">
        <v>901</v>
      </c>
      <c r="B261" s="72">
        <v>8.148476E7</v>
      </c>
      <c r="C261" s="74">
        <v>46223.5439008449</v>
      </c>
      <c r="D261" s="2" t="s">
        <v>628</v>
      </c>
      <c r="F261" s="2" t="s">
        <v>630</v>
      </c>
      <c r="G261" s="72">
        <v>3.24972536E8</v>
      </c>
    </row>
    <row r="262">
      <c r="A262" s="73" t="s">
        <v>901</v>
      </c>
      <c r="C262" s="74">
        <v>46221.7524109375</v>
      </c>
      <c r="D262" s="2" t="s">
        <v>628</v>
      </c>
      <c r="F262" s="2" t="s">
        <v>903</v>
      </c>
      <c r="G262" s="72">
        <v>3.23774531E8</v>
      </c>
    </row>
    <row r="263">
      <c r="A263" s="73" t="s">
        <v>904</v>
      </c>
      <c r="B263" s="72">
        <v>8.1221217E7</v>
      </c>
      <c r="C263" s="74">
        <v>46221.75339628472</v>
      </c>
      <c r="D263" s="2" t="s">
        <v>628</v>
      </c>
      <c r="F263" s="2" t="s">
        <v>881</v>
      </c>
      <c r="G263" s="72">
        <v>3.23781937E8</v>
      </c>
    </row>
    <row r="264">
      <c r="A264" s="73" t="s">
        <v>904</v>
      </c>
      <c r="B264" s="72">
        <v>8.1221217E7</v>
      </c>
      <c r="C264" s="74">
        <v>46222.96198506944</v>
      </c>
      <c r="D264" s="2" t="s">
        <v>628</v>
      </c>
      <c r="F264" s="2" t="s">
        <v>905</v>
      </c>
      <c r="G264" s="72">
        <v>3.2472951E8</v>
      </c>
    </row>
    <row r="265">
      <c r="A265" s="73" t="s">
        <v>906</v>
      </c>
      <c r="B265" s="72">
        <v>8.0844663E7</v>
      </c>
      <c r="C265" s="74">
        <v>46219.753607719904</v>
      </c>
      <c r="D265" s="2" t="s">
        <v>628</v>
      </c>
      <c r="F265" s="2" t="s">
        <v>907</v>
      </c>
      <c r="G265" s="72">
        <v>3.22251842E8</v>
      </c>
    </row>
    <row r="266">
      <c r="A266" s="73" t="s">
        <v>906</v>
      </c>
      <c r="B266" s="72">
        <v>8.0844663E7</v>
      </c>
      <c r="C266" s="74">
        <v>46221.54448453704</v>
      </c>
      <c r="D266" s="2" t="s">
        <v>628</v>
      </c>
      <c r="F266" s="2" t="s">
        <v>630</v>
      </c>
      <c r="G266" s="72">
        <v>3.23550524E8</v>
      </c>
    </row>
    <row r="267">
      <c r="A267" s="73" t="s">
        <v>906</v>
      </c>
      <c r="B267" s="72">
        <v>8.0844663E7</v>
      </c>
      <c r="C267" s="74">
        <v>46221.96267334491</v>
      </c>
      <c r="D267" s="2" t="s">
        <v>628</v>
      </c>
      <c r="F267" s="2" t="s">
        <v>908</v>
      </c>
      <c r="G267" s="72">
        <v>3.24004449E8</v>
      </c>
    </row>
    <row r="268">
      <c r="A268" s="73" t="s">
        <v>909</v>
      </c>
      <c r="B268" s="72">
        <v>7.8629947E7</v>
      </c>
      <c r="C268" s="74">
        <v>46207.54479584491</v>
      </c>
      <c r="D268" s="2" t="s">
        <v>628</v>
      </c>
      <c r="F268" s="2" t="s">
        <v>630</v>
      </c>
      <c r="G268" s="72">
        <v>3.14091267E8</v>
      </c>
    </row>
    <row r="269">
      <c r="A269" s="73" t="s">
        <v>909</v>
      </c>
      <c r="B269" s="72">
        <v>7.8629947E7</v>
      </c>
      <c r="C269" s="74">
        <v>46205.75388362269</v>
      </c>
      <c r="D269" s="2" t="s">
        <v>628</v>
      </c>
      <c r="F269" s="2" t="s">
        <v>910</v>
      </c>
      <c r="G269" s="72">
        <v>3.1284596E8</v>
      </c>
    </row>
    <row r="270">
      <c r="A270" s="73" t="s">
        <v>909</v>
      </c>
      <c r="B270" s="72">
        <v>7.8629947E7</v>
      </c>
      <c r="C270" s="74">
        <v>46209.96149832176</v>
      </c>
      <c r="D270" s="2" t="s">
        <v>628</v>
      </c>
      <c r="F270" s="2" t="s">
        <v>911</v>
      </c>
      <c r="G270" s="72">
        <v>3.15782777E8</v>
      </c>
    </row>
    <row r="271">
      <c r="A271" s="73" t="s">
        <v>912</v>
      </c>
      <c r="B271" s="72">
        <v>7.8181248E7</v>
      </c>
      <c r="C271" s="74">
        <v>46204.54283229167</v>
      </c>
      <c r="D271" s="2" t="s">
        <v>628</v>
      </c>
      <c r="F271" s="2" t="s">
        <v>630</v>
      </c>
      <c r="G271" s="72">
        <v>3.11990434E8</v>
      </c>
    </row>
    <row r="272">
      <c r="A272" s="73" t="s">
        <v>912</v>
      </c>
      <c r="B272" s="72">
        <v>7.8181248E7</v>
      </c>
      <c r="C272" s="74">
        <v>46204.95949376158</v>
      </c>
      <c r="D272" s="2" t="s">
        <v>628</v>
      </c>
      <c r="F272" s="2" t="s">
        <v>843</v>
      </c>
      <c r="G272" s="72">
        <v>3.1237931E8</v>
      </c>
    </row>
    <row r="273">
      <c r="A273" s="73" t="s">
        <v>913</v>
      </c>
      <c r="B273" s="72">
        <v>8.1838402E7</v>
      </c>
      <c r="C273" s="74">
        <v>46225.7533437963</v>
      </c>
      <c r="D273" s="2" t="s">
        <v>628</v>
      </c>
      <c r="F273" s="2" t="s">
        <v>665</v>
      </c>
      <c r="G273" s="72">
        <v>3.26441059E8</v>
      </c>
    </row>
    <row r="274">
      <c r="A274" s="73" t="s">
        <v>913</v>
      </c>
      <c r="B274" s="72">
        <v>8.1838402E7</v>
      </c>
      <c r="C274" s="74">
        <v>46226.96122950231</v>
      </c>
      <c r="D274" s="2" t="s">
        <v>628</v>
      </c>
      <c r="F274" s="2" t="s">
        <v>666</v>
      </c>
      <c r="G274" s="72">
        <v>3.27340955E8</v>
      </c>
    </row>
    <row r="275">
      <c r="A275" s="73" t="s">
        <v>914</v>
      </c>
      <c r="C275" s="74">
        <v>46218.75192563658</v>
      </c>
      <c r="D275" s="2" t="s">
        <v>628</v>
      </c>
      <c r="F275" s="2" t="s">
        <v>915</v>
      </c>
      <c r="G275" s="72">
        <v>3.21566108E8</v>
      </c>
    </row>
    <row r="276">
      <c r="A276" s="73" t="s">
        <v>914</v>
      </c>
      <c r="B276" s="72">
        <v>8.0981762E7</v>
      </c>
      <c r="C276" s="74">
        <v>46220.9607328125</v>
      </c>
      <c r="D276" s="2" t="s">
        <v>628</v>
      </c>
      <c r="F276" s="2" t="s">
        <v>916</v>
      </c>
      <c r="G276" s="72">
        <v>3.23246003E8</v>
      </c>
    </row>
    <row r="277">
      <c r="A277" s="73" t="s">
        <v>914</v>
      </c>
      <c r="B277" s="72">
        <v>8.0981762E7</v>
      </c>
      <c r="C277" s="74">
        <v>46220.54467425926</v>
      </c>
      <c r="D277" s="2" t="s">
        <v>628</v>
      </c>
      <c r="F277" s="2" t="s">
        <v>630</v>
      </c>
      <c r="G277" s="72">
        <v>3.22771503E8</v>
      </c>
    </row>
    <row r="278">
      <c r="A278" s="73" t="s">
        <v>917</v>
      </c>
      <c r="B278" s="72">
        <v>8.0810881E7</v>
      </c>
      <c r="C278" s="74">
        <v>46219.60912898148</v>
      </c>
      <c r="D278" s="2" t="s">
        <v>705</v>
      </c>
      <c r="F278" s="2" t="s">
        <v>918</v>
      </c>
      <c r="G278" s="72">
        <v>3.22127162E8</v>
      </c>
    </row>
    <row r="279">
      <c r="A279" s="73" t="s">
        <v>917</v>
      </c>
      <c r="B279" s="72">
        <v>8.0810881E7</v>
      </c>
      <c r="C279" s="74">
        <v>46219.60913438657</v>
      </c>
      <c r="D279" s="2" t="s">
        <v>653</v>
      </c>
      <c r="F279" s="2" t="s">
        <v>919</v>
      </c>
      <c r="G279" s="72">
        <v>3.22127165E8</v>
      </c>
    </row>
    <row r="280">
      <c r="A280" s="73" t="s">
        <v>920</v>
      </c>
      <c r="B280" s="72">
        <v>8.1221519E7</v>
      </c>
      <c r="C280" s="74">
        <v>46223.544713923606</v>
      </c>
      <c r="D280" s="2" t="s">
        <v>628</v>
      </c>
      <c r="F280" s="2" t="s">
        <v>630</v>
      </c>
      <c r="G280" s="72">
        <v>3.24985354E8</v>
      </c>
    </row>
    <row r="281">
      <c r="A281" s="73" t="s">
        <v>920</v>
      </c>
      <c r="B281" s="72">
        <v>8.1221519E7</v>
      </c>
      <c r="C281" s="74">
        <v>46221.75353019676</v>
      </c>
      <c r="D281" s="2" t="s">
        <v>628</v>
      </c>
      <c r="F281" s="2" t="s">
        <v>647</v>
      </c>
      <c r="G281" s="72">
        <v>3.23782722E8</v>
      </c>
    </row>
    <row r="282">
      <c r="A282" s="73" t="s">
        <v>920</v>
      </c>
      <c r="B282" s="72">
        <v>8.1221519E7</v>
      </c>
      <c r="C282" s="74">
        <v>46223.96150362269</v>
      </c>
      <c r="D282" s="2" t="s">
        <v>628</v>
      </c>
      <c r="F282" s="2" t="s">
        <v>648</v>
      </c>
      <c r="G282" s="72">
        <v>3.25368219E8</v>
      </c>
    </row>
    <row r="283">
      <c r="A283" s="73" t="s">
        <v>921</v>
      </c>
      <c r="B283" s="72">
        <v>8.0671181E7</v>
      </c>
      <c r="C283" s="74">
        <v>46218.751789131944</v>
      </c>
      <c r="D283" s="2" t="s">
        <v>628</v>
      </c>
      <c r="F283" s="2" t="s">
        <v>663</v>
      </c>
      <c r="G283" s="72">
        <v>3.21564765E8</v>
      </c>
    </row>
    <row r="284">
      <c r="A284" s="73" t="s">
        <v>921</v>
      </c>
      <c r="B284" s="72">
        <v>8.0671181E7</v>
      </c>
      <c r="C284" s="74">
        <v>46219.959911134254</v>
      </c>
      <c r="D284" s="2" t="s">
        <v>628</v>
      </c>
      <c r="F284" s="2" t="s">
        <v>922</v>
      </c>
      <c r="G284" s="72">
        <v>3.22474471E8</v>
      </c>
    </row>
    <row r="285">
      <c r="A285" s="73" t="s">
        <v>923</v>
      </c>
      <c r="C285" s="74">
        <v>46226.75316123843</v>
      </c>
      <c r="D285" s="2" t="s">
        <v>628</v>
      </c>
      <c r="F285" s="2" t="s">
        <v>924</v>
      </c>
      <c r="G285" s="72">
        <v>3.27110774E8</v>
      </c>
    </row>
    <row r="286">
      <c r="A286" s="73" t="s">
        <v>923</v>
      </c>
      <c r="B286" s="72">
        <v>8.2271527E7</v>
      </c>
      <c r="C286" s="74">
        <v>46227.96042931713</v>
      </c>
      <c r="D286" s="2" t="s">
        <v>628</v>
      </c>
      <c r="F286" s="2" t="s">
        <v>925</v>
      </c>
      <c r="G286" s="72">
        <v>3.28117248E8</v>
      </c>
    </row>
    <row r="287">
      <c r="A287" s="73" t="s">
        <v>926</v>
      </c>
      <c r="B287" s="72">
        <v>7.9881151E7</v>
      </c>
      <c r="C287" s="74">
        <v>46213.752469467596</v>
      </c>
      <c r="D287" s="2" t="s">
        <v>628</v>
      </c>
      <c r="F287" s="2" t="s">
        <v>927</v>
      </c>
      <c r="G287" s="72">
        <v>3.18174957E8</v>
      </c>
    </row>
    <row r="288">
      <c r="A288" s="73" t="s">
        <v>926</v>
      </c>
      <c r="B288" s="72">
        <v>7.9881151E7</v>
      </c>
      <c r="C288" s="74">
        <v>46214.9603256713</v>
      </c>
      <c r="D288" s="2" t="s">
        <v>628</v>
      </c>
      <c r="F288" s="2" t="s">
        <v>928</v>
      </c>
      <c r="G288" s="72">
        <v>3.19134572E8</v>
      </c>
    </row>
    <row r="289">
      <c r="A289" s="73" t="s">
        <v>929</v>
      </c>
      <c r="B289" s="72">
        <v>8.1836219E7</v>
      </c>
      <c r="C289" s="74">
        <v>46225.752856527775</v>
      </c>
      <c r="D289" s="2" t="s">
        <v>628</v>
      </c>
      <c r="F289" s="2" t="s">
        <v>930</v>
      </c>
      <c r="G289" s="72">
        <v>3.26436256E8</v>
      </c>
    </row>
    <row r="290">
      <c r="A290" s="73" t="s">
        <v>929</v>
      </c>
      <c r="B290" s="72">
        <v>8.1836219E7</v>
      </c>
      <c r="C290" s="74">
        <v>46225.76355046296</v>
      </c>
      <c r="D290" s="2" t="s">
        <v>705</v>
      </c>
      <c r="F290" s="2" t="s">
        <v>931</v>
      </c>
      <c r="G290" s="72">
        <v>3.26451489E8</v>
      </c>
    </row>
    <row r="291">
      <c r="A291" s="73" t="s">
        <v>932</v>
      </c>
      <c r="B291" s="72">
        <v>8.2814222E7</v>
      </c>
      <c r="C291" s="74">
        <v>46231.54241480324</v>
      </c>
      <c r="D291" s="2" t="s">
        <v>628</v>
      </c>
      <c r="F291" s="2" t="s">
        <v>630</v>
      </c>
      <c r="G291" s="72">
        <v>3.30506623E8</v>
      </c>
    </row>
    <row r="292">
      <c r="A292" s="73" t="s">
        <v>932</v>
      </c>
      <c r="B292" s="72">
        <v>8.2814222E7</v>
      </c>
      <c r="C292" s="74">
        <v>46233.959298182876</v>
      </c>
      <c r="D292" s="2" t="s">
        <v>628</v>
      </c>
      <c r="F292" s="2" t="s">
        <v>933</v>
      </c>
      <c r="G292" s="72">
        <v>3.32300446E8</v>
      </c>
    </row>
    <row r="293">
      <c r="A293" s="73" t="s">
        <v>932</v>
      </c>
      <c r="C293" s="74">
        <v>46229.75154114583</v>
      </c>
      <c r="D293" s="2" t="s">
        <v>628</v>
      </c>
      <c r="F293" s="2" t="s">
        <v>934</v>
      </c>
      <c r="G293" s="72">
        <v>3.29419E8</v>
      </c>
    </row>
    <row r="294">
      <c r="A294" s="73" t="s">
        <v>935</v>
      </c>
      <c r="B294" s="72">
        <v>8.219506E7</v>
      </c>
      <c r="C294" s="74">
        <v>46228.961377893516</v>
      </c>
      <c r="D294" s="2" t="s">
        <v>628</v>
      </c>
      <c r="F294" s="2" t="s">
        <v>936</v>
      </c>
      <c r="G294" s="72">
        <v>3.28868246E8</v>
      </c>
    </row>
    <row r="295">
      <c r="A295" s="73" t="s">
        <v>935</v>
      </c>
      <c r="B295" s="72">
        <v>8.219506E7</v>
      </c>
      <c r="C295" s="74">
        <v>46227.75331946759</v>
      </c>
      <c r="D295" s="2" t="s">
        <v>628</v>
      </c>
      <c r="F295" s="2" t="s">
        <v>937</v>
      </c>
      <c r="G295" s="72">
        <v>3.27879725E8</v>
      </c>
    </row>
    <row r="296">
      <c r="A296" s="73" t="s">
        <v>938</v>
      </c>
      <c r="B296" s="72">
        <v>7.9702209E7</v>
      </c>
      <c r="C296" s="74">
        <v>46221.45727305555</v>
      </c>
      <c r="D296" s="2" t="s">
        <v>653</v>
      </c>
      <c r="F296" s="2" t="s">
        <v>939</v>
      </c>
      <c r="G296" s="72">
        <v>3.23409818E8</v>
      </c>
    </row>
    <row r="297">
      <c r="A297" s="73" t="s">
        <v>938</v>
      </c>
      <c r="B297" s="72">
        <v>7.9702209E7</v>
      </c>
      <c r="C297" s="74">
        <v>46221.45724203704</v>
      </c>
      <c r="D297" s="2" t="s">
        <v>705</v>
      </c>
      <c r="F297" s="2" t="s">
        <v>940</v>
      </c>
      <c r="G297" s="72">
        <v>3.23409805E8</v>
      </c>
    </row>
    <row r="298">
      <c r="A298" s="73" t="s">
        <v>938</v>
      </c>
      <c r="B298" s="72">
        <v>7.9702209E7</v>
      </c>
      <c r="C298" s="74">
        <v>46214.54512871528</v>
      </c>
      <c r="D298" s="2" t="s">
        <v>628</v>
      </c>
      <c r="F298" s="2" t="s">
        <v>630</v>
      </c>
      <c r="G298" s="72">
        <v>3.18722845E8</v>
      </c>
    </row>
    <row r="299">
      <c r="A299" s="73" t="s">
        <v>938</v>
      </c>
      <c r="B299" s="72">
        <v>7.9702209E7</v>
      </c>
      <c r="C299" s="74">
        <v>46221.45726858796</v>
      </c>
      <c r="D299" s="2" t="s">
        <v>653</v>
      </c>
      <c r="F299" s="2" t="s">
        <v>941</v>
      </c>
      <c r="G299" s="72">
        <v>3.23409817E8</v>
      </c>
    </row>
    <row r="300">
      <c r="A300" s="73" t="s">
        <v>938</v>
      </c>
      <c r="B300" s="72">
        <v>7.9702209E7</v>
      </c>
      <c r="C300" s="74">
        <v>46221.45722972222</v>
      </c>
      <c r="D300" s="2" t="s">
        <v>653</v>
      </c>
      <c r="F300" s="2" t="s">
        <v>942</v>
      </c>
      <c r="G300" s="72">
        <v>3.23409803E8</v>
      </c>
    </row>
    <row r="301">
      <c r="A301" s="73" t="s">
        <v>938</v>
      </c>
      <c r="B301" s="72">
        <v>7.9702209E7</v>
      </c>
      <c r="C301" s="74">
        <v>46212.754671030096</v>
      </c>
      <c r="D301" s="2" t="s">
        <v>628</v>
      </c>
      <c r="F301" s="2" t="s">
        <v>943</v>
      </c>
      <c r="G301" s="72">
        <v>3.17446501E8</v>
      </c>
    </row>
    <row r="302">
      <c r="A302" s="73" t="s">
        <v>938</v>
      </c>
      <c r="B302" s="72">
        <v>7.9702209E7</v>
      </c>
      <c r="C302" s="74">
        <v>46221.457246122685</v>
      </c>
      <c r="D302" s="2" t="s">
        <v>653</v>
      </c>
      <c r="F302" s="2" t="s">
        <v>944</v>
      </c>
      <c r="G302" s="72">
        <v>3.23409809E8</v>
      </c>
    </row>
    <row r="303">
      <c r="A303" s="73" t="s">
        <v>938</v>
      </c>
      <c r="B303" s="72">
        <v>7.9702209E7</v>
      </c>
      <c r="C303" s="74">
        <v>46221.457254884255</v>
      </c>
      <c r="D303" s="2" t="s">
        <v>653</v>
      </c>
      <c r="F303" s="2" t="s">
        <v>945</v>
      </c>
      <c r="G303" s="72">
        <v>3.23409812E8</v>
      </c>
    </row>
    <row r="304">
      <c r="A304" s="73" t="s">
        <v>938</v>
      </c>
      <c r="B304" s="72">
        <v>7.9702209E7</v>
      </c>
      <c r="C304" s="74">
        <v>46221.45726405093</v>
      </c>
      <c r="D304" s="2" t="s">
        <v>653</v>
      </c>
      <c r="F304" s="2" t="s">
        <v>946</v>
      </c>
      <c r="G304" s="72">
        <v>3.23409814E8</v>
      </c>
    </row>
    <row r="305">
      <c r="A305" s="73" t="s">
        <v>938</v>
      </c>
      <c r="B305" s="72">
        <v>7.9702209E7</v>
      </c>
      <c r="C305" s="74">
        <v>46214.96191054398</v>
      </c>
      <c r="D305" s="2" t="s">
        <v>628</v>
      </c>
      <c r="F305" s="2" t="s">
        <v>947</v>
      </c>
      <c r="G305" s="72">
        <v>3.19142418E8</v>
      </c>
    </row>
    <row r="306">
      <c r="A306" s="73" t="s">
        <v>938</v>
      </c>
      <c r="B306" s="72">
        <v>7.9702209E7</v>
      </c>
      <c r="C306" s="74">
        <v>46221.45722542824</v>
      </c>
      <c r="D306" s="2" t="s">
        <v>705</v>
      </c>
      <c r="F306" s="2" t="s">
        <v>948</v>
      </c>
      <c r="G306" s="72">
        <v>3.23409802E8</v>
      </c>
    </row>
    <row r="307">
      <c r="A307" s="73" t="s">
        <v>938</v>
      </c>
      <c r="B307" s="72">
        <v>7.9702209E7</v>
      </c>
      <c r="C307" s="74">
        <v>46221.45721278935</v>
      </c>
      <c r="D307" s="2" t="s">
        <v>705</v>
      </c>
      <c r="F307" s="2" t="s">
        <v>951</v>
      </c>
      <c r="G307" s="72">
        <v>3.234098E8</v>
      </c>
    </row>
    <row r="308">
      <c r="A308" s="73" t="s">
        <v>938</v>
      </c>
      <c r="B308" s="72">
        <v>7.9702209E7</v>
      </c>
      <c r="C308" s="74">
        <v>46221.45725953704</v>
      </c>
      <c r="D308" s="2" t="s">
        <v>653</v>
      </c>
      <c r="F308" s="2" t="s">
        <v>952</v>
      </c>
      <c r="G308" s="72">
        <v>3.23409813E8</v>
      </c>
    </row>
    <row r="309">
      <c r="A309" s="73" t="s">
        <v>938</v>
      </c>
      <c r="B309" s="72">
        <v>7.9702209E7</v>
      </c>
      <c r="C309" s="74">
        <v>46221.45725013889</v>
      </c>
      <c r="D309" s="2" t="s">
        <v>653</v>
      </c>
      <c r="F309" s="2" t="s">
        <v>945</v>
      </c>
      <c r="G309" s="72">
        <v>3.2340981E8</v>
      </c>
    </row>
    <row r="310">
      <c r="A310" s="73" t="s">
        <v>953</v>
      </c>
      <c r="B310" s="72">
        <v>8.0672876E7</v>
      </c>
      <c r="C310" s="74">
        <v>46220.55247569444</v>
      </c>
      <c r="D310" s="2" t="s">
        <v>705</v>
      </c>
      <c r="F310" s="2" t="s">
        <v>954</v>
      </c>
      <c r="G310" s="72">
        <v>3.22799796E8</v>
      </c>
    </row>
    <row r="311">
      <c r="A311" s="73" t="s">
        <v>953</v>
      </c>
      <c r="B311" s="72">
        <v>8.0672876E7</v>
      </c>
      <c r="C311" s="74">
        <v>46220.58348927084</v>
      </c>
      <c r="D311" s="2" t="s">
        <v>667</v>
      </c>
      <c r="E311" s="2" t="s">
        <v>703</v>
      </c>
      <c r="F311" s="2" t="s">
        <v>955</v>
      </c>
      <c r="G311" s="72">
        <v>3.22814739E8</v>
      </c>
    </row>
    <row r="312">
      <c r="A312" s="73" t="s">
        <v>953</v>
      </c>
      <c r="B312" s="72">
        <v>8.0672876E7</v>
      </c>
      <c r="C312" s="74">
        <v>46220.9605119676</v>
      </c>
      <c r="D312" s="2" t="s">
        <v>628</v>
      </c>
      <c r="F312" s="2" t="s">
        <v>956</v>
      </c>
      <c r="G312" s="72">
        <v>3.23245114E8</v>
      </c>
    </row>
    <row r="313">
      <c r="A313" s="73" t="s">
        <v>953</v>
      </c>
      <c r="B313" s="72">
        <v>8.0672876E7</v>
      </c>
      <c r="C313" s="74">
        <v>46220.54452280093</v>
      </c>
      <c r="D313" s="2" t="s">
        <v>628</v>
      </c>
      <c r="F313" s="2" t="s">
        <v>630</v>
      </c>
      <c r="G313" s="72">
        <v>3.22768776E8</v>
      </c>
    </row>
    <row r="314">
      <c r="A314" s="73" t="s">
        <v>953</v>
      </c>
      <c r="B314" s="72">
        <v>8.0672876E7</v>
      </c>
      <c r="C314" s="74">
        <v>46218.79356614583</v>
      </c>
      <c r="D314" s="2" t="s">
        <v>653</v>
      </c>
      <c r="F314" s="2" t="s">
        <v>957</v>
      </c>
      <c r="G314" s="72">
        <v>3.21611666E8</v>
      </c>
    </row>
    <row r="315">
      <c r="A315" s="73" t="s">
        <v>953</v>
      </c>
      <c r="B315" s="72">
        <v>8.0672876E7</v>
      </c>
      <c r="C315" s="74">
        <v>46218.77256140046</v>
      </c>
      <c r="D315" s="2" t="s">
        <v>653</v>
      </c>
      <c r="F315" s="2" t="s">
        <v>958</v>
      </c>
      <c r="G315" s="72">
        <v>3.21593012E8</v>
      </c>
    </row>
    <row r="316">
      <c r="A316" s="73" t="s">
        <v>953</v>
      </c>
      <c r="B316" s="72">
        <v>8.0672876E7</v>
      </c>
      <c r="C316" s="74">
        <v>46218.75217841435</v>
      </c>
      <c r="D316" s="2" t="s">
        <v>628</v>
      </c>
      <c r="F316" s="2" t="s">
        <v>959</v>
      </c>
      <c r="G316" s="72">
        <v>3.21568434E8</v>
      </c>
    </row>
    <row r="317">
      <c r="A317" s="73" t="s">
        <v>953</v>
      </c>
      <c r="B317" s="72">
        <v>8.0672876E7</v>
      </c>
      <c r="C317" s="74">
        <v>46218.772557488424</v>
      </c>
      <c r="D317" s="2" t="s">
        <v>705</v>
      </c>
      <c r="F317" s="2" t="s">
        <v>960</v>
      </c>
      <c r="G317" s="72">
        <v>3.2159301E8</v>
      </c>
    </row>
    <row r="318">
      <c r="A318" s="73" t="s">
        <v>953</v>
      </c>
      <c r="B318" s="72">
        <v>8.0672876E7</v>
      </c>
      <c r="C318" s="74">
        <v>46220.98381642361</v>
      </c>
      <c r="D318" s="2" t="s">
        <v>667</v>
      </c>
      <c r="E318" s="2" t="s">
        <v>703</v>
      </c>
      <c r="F318" s="2" t="s">
        <v>961</v>
      </c>
      <c r="G318" s="72">
        <v>3.23267658E8</v>
      </c>
    </row>
    <row r="319">
      <c r="A319" s="73" t="s">
        <v>953</v>
      </c>
      <c r="B319" s="72">
        <v>8.0672876E7</v>
      </c>
      <c r="C319" s="74">
        <v>46220.96994978009</v>
      </c>
      <c r="D319" s="2" t="s">
        <v>705</v>
      </c>
      <c r="F319" s="2" t="s">
        <v>962</v>
      </c>
      <c r="G319" s="72">
        <v>3.23257434E8</v>
      </c>
    </row>
    <row r="320">
      <c r="A320" s="73" t="s">
        <v>953</v>
      </c>
      <c r="B320" s="72">
        <v>8.0672876E7</v>
      </c>
      <c r="C320" s="74">
        <v>46218.772565023144</v>
      </c>
      <c r="D320" s="2" t="s">
        <v>653</v>
      </c>
      <c r="F320" s="2" t="s">
        <v>963</v>
      </c>
      <c r="G320" s="72">
        <v>3.21593014E8</v>
      </c>
    </row>
    <row r="321">
      <c r="A321" s="73" t="s">
        <v>964</v>
      </c>
      <c r="B321" s="72">
        <v>8.2694349E7</v>
      </c>
      <c r="C321" s="74">
        <v>46231.95918609954</v>
      </c>
      <c r="D321" s="2" t="s">
        <v>628</v>
      </c>
      <c r="F321" s="2" t="s">
        <v>965</v>
      </c>
      <c r="G321" s="72">
        <v>3.30912758E8</v>
      </c>
    </row>
    <row r="322">
      <c r="A322" s="73" t="s">
        <v>964</v>
      </c>
      <c r="B322" s="72">
        <v>8.2694349E7</v>
      </c>
      <c r="C322" s="74">
        <v>46230.75149342592</v>
      </c>
      <c r="D322" s="2" t="s">
        <v>628</v>
      </c>
      <c r="F322" s="2" t="s">
        <v>966</v>
      </c>
      <c r="G322" s="72">
        <v>3.30058274E8</v>
      </c>
    </row>
    <row r="323">
      <c r="A323" s="73" t="s">
        <v>967</v>
      </c>
      <c r="B323" s="72">
        <v>8.0519367E7</v>
      </c>
      <c r="C323" s="74">
        <v>46219.961524259255</v>
      </c>
      <c r="D323" s="2" t="s">
        <v>628</v>
      </c>
      <c r="F323" s="2" t="s">
        <v>968</v>
      </c>
      <c r="G323" s="72">
        <v>3.22480659E8</v>
      </c>
    </row>
    <row r="324">
      <c r="A324" s="73" t="s">
        <v>967</v>
      </c>
      <c r="B324" s="72">
        <v>8.0519367E7</v>
      </c>
      <c r="C324" s="74">
        <v>46219.54534697917</v>
      </c>
      <c r="D324" s="2" t="s">
        <v>628</v>
      </c>
      <c r="F324" s="2" t="s">
        <v>630</v>
      </c>
      <c r="G324" s="72">
        <v>3.22057584E8</v>
      </c>
    </row>
    <row r="325">
      <c r="A325" s="73" t="s">
        <v>967</v>
      </c>
      <c r="B325" s="72">
        <v>8.0519367E7</v>
      </c>
      <c r="C325" s="74">
        <v>46217.75362282408</v>
      </c>
      <c r="D325" s="2" t="s">
        <v>628</v>
      </c>
      <c r="F325" s="2" t="s">
        <v>969</v>
      </c>
      <c r="G325" s="72">
        <v>3.20930805E8</v>
      </c>
    </row>
    <row r="326">
      <c r="A326" s="73" t="s">
        <v>970</v>
      </c>
      <c r="B326" s="72">
        <v>8.0063346E7</v>
      </c>
      <c r="C326" s="74">
        <v>46216.54239248842</v>
      </c>
      <c r="D326" s="2" t="s">
        <v>628</v>
      </c>
      <c r="F326" s="2" t="s">
        <v>630</v>
      </c>
      <c r="G326" s="72">
        <v>3.20085689E8</v>
      </c>
    </row>
    <row r="327">
      <c r="A327" s="73" t="s">
        <v>970</v>
      </c>
      <c r="B327" s="72">
        <v>8.0063346E7</v>
      </c>
      <c r="C327" s="74">
        <v>46214.75123603009</v>
      </c>
      <c r="D327" s="2" t="s">
        <v>628</v>
      </c>
      <c r="F327" s="2" t="s">
        <v>971</v>
      </c>
      <c r="G327" s="72">
        <v>3.18910302E8</v>
      </c>
    </row>
    <row r="328">
      <c r="A328" s="73" t="s">
        <v>970</v>
      </c>
      <c r="B328" s="72">
        <v>8.0063346E7</v>
      </c>
      <c r="C328" s="74">
        <v>46217.959115289355</v>
      </c>
      <c r="D328" s="2" t="s">
        <v>628</v>
      </c>
      <c r="F328" s="2" t="s">
        <v>972</v>
      </c>
      <c r="G328" s="72">
        <v>3.21110168E8</v>
      </c>
    </row>
    <row r="329">
      <c r="A329" s="73" t="s">
        <v>973</v>
      </c>
      <c r="B329" s="72">
        <v>8.0845097E7</v>
      </c>
      <c r="C329" s="74">
        <v>46221.54362515046</v>
      </c>
      <c r="D329" s="2" t="s">
        <v>628</v>
      </c>
      <c r="F329" s="2" t="s">
        <v>630</v>
      </c>
      <c r="G329" s="72">
        <v>3.23539337E8</v>
      </c>
    </row>
    <row r="330">
      <c r="A330" s="73" t="s">
        <v>973</v>
      </c>
      <c r="B330" s="72">
        <v>8.0845097E7</v>
      </c>
      <c r="C330" s="74">
        <v>46219.80664063657</v>
      </c>
      <c r="D330" s="2" t="s">
        <v>653</v>
      </c>
      <c r="F330" s="2" t="s">
        <v>974</v>
      </c>
      <c r="G330" s="72">
        <v>3.22327897E8</v>
      </c>
    </row>
    <row r="331">
      <c r="A331" s="73" t="s">
        <v>973</v>
      </c>
      <c r="B331" s="72">
        <v>8.0845097E7</v>
      </c>
      <c r="C331" s="74">
        <v>46221.960405694444</v>
      </c>
      <c r="D331" s="2" t="s">
        <v>628</v>
      </c>
      <c r="F331" s="2" t="s">
        <v>892</v>
      </c>
      <c r="G331" s="72">
        <v>3.23995053E8</v>
      </c>
    </row>
    <row r="332">
      <c r="A332" s="73" t="s">
        <v>973</v>
      </c>
      <c r="B332" s="72">
        <v>8.0845097E7</v>
      </c>
      <c r="C332" s="74">
        <v>46219.8066325463</v>
      </c>
      <c r="D332" s="2" t="s">
        <v>705</v>
      </c>
      <c r="F332" s="2" t="s">
        <v>975</v>
      </c>
      <c r="G332" s="72">
        <v>3.22327888E8</v>
      </c>
    </row>
    <row r="333">
      <c r="A333" s="73" t="s">
        <v>973</v>
      </c>
      <c r="B333" s="72">
        <v>8.0845097E7</v>
      </c>
      <c r="C333" s="74">
        <v>46219.753691481485</v>
      </c>
      <c r="D333" s="2" t="s">
        <v>628</v>
      </c>
      <c r="F333" s="2" t="s">
        <v>893</v>
      </c>
      <c r="G333" s="72">
        <v>3.22252687E8</v>
      </c>
    </row>
    <row r="334">
      <c r="A334" s="73" t="s">
        <v>973</v>
      </c>
      <c r="B334" s="72">
        <v>8.0845097E7</v>
      </c>
      <c r="C334" s="74">
        <v>46219.80663652778</v>
      </c>
      <c r="D334" s="2" t="s">
        <v>653</v>
      </c>
      <c r="F334" s="2" t="s">
        <v>976</v>
      </c>
      <c r="G334" s="72">
        <v>3.22327893E8</v>
      </c>
    </row>
    <row r="335">
      <c r="A335" s="73" t="s">
        <v>977</v>
      </c>
      <c r="B335" s="72">
        <v>8.0518459E7</v>
      </c>
      <c r="C335" s="74">
        <v>46217.7533275</v>
      </c>
      <c r="D335" s="2" t="s">
        <v>628</v>
      </c>
      <c r="F335" s="2" t="s">
        <v>978</v>
      </c>
      <c r="G335" s="72">
        <v>3.20928541E8</v>
      </c>
    </row>
    <row r="336">
      <c r="A336" s="73" t="s">
        <v>977</v>
      </c>
      <c r="B336" s="72">
        <v>8.0518459E7</v>
      </c>
      <c r="C336" s="74">
        <v>46218.96138658565</v>
      </c>
      <c r="D336" s="2" t="s">
        <v>628</v>
      </c>
      <c r="F336" s="2" t="s">
        <v>979</v>
      </c>
      <c r="G336" s="72">
        <v>3.21773389E8</v>
      </c>
    </row>
    <row r="337">
      <c r="A337" s="73" t="s">
        <v>980</v>
      </c>
      <c r="B337" s="72">
        <v>7.9354538E7</v>
      </c>
      <c r="C337" s="74">
        <v>46212.96082636574</v>
      </c>
      <c r="D337" s="2" t="s">
        <v>628</v>
      </c>
      <c r="F337" s="2" t="s">
        <v>981</v>
      </c>
      <c r="G337" s="72">
        <v>3.17660944E8</v>
      </c>
    </row>
    <row r="338">
      <c r="A338" s="73" t="s">
        <v>980</v>
      </c>
      <c r="B338" s="72">
        <v>7.9354538E7</v>
      </c>
      <c r="C338" s="74">
        <v>46210.54449560185</v>
      </c>
      <c r="D338" s="2" t="s">
        <v>628</v>
      </c>
      <c r="F338" s="2" t="s">
        <v>630</v>
      </c>
      <c r="G338" s="72">
        <v>3.1602373E8</v>
      </c>
    </row>
    <row r="339">
      <c r="A339" s="73" t="s">
        <v>980</v>
      </c>
      <c r="C339" s="74">
        <v>46208.75225737269</v>
      </c>
      <c r="D339" s="2" t="s">
        <v>628</v>
      </c>
      <c r="F339" s="2" t="s">
        <v>982</v>
      </c>
      <c r="G339" s="72">
        <v>3.14993751E8</v>
      </c>
    </row>
    <row r="340">
      <c r="A340" s="73" t="s">
        <v>983</v>
      </c>
      <c r="B340" s="72">
        <v>8.2188412E7</v>
      </c>
      <c r="C340" s="74">
        <v>46230.9613781713</v>
      </c>
      <c r="D340" s="2" t="s">
        <v>628</v>
      </c>
      <c r="F340" s="2" t="s">
        <v>759</v>
      </c>
      <c r="G340" s="72">
        <v>3.30272268E8</v>
      </c>
    </row>
    <row r="341">
      <c r="A341" s="73" t="s">
        <v>983</v>
      </c>
      <c r="B341" s="72">
        <v>8.2188412E7</v>
      </c>
      <c r="C341" s="74">
        <v>46229.95976704861</v>
      </c>
      <c r="D341" s="2" t="s">
        <v>628</v>
      </c>
      <c r="F341" s="2" t="s">
        <v>759</v>
      </c>
      <c r="G341" s="72">
        <v>3.29608886E8</v>
      </c>
    </row>
    <row r="342">
      <c r="A342" s="73" t="s">
        <v>983</v>
      </c>
      <c r="B342" s="72">
        <v>8.2188412E7</v>
      </c>
      <c r="C342" s="74">
        <v>46227.99010273148</v>
      </c>
      <c r="D342" s="2" t="s">
        <v>667</v>
      </c>
      <c r="E342" s="2" t="s">
        <v>703</v>
      </c>
      <c r="F342" s="2" t="s">
        <v>984</v>
      </c>
      <c r="G342" s="72">
        <v>3.28146029E8</v>
      </c>
    </row>
    <row r="343">
      <c r="A343" s="73" t="s">
        <v>983</v>
      </c>
      <c r="B343" s="72">
        <v>8.2188412E7</v>
      </c>
      <c r="C343" s="74">
        <v>46227.84617314815</v>
      </c>
      <c r="D343" s="2" t="s">
        <v>705</v>
      </c>
      <c r="F343" s="2" t="s">
        <v>985</v>
      </c>
      <c r="G343" s="72">
        <v>3.27994119E8</v>
      </c>
    </row>
    <row r="344">
      <c r="A344" s="73" t="s">
        <v>983</v>
      </c>
      <c r="B344" s="72">
        <v>8.2188412E7</v>
      </c>
      <c r="C344" s="74">
        <v>46229.544192800924</v>
      </c>
      <c r="D344" s="2" t="s">
        <v>628</v>
      </c>
      <c r="F344" s="2" t="s">
        <v>630</v>
      </c>
      <c r="G344" s="72">
        <v>3.29193753E8</v>
      </c>
    </row>
    <row r="345">
      <c r="A345" s="73" t="s">
        <v>983</v>
      </c>
      <c r="B345" s="72">
        <v>8.2188412E7</v>
      </c>
      <c r="C345" s="74">
        <v>46227.751648136575</v>
      </c>
      <c r="D345" s="2" t="s">
        <v>628</v>
      </c>
      <c r="F345" s="2" t="s">
        <v>757</v>
      </c>
      <c r="G345" s="72">
        <v>3.27865781E8</v>
      </c>
    </row>
    <row r="346">
      <c r="A346" s="73" t="s">
        <v>983</v>
      </c>
      <c r="B346" s="72">
        <v>8.2188412E7</v>
      </c>
      <c r="C346" s="74">
        <v>46229.753046666665</v>
      </c>
      <c r="D346" s="2" t="s">
        <v>628</v>
      </c>
      <c r="F346" s="2" t="s">
        <v>757</v>
      </c>
      <c r="G346" s="72">
        <v>3.29429933E8</v>
      </c>
    </row>
    <row r="347">
      <c r="A347" s="73" t="s">
        <v>986</v>
      </c>
      <c r="B347" s="72">
        <v>8.3020976E7</v>
      </c>
      <c r="C347" s="74">
        <v>46232.75233158565</v>
      </c>
      <c r="D347" s="2" t="s">
        <v>628</v>
      </c>
      <c r="F347" s="2" t="s">
        <v>987</v>
      </c>
      <c r="G347" s="72">
        <v>3.31380802E8</v>
      </c>
    </row>
    <row r="348">
      <c r="A348" s="73" t="s">
        <v>986</v>
      </c>
      <c r="B348" s="72">
        <v>8.3020976E7</v>
      </c>
      <c r="C348" s="74">
        <v>46233.9599184838</v>
      </c>
      <c r="D348" s="2" t="s">
        <v>628</v>
      </c>
      <c r="F348" s="2" t="s">
        <v>988</v>
      </c>
      <c r="G348" s="72">
        <v>3.32302971E8</v>
      </c>
    </row>
    <row r="349">
      <c r="A349" s="73" t="s">
        <v>989</v>
      </c>
      <c r="B349" s="72">
        <v>8.2895815E7</v>
      </c>
      <c r="C349" s="74">
        <v>46231.87532842593</v>
      </c>
      <c r="D349" s="2" t="s">
        <v>667</v>
      </c>
      <c r="E349" s="2" t="s">
        <v>886</v>
      </c>
      <c r="F349" s="2" t="s">
        <v>990</v>
      </c>
      <c r="G349" s="72">
        <v>3.30836605E8</v>
      </c>
    </row>
    <row r="350">
      <c r="A350" s="73" t="s">
        <v>989</v>
      </c>
      <c r="B350" s="72">
        <v>8.2895815E7</v>
      </c>
      <c r="C350" s="74">
        <v>46231.874867997685</v>
      </c>
      <c r="D350" s="2" t="s">
        <v>705</v>
      </c>
      <c r="F350" s="2" t="s">
        <v>991</v>
      </c>
      <c r="G350" s="72">
        <v>3.30836156E8</v>
      </c>
    </row>
    <row r="351">
      <c r="A351" s="73" t="s">
        <v>989</v>
      </c>
      <c r="B351" s="72">
        <v>8.2895815E7</v>
      </c>
      <c r="C351" s="74">
        <v>46231.87288997685</v>
      </c>
      <c r="D351" s="2" t="s">
        <v>667</v>
      </c>
      <c r="E351" s="2" t="s">
        <v>886</v>
      </c>
      <c r="F351" s="2" t="s">
        <v>992</v>
      </c>
      <c r="G351" s="72">
        <v>3.30834756E8</v>
      </c>
    </row>
    <row r="352">
      <c r="A352" s="73" t="s">
        <v>993</v>
      </c>
      <c r="B352" s="72">
        <v>8.2547698E7</v>
      </c>
      <c r="C352" s="74">
        <v>46231.54436828704</v>
      </c>
      <c r="D352" s="2" t="s">
        <v>628</v>
      </c>
      <c r="F352" s="2" t="s">
        <v>630</v>
      </c>
      <c r="G352" s="72">
        <v>3.30528671E8</v>
      </c>
    </row>
    <row r="353">
      <c r="A353" s="73" t="s">
        <v>993</v>
      </c>
      <c r="B353" s="72">
        <v>8.2547698E7</v>
      </c>
      <c r="C353" s="74">
        <v>46231.9602145949</v>
      </c>
      <c r="D353" s="2" t="s">
        <v>628</v>
      </c>
      <c r="F353" s="2" t="s">
        <v>994</v>
      </c>
      <c r="G353" s="72">
        <v>3.3091673E8</v>
      </c>
    </row>
    <row r="354">
      <c r="A354" s="73" t="s">
        <v>993</v>
      </c>
      <c r="B354" s="72">
        <v>8.2547698E7</v>
      </c>
      <c r="C354" s="74">
        <v>46229.75206010416</v>
      </c>
      <c r="D354" s="2" t="s">
        <v>628</v>
      </c>
      <c r="F354" s="2" t="s">
        <v>995</v>
      </c>
      <c r="G354" s="72">
        <v>3.29423099E8</v>
      </c>
    </row>
    <row r="355">
      <c r="A355" s="73" t="s">
        <v>996</v>
      </c>
      <c r="C355" s="74">
        <v>46226.75180083333</v>
      </c>
      <c r="D355" s="2" t="s">
        <v>628</v>
      </c>
      <c r="F355" s="2" t="s">
        <v>997</v>
      </c>
      <c r="G355" s="72">
        <v>3.27102122E8</v>
      </c>
    </row>
    <row r="356">
      <c r="A356" s="73" t="s">
        <v>996</v>
      </c>
      <c r="B356" s="72">
        <v>8.2271188E7</v>
      </c>
      <c r="C356" s="74">
        <v>46227.95967630787</v>
      </c>
      <c r="D356" s="2" t="s">
        <v>628</v>
      </c>
      <c r="F356" s="2" t="s">
        <v>998</v>
      </c>
      <c r="G356" s="72">
        <v>3.28114998E8</v>
      </c>
    </row>
    <row r="357">
      <c r="A357" s="73" t="s">
        <v>999</v>
      </c>
      <c r="B357" s="72">
        <v>8.1527958E7</v>
      </c>
      <c r="C357" s="74">
        <v>46223.75409929398</v>
      </c>
      <c r="D357" s="2" t="s">
        <v>628</v>
      </c>
      <c r="F357" s="2" t="s">
        <v>647</v>
      </c>
      <c r="G357" s="72">
        <v>3.25177304E8</v>
      </c>
    </row>
    <row r="358">
      <c r="A358" s="73" t="s">
        <v>999</v>
      </c>
      <c r="B358" s="72">
        <v>8.1527958E7</v>
      </c>
      <c r="C358" s="74">
        <v>46225.96163243055</v>
      </c>
      <c r="D358" s="2" t="s">
        <v>628</v>
      </c>
      <c r="F358" s="2" t="s">
        <v>648</v>
      </c>
      <c r="G358" s="72">
        <v>3.26635193E8</v>
      </c>
    </row>
    <row r="359">
      <c r="A359" s="73" t="s">
        <v>999</v>
      </c>
      <c r="B359" s="72">
        <v>8.1527958E7</v>
      </c>
      <c r="C359" s="74">
        <v>46225.54552598379</v>
      </c>
      <c r="D359" s="2" t="s">
        <v>628</v>
      </c>
      <c r="F359" s="2" t="s">
        <v>630</v>
      </c>
      <c r="G359" s="72">
        <v>3.26241477E8</v>
      </c>
    </row>
    <row r="360">
      <c r="A360" s="73" t="s">
        <v>1000</v>
      </c>
      <c r="B360" s="72">
        <v>8.2000611E7</v>
      </c>
      <c r="C360" s="74">
        <v>46228.54398148148</v>
      </c>
      <c r="D360" s="2" t="s">
        <v>628</v>
      </c>
      <c r="F360" s="2" t="s">
        <v>630</v>
      </c>
      <c r="G360" s="72">
        <v>3.28417896E8</v>
      </c>
    </row>
    <row r="361">
      <c r="A361" s="73" t="s">
        <v>1000</v>
      </c>
      <c r="B361" s="72">
        <v>8.2000611E7</v>
      </c>
      <c r="C361" s="74">
        <v>46226.75235359954</v>
      </c>
      <c r="D361" s="2" t="s">
        <v>628</v>
      </c>
      <c r="F361" s="2" t="s">
        <v>866</v>
      </c>
      <c r="G361" s="72">
        <v>3.27106684E8</v>
      </c>
    </row>
    <row r="362">
      <c r="A362" s="73" t="s">
        <v>1000</v>
      </c>
      <c r="B362" s="72">
        <v>8.2000611E7</v>
      </c>
      <c r="C362" s="74">
        <v>46229.96061233796</v>
      </c>
      <c r="D362" s="2" t="s">
        <v>628</v>
      </c>
      <c r="F362" s="2" t="s">
        <v>867</v>
      </c>
      <c r="G362" s="72">
        <v>3.29611857E8</v>
      </c>
    </row>
    <row r="363">
      <c r="A363" s="73" t="s">
        <v>1001</v>
      </c>
      <c r="B363" s="72">
        <v>8.3025531E7</v>
      </c>
      <c r="C363" s="74">
        <v>46233.666461817134</v>
      </c>
      <c r="D363" s="2" t="s">
        <v>653</v>
      </c>
      <c r="F363" s="2" t="s">
        <v>1002</v>
      </c>
      <c r="G363" s="72">
        <v>3.31988401E8</v>
      </c>
    </row>
    <row r="364">
      <c r="A364" s="73" t="s">
        <v>1001</v>
      </c>
      <c r="B364" s="72">
        <v>8.3025531E7</v>
      </c>
      <c r="C364" s="74">
        <v>46233.666458402775</v>
      </c>
      <c r="D364" s="2" t="s">
        <v>653</v>
      </c>
      <c r="F364" s="2" t="s">
        <v>1004</v>
      </c>
      <c r="G364" s="72">
        <v>3.319884E8</v>
      </c>
    </row>
    <row r="365">
      <c r="A365" s="73" t="s">
        <v>1001</v>
      </c>
      <c r="B365" s="72">
        <v>8.3025531E7</v>
      </c>
      <c r="C365" s="74">
        <v>46234.33004533565</v>
      </c>
      <c r="D365" s="2" t="s">
        <v>653</v>
      </c>
      <c r="F365" s="2" t="s">
        <v>1005</v>
      </c>
      <c r="G365" s="72">
        <v>3.32447282E8</v>
      </c>
    </row>
    <row r="366">
      <c r="A366" s="73" t="s">
        <v>1001</v>
      </c>
      <c r="B366" s="72">
        <v>8.3025531E7</v>
      </c>
      <c r="C366" s="74">
        <v>46233.66646501157</v>
      </c>
      <c r="D366" s="2" t="s">
        <v>653</v>
      </c>
      <c r="F366" s="2" t="s">
        <v>1002</v>
      </c>
      <c r="G366" s="72">
        <v>3.31988405E8</v>
      </c>
    </row>
    <row r="367">
      <c r="A367" s="73" t="s">
        <v>1001</v>
      </c>
      <c r="B367" s="72">
        <v>8.3025531E7</v>
      </c>
      <c r="C367" s="74">
        <v>46232.75448878472</v>
      </c>
      <c r="D367" s="2" t="s">
        <v>628</v>
      </c>
      <c r="F367" s="2" t="s">
        <v>1006</v>
      </c>
      <c r="G367" s="72">
        <v>3.31391605E8</v>
      </c>
    </row>
    <row r="368">
      <c r="A368" s="73" t="s">
        <v>1001</v>
      </c>
      <c r="B368" s="72">
        <v>8.3025531E7</v>
      </c>
      <c r="C368" s="74">
        <v>46233.96189251158</v>
      </c>
      <c r="D368" s="2" t="s">
        <v>628</v>
      </c>
      <c r="F368" s="2" t="s">
        <v>1007</v>
      </c>
      <c r="G368" s="72">
        <v>3.32311102E8</v>
      </c>
    </row>
    <row r="369">
      <c r="A369" s="73" t="s">
        <v>1008</v>
      </c>
      <c r="B369" s="72">
        <v>8.2861573E7</v>
      </c>
      <c r="C369" s="74">
        <v>46233.54544350694</v>
      </c>
      <c r="D369" s="2" t="s">
        <v>628</v>
      </c>
      <c r="F369" s="2" t="s">
        <v>630</v>
      </c>
      <c r="G369" s="72">
        <v>3.31864914E8</v>
      </c>
    </row>
    <row r="370">
      <c r="A370" s="73" t="s">
        <v>1008</v>
      </c>
      <c r="B370" s="72">
        <v>8.2861573E7</v>
      </c>
      <c r="C370" s="74">
        <v>46231.753053541666</v>
      </c>
      <c r="D370" s="2" t="s">
        <v>628</v>
      </c>
      <c r="F370" s="2" t="s">
        <v>1009</v>
      </c>
      <c r="G370" s="72">
        <v>3.30728029E8</v>
      </c>
    </row>
    <row r="371">
      <c r="A371" s="73" t="s">
        <v>1008</v>
      </c>
      <c r="B371" s="72">
        <v>8.2861573E7</v>
      </c>
      <c r="C371" s="74">
        <v>46234.96111430555</v>
      </c>
      <c r="D371" s="2" t="s">
        <v>628</v>
      </c>
      <c r="F371" s="2" t="s">
        <v>1010</v>
      </c>
      <c r="G371" s="72">
        <v>3.33102E8</v>
      </c>
    </row>
    <row r="372">
      <c r="A372" s="73" t="s">
        <v>1011</v>
      </c>
      <c r="B372" s="72">
        <v>7.8805976E7</v>
      </c>
      <c r="C372" s="74">
        <v>46206.75295645834</v>
      </c>
      <c r="D372" s="2" t="s">
        <v>628</v>
      </c>
      <c r="F372" s="2" t="s">
        <v>1012</v>
      </c>
      <c r="G372" s="72">
        <v>3.13567222E8</v>
      </c>
    </row>
    <row r="373">
      <c r="A373" s="73" t="s">
        <v>1011</v>
      </c>
      <c r="B373" s="72">
        <v>7.8805976E7</v>
      </c>
      <c r="C373" s="74">
        <v>46207.96146096065</v>
      </c>
      <c r="D373" s="2" t="s">
        <v>628</v>
      </c>
      <c r="F373" s="2" t="s">
        <v>1013</v>
      </c>
      <c r="G373" s="72">
        <v>3.14488469E8</v>
      </c>
    </row>
    <row r="374">
      <c r="A374" s="73" t="s">
        <v>1014</v>
      </c>
      <c r="B374" s="72">
        <v>7.8804104E7</v>
      </c>
      <c r="C374" s="74">
        <v>46207.959816574075</v>
      </c>
      <c r="D374" s="2" t="s">
        <v>628</v>
      </c>
      <c r="F374" s="2" t="s">
        <v>1015</v>
      </c>
      <c r="G374" s="72">
        <v>3.14477661E8</v>
      </c>
    </row>
    <row r="375">
      <c r="A375" s="73" t="s">
        <v>1014</v>
      </c>
      <c r="B375" s="72">
        <v>7.8804104E7</v>
      </c>
      <c r="C375" s="74">
        <v>46206.75243769676</v>
      </c>
      <c r="D375" s="2" t="s">
        <v>628</v>
      </c>
      <c r="F375" s="2" t="s">
        <v>1016</v>
      </c>
      <c r="G375" s="72">
        <v>3.13562817E8</v>
      </c>
    </row>
    <row r="376">
      <c r="A376" s="73" t="s">
        <v>1017</v>
      </c>
      <c r="B376" s="72">
        <v>7.9882159E7</v>
      </c>
      <c r="C376" s="74">
        <v>46221.45755400463</v>
      </c>
      <c r="D376" s="2" t="s">
        <v>653</v>
      </c>
      <c r="F376" s="2" t="s">
        <v>1018</v>
      </c>
      <c r="G376" s="72">
        <v>3.23409893E8</v>
      </c>
    </row>
    <row r="377">
      <c r="A377" s="73" t="s">
        <v>1017</v>
      </c>
      <c r="B377" s="72">
        <v>7.9882159E7</v>
      </c>
      <c r="C377" s="74">
        <v>46221.45756221065</v>
      </c>
      <c r="D377" s="2" t="s">
        <v>653</v>
      </c>
      <c r="F377" s="2" t="s">
        <v>1019</v>
      </c>
      <c r="G377" s="72">
        <v>3.23409896E8</v>
      </c>
    </row>
    <row r="378">
      <c r="A378" s="73" t="s">
        <v>1017</v>
      </c>
      <c r="B378" s="72">
        <v>7.9882159E7</v>
      </c>
      <c r="C378" s="74">
        <v>46213.75266039352</v>
      </c>
      <c r="D378" s="2" t="s">
        <v>628</v>
      </c>
      <c r="F378" s="2" t="s">
        <v>1020</v>
      </c>
      <c r="G378" s="72">
        <v>3.18177101E8</v>
      </c>
    </row>
    <row r="379">
      <c r="A379" s="73" t="s">
        <v>1017</v>
      </c>
      <c r="B379" s="72">
        <v>7.9882159E7</v>
      </c>
      <c r="C379" s="74">
        <v>46221.4575499537</v>
      </c>
      <c r="D379" s="2" t="s">
        <v>653</v>
      </c>
      <c r="F379" s="2" t="s">
        <v>1021</v>
      </c>
      <c r="G379" s="72">
        <v>3.23409891E8</v>
      </c>
    </row>
    <row r="380">
      <c r="A380" s="73" t="s">
        <v>1017</v>
      </c>
      <c r="B380" s="72">
        <v>7.9882159E7</v>
      </c>
      <c r="C380" s="74">
        <v>46221.4575705787</v>
      </c>
      <c r="D380" s="2" t="s">
        <v>653</v>
      </c>
      <c r="F380" s="2" t="s">
        <v>1022</v>
      </c>
      <c r="G380" s="72">
        <v>3.23409899E8</v>
      </c>
    </row>
    <row r="381">
      <c r="A381" s="73" t="s">
        <v>1017</v>
      </c>
      <c r="B381" s="72">
        <v>7.9882159E7</v>
      </c>
      <c r="C381" s="74">
        <v>46221.457558090275</v>
      </c>
      <c r="D381" s="2" t="s">
        <v>653</v>
      </c>
      <c r="F381" s="2" t="s">
        <v>1018</v>
      </c>
      <c r="G381" s="72">
        <v>3.23409895E8</v>
      </c>
    </row>
    <row r="382">
      <c r="A382" s="73" t="s">
        <v>1017</v>
      </c>
      <c r="B382" s="72">
        <v>7.9882159E7</v>
      </c>
      <c r="C382" s="74">
        <v>46221.457545937505</v>
      </c>
      <c r="D382" s="2" t="s">
        <v>705</v>
      </c>
      <c r="F382" s="2" t="s">
        <v>872</v>
      </c>
      <c r="G382" s="72">
        <v>3.2340989E8</v>
      </c>
    </row>
    <row r="383">
      <c r="A383" s="73" t="s">
        <v>1017</v>
      </c>
      <c r="B383" s="72">
        <v>7.9882159E7</v>
      </c>
      <c r="C383" s="74">
        <v>46221.45756650463</v>
      </c>
      <c r="D383" s="2" t="s">
        <v>653</v>
      </c>
      <c r="F383" s="2" t="s">
        <v>1023</v>
      </c>
      <c r="G383" s="72">
        <v>3.23409897E8</v>
      </c>
    </row>
    <row r="384">
      <c r="A384" s="73" t="s">
        <v>1017</v>
      </c>
      <c r="B384" s="72">
        <v>7.9882159E7</v>
      </c>
      <c r="C384" s="74">
        <v>46214.961176145836</v>
      </c>
      <c r="D384" s="2" t="s">
        <v>628</v>
      </c>
      <c r="F384" s="2" t="s">
        <v>1024</v>
      </c>
      <c r="G384" s="72">
        <v>3.19138923E8</v>
      </c>
    </row>
    <row r="385">
      <c r="A385" s="73" t="s">
        <v>1017</v>
      </c>
      <c r="B385" s="72">
        <v>7.9882159E7</v>
      </c>
      <c r="C385" s="74">
        <v>46221.457536851856</v>
      </c>
      <c r="D385" s="2" t="s">
        <v>705</v>
      </c>
      <c r="F385" s="2" t="s">
        <v>1025</v>
      </c>
      <c r="G385" s="72">
        <v>3.23409888E8</v>
      </c>
    </row>
    <row r="386">
      <c r="A386" s="73" t="s">
        <v>1017</v>
      </c>
      <c r="B386" s="72">
        <v>7.9882159E7</v>
      </c>
      <c r="C386" s="74">
        <v>46221.45757458333</v>
      </c>
      <c r="D386" s="2" t="s">
        <v>653</v>
      </c>
      <c r="F386" s="2" t="s">
        <v>1026</v>
      </c>
      <c r="G386" s="72">
        <v>3.234099E8</v>
      </c>
    </row>
    <row r="387">
      <c r="A387" s="73" t="s">
        <v>1027</v>
      </c>
      <c r="B387" s="72">
        <v>8.1677304E7</v>
      </c>
      <c r="C387" s="74">
        <v>46224.7519397338</v>
      </c>
      <c r="D387" s="2" t="s">
        <v>628</v>
      </c>
      <c r="F387" s="2" t="s">
        <v>1028</v>
      </c>
      <c r="G387" s="72">
        <v>3.25793499E8</v>
      </c>
    </row>
    <row r="388">
      <c r="A388" s="73" t="s">
        <v>1027</v>
      </c>
      <c r="B388" s="72">
        <v>8.1677304E7</v>
      </c>
      <c r="C388" s="74">
        <v>46225.95941524305</v>
      </c>
      <c r="D388" s="2" t="s">
        <v>628</v>
      </c>
      <c r="F388" s="2" t="s">
        <v>1029</v>
      </c>
      <c r="G388" s="72">
        <v>3.26628006E8</v>
      </c>
    </row>
    <row r="389">
      <c r="A389" s="73" t="s">
        <v>1027</v>
      </c>
      <c r="B389" s="72">
        <v>8.1677304E7</v>
      </c>
      <c r="C389" s="74">
        <v>46225.810155370375</v>
      </c>
      <c r="D389" s="2" t="s">
        <v>667</v>
      </c>
      <c r="E389" s="2" t="s">
        <v>668</v>
      </c>
      <c r="F389" s="2" t="s">
        <v>1030</v>
      </c>
      <c r="G389" s="72">
        <v>3.26496631E8</v>
      </c>
    </row>
    <row r="390">
      <c r="A390" s="73" t="s">
        <v>1031</v>
      </c>
      <c r="B390" s="72">
        <v>8.1473859E7</v>
      </c>
      <c r="C390" s="74">
        <v>46223.484461388885</v>
      </c>
      <c r="D390" s="2" t="s">
        <v>628</v>
      </c>
      <c r="F390" s="2" t="s">
        <v>1032</v>
      </c>
      <c r="G390" s="72">
        <v>3.2489886E8</v>
      </c>
    </row>
    <row r="391">
      <c r="A391" s="73" t="s">
        <v>1031</v>
      </c>
      <c r="B391" s="72">
        <v>8.1473859E7</v>
      </c>
      <c r="C391" s="74">
        <v>46224.54474517361</v>
      </c>
      <c r="D391" s="2" t="s">
        <v>628</v>
      </c>
      <c r="F391" s="2" t="s">
        <v>630</v>
      </c>
      <c r="G391" s="72">
        <v>3.25618034E8</v>
      </c>
    </row>
    <row r="392">
      <c r="A392" s="73" t="s">
        <v>1031</v>
      </c>
      <c r="B392" s="72">
        <v>8.1473859E7</v>
      </c>
      <c r="C392" s="74">
        <v>46226.96184369213</v>
      </c>
      <c r="D392" s="2" t="s">
        <v>628</v>
      </c>
      <c r="F392" s="2" t="s">
        <v>1033</v>
      </c>
      <c r="G392" s="72">
        <v>3.2734355E8</v>
      </c>
    </row>
    <row r="393">
      <c r="A393" s="73" t="s">
        <v>1034</v>
      </c>
      <c r="B393" s="72">
        <v>7.9697209E7</v>
      </c>
      <c r="C393" s="74">
        <v>46214.543856041666</v>
      </c>
      <c r="D393" s="2" t="s">
        <v>628</v>
      </c>
      <c r="F393" s="2" t="s">
        <v>630</v>
      </c>
      <c r="G393" s="72">
        <v>3.18700353E8</v>
      </c>
    </row>
    <row r="394">
      <c r="A394" s="73" t="s">
        <v>1034</v>
      </c>
      <c r="B394" s="72">
        <v>7.9697209E7</v>
      </c>
      <c r="C394" s="74">
        <v>46212.75226395833</v>
      </c>
      <c r="D394" s="2" t="s">
        <v>628</v>
      </c>
      <c r="F394" s="2" t="s">
        <v>1035</v>
      </c>
      <c r="G394" s="72">
        <v>3.17436551E8</v>
      </c>
    </row>
    <row r="395">
      <c r="A395" s="73" t="s">
        <v>1034</v>
      </c>
      <c r="B395" s="72">
        <v>7.9697209E7</v>
      </c>
      <c r="C395" s="74">
        <v>46214.96032076389</v>
      </c>
      <c r="D395" s="2" t="s">
        <v>628</v>
      </c>
      <c r="F395" s="2" t="s">
        <v>1036</v>
      </c>
      <c r="G395" s="72">
        <v>3.19134547E8</v>
      </c>
    </row>
    <row r="396">
      <c r="A396" s="73" t="s">
        <v>1037</v>
      </c>
      <c r="B396" s="72">
        <v>7.9775236E7</v>
      </c>
      <c r="C396" s="74">
        <v>46212.959947152776</v>
      </c>
      <c r="D396" s="2" t="s">
        <v>628</v>
      </c>
      <c r="F396" s="2" t="s">
        <v>1038</v>
      </c>
      <c r="G396" s="72">
        <v>3.17657443E8</v>
      </c>
    </row>
    <row r="397">
      <c r="A397" s="73" t="s">
        <v>1039</v>
      </c>
      <c r="B397" s="72">
        <v>8.3379857E7</v>
      </c>
      <c r="C397" s="74">
        <v>46234.750333715274</v>
      </c>
      <c r="D397" s="2" t="s">
        <v>628</v>
      </c>
      <c r="F397" s="2" t="s">
        <v>1040</v>
      </c>
      <c r="G397" s="72">
        <v>3.32834364E8</v>
      </c>
    </row>
    <row r="398">
      <c r="A398" s="73" t="s">
        <v>1041</v>
      </c>
      <c r="B398" s="72">
        <v>8.1025219E7</v>
      </c>
      <c r="C398" s="74">
        <v>46220.751231041664</v>
      </c>
      <c r="D398" s="2" t="s">
        <v>628</v>
      </c>
      <c r="F398" s="2" t="s">
        <v>1042</v>
      </c>
      <c r="G398" s="72">
        <v>3.22992429E8</v>
      </c>
    </row>
    <row r="399">
      <c r="A399" s="73" t="s">
        <v>1041</v>
      </c>
      <c r="B399" s="72">
        <v>8.1025219E7</v>
      </c>
      <c r="C399" s="74">
        <v>46221.95926195601</v>
      </c>
      <c r="D399" s="2" t="s">
        <v>628</v>
      </c>
      <c r="F399" s="2" t="s">
        <v>1043</v>
      </c>
      <c r="G399" s="72">
        <v>3.23988739E8</v>
      </c>
    </row>
    <row r="400">
      <c r="A400" s="73" t="s">
        <v>1041</v>
      </c>
      <c r="B400" s="72">
        <v>8.1025219E7</v>
      </c>
      <c r="C400" s="74">
        <v>46222.64074841436</v>
      </c>
      <c r="D400" s="2" t="s">
        <v>653</v>
      </c>
      <c r="F400" s="2" t="s">
        <v>1044</v>
      </c>
      <c r="G400" s="72">
        <v>3.2446309E8</v>
      </c>
    </row>
    <row r="401">
      <c r="A401" s="73" t="s">
        <v>1041</v>
      </c>
      <c r="B401" s="72">
        <v>8.1025219E7</v>
      </c>
      <c r="C401" s="74">
        <v>46221.67301633102</v>
      </c>
      <c r="D401" s="2" t="s">
        <v>653</v>
      </c>
      <c r="F401" s="2" t="s">
        <v>1045</v>
      </c>
      <c r="G401" s="72">
        <v>3.23706168E8</v>
      </c>
    </row>
    <row r="402">
      <c r="A402" s="73" t="s">
        <v>1041</v>
      </c>
      <c r="B402" s="72">
        <v>8.1025219E7</v>
      </c>
      <c r="C402" s="74">
        <v>46220.756848668985</v>
      </c>
      <c r="D402" s="2" t="s">
        <v>653</v>
      </c>
      <c r="F402" s="2" t="s">
        <v>1046</v>
      </c>
      <c r="G402" s="72">
        <v>3.23017432E8</v>
      </c>
    </row>
    <row r="403">
      <c r="A403" s="73" t="s">
        <v>1041</v>
      </c>
      <c r="B403" s="72">
        <v>8.1025219E7</v>
      </c>
      <c r="C403" s="74">
        <v>46224.47749045139</v>
      </c>
      <c r="D403" s="2" t="s">
        <v>653</v>
      </c>
      <c r="F403" s="2" t="s">
        <v>1048</v>
      </c>
      <c r="G403" s="72">
        <v>3.25536237E8</v>
      </c>
    </row>
    <row r="404">
      <c r="A404" s="73" t="s">
        <v>1041</v>
      </c>
      <c r="B404" s="72">
        <v>8.1025219E7</v>
      </c>
      <c r="C404" s="74">
        <v>46220.81108460648</v>
      </c>
      <c r="D404" s="2" t="s">
        <v>653</v>
      </c>
      <c r="F404" s="2" t="s">
        <v>1045</v>
      </c>
      <c r="G404" s="72">
        <v>3.23079908E8</v>
      </c>
    </row>
    <row r="405">
      <c r="A405" s="73" t="s">
        <v>1050</v>
      </c>
      <c r="B405" s="72">
        <v>8.0326067E7</v>
      </c>
      <c r="C405" s="74">
        <v>46216.9609596875</v>
      </c>
      <c r="D405" s="2" t="s">
        <v>628</v>
      </c>
      <c r="F405" s="2" t="s">
        <v>1051</v>
      </c>
      <c r="G405" s="72">
        <v>3.20486204E8</v>
      </c>
    </row>
    <row r="406">
      <c r="A406" s="73" t="s">
        <v>1050</v>
      </c>
      <c r="B406" s="72">
        <v>8.0326067E7</v>
      </c>
      <c r="C406" s="74">
        <v>46216.54407365741</v>
      </c>
      <c r="D406" s="2" t="s">
        <v>628</v>
      </c>
      <c r="F406" s="2" t="s">
        <v>630</v>
      </c>
      <c r="G406" s="72">
        <v>3.2010723E8</v>
      </c>
    </row>
    <row r="407">
      <c r="A407" s="73" t="s">
        <v>1050</v>
      </c>
      <c r="C407" s="74">
        <v>46214.752762337965</v>
      </c>
      <c r="D407" s="2" t="s">
        <v>628</v>
      </c>
      <c r="F407" s="2" t="s">
        <v>1052</v>
      </c>
      <c r="G407" s="72">
        <v>3.18921926E8</v>
      </c>
    </row>
    <row r="408">
      <c r="A408" s="73" t="s">
        <v>1053</v>
      </c>
      <c r="B408" s="72">
        <v>8.1378833E7</v>
      </c>
      <c r="C408" s="74">
        <v>46222.76306508102</v>
      </c>
      <c r="D408" s="2" t="s">
        <v>653</v>
      </c>
      <c r="F408" s="2" t="s">
        <v>1054</v>
      </c>
      <c r="G408" s="72">
        <v>3.24558592E8</v>
      </c>
    </row>
    <row r="409">
      <c r="A409" s="73" t="s">
        <v>1053</v>
      </c>
      <c r="B409" s="72">
        <v>8.1378833E7</v>
      </c>
      <c r="C409" s="74">
        <v>46224.54291857639</v>
      </c>
      <c r="D409" s="2" t="s">
        <v>628</v>
      </c>
      <c r="F409" s="2" t="s">
        <v>630</v>
      </c>
      <c r="G409" s="72">
        <v>3.25593317E8</v>
      </c>
    </row>
    <row r="410">
      <c r="A410" s="73" t="s">
        <v>1053</v>
      </c>
      <c r="B410" s="72">
        <v>8.1378833E7</v>
      </c>
      <c r="C410" s="74">
        <v>46222.7518203588</v>
      </c>
      <c r="D410" s="2" t="s">
        <v>628</v>
      </c>
      <c r="F410" s="2" t="s">
        <v>1055</v>
      </c>
      <c r="G410" s="72">
        <v>3.2453912E8</v>
      </c>
    </row>
    <row r="411">
      <c r="A411" s="73" t="s">
        <v>1053</v>
      </c>
      <c r="B411" s="72">
        <v>8.1378833E7</v>
      </c>
      <c r="C411" s="74">
        <v>46224.95981733796</v>
      </c>
      <c r="D411" s="2" t="s">
        <v>628</v>
      </c>
      <c r="F411" s="2" t="s">
        <v>1056</v>
      </c>
      <c r="G411" s="72">
        <v>3.25985661E8</v>
      </c>
    </row>
    <row r="412">
      <c r="A412" s="73" t="s">
        <v>1057</v>
      </c>
      <c r="B412" s="72">
        <v>7.8975951E7</v>
      </c>
      <c r="C412" s="74">
        <v>46208.96044728009</v>
      </c>
      <c r="D412" s="2" t="s">
        <v>628</v>
      </c>
      <c r="F412" s="2" t="s">
        <v>1058</v>
      </c>
      <c r="G412" s="72">
        <v>3.15165318E8</v>
      </c>
    </row>
    <row r="413">
      <c r="A413" s="73" t="s">
        <v>1057</v>
      </c>
      <c r="B413" s="72">
        <v>7.8975951E7</v>
      </c>
      <c r="C413" s="74">
        <v>46207.75246956019</v>
      </c>
      <c r="D413" s="2" t="s">
        <v>628</v>
      </c>
      <c r="F413" s="2" t="s">
        <v>1059</v>
      </c>
      <c r="G413" s="72">
        <v>3.14290306E8</v>
      </c>
    </row>
    <row r="414">
      <c r="A414" s="73" t="s">
        <v>1060</v>
      </c>
      <c r="B414" s="72">
        <v>8.2142248E7</v>
      </c>
      <c r="C414" s="74">
        <v>46227.54888224537</v>
      </c>
      <c r="D414" s="2" t="s">
        <v>653</v>
      </c>
      <c r="F414" s="2" t="s">
        <v>1061</v>
      </c>
      <c r="G414" s="72">
        <v>3.27663884E8</v>
      </c>
    </row>
    <row r="415">
      <c r="A415" s="73" t="s">
        <v>1060</v>
      </c>
      <c r="B415" s="72">
        <v>8.2142248E7</v>
      </c>
      <c r="C415" s="74">
        <v>46232.47288018519</v>
      </c>
      <c r="D415" s="2" t="s">
        <v>653</v>
      </c>
      <c r="F415" s="2" t="s">
        <v>1062</v>
      </c>
      <c r="G415" s="72">
        <v>3.31096074E8</v>
      </c>
    </row>
    <row r="416">
      <c r="A416" s="73" t="s">
        <v>1060</v>
      </c>
      <c r="B416" s="72">
        <v>8.2142248E7</v>
      </c>
      <c r="C416" s="74">
        <v>46227.544725381944</v>
      </c>
      <c r="D416" s="2" t="s">
        <v>628</v>
      </c>
      <c r="F416" s="2" t="s">
        <v>630</v>
      </c>
      <c r="G416" s="72">
        <v>3.27637798E8</v>
      </c>
    </row>
    <row r="417">
      <c r="A417" s="73" t="s">
        <v>1060</v>
      </c>
      <c r="B417" s="72">
        <v>8.2142248E7</v>
      </c>
      <c r="C417" s="74">
        <v>46229.960129375</v>
      </c>
      <c r="D417" s="2" t="s">
        <v>628</v>
      </c>
      <c r="F417" s="2" t="s">
        <v>798</v>
      </c>
      <c r="G417" s="72">
        <v>3.29610094E8</v>
      </c>
    </row>
    <row r="418">
      <c r="A418" s="73" t="s">
        <v>1060</v>
      </c>
      <c r="B418" s="72">
        <v>8.2142248E7</v>
      </c>
      <c r="C418" s="74">
        <v>46232.47287541667</v>
      </c>
      <c r="D418" s="2" t="s">
        <v>653</v>
      </c>
      <c r="F418" s="2" t="s">
        <v>1063</v>
      </c>
      <c r="G418" s="72">
        <v>3.31096072E8</v>
      </c>
    </row>
    <row r="419">
      <c r="A419" s="73" t="s">
        <v>1060</v>
      </c>
      <c r="B419" s="72">
        <v>8.2142248E7</v>
      </c>
      <c r="C419" s="74">
        <v>46227.54887883102</v>
      </c>
      <c r="D419" s="2" t="s">
        <v>653</v>
      </c>
      <c r="F419" s="2" t="s">
        <v>1061</v>
      </c>
      <c r="G419" s="72">
        <v>3.27663883E8</v>
      </c>
    </row>
    <row r="420">
      <c r="A420" s="73" t="s">
        <v>1060</v>
      </c>
      <c r="B420" s="72">
        <v>8.2142248E7</v>
      </c>
      <c r="C420" s="74">
        <v>46225.75479475694</v>
      </c>
      <c r="D420" s="2" t="s">
        <v>653</v>
      </c>
      <c r="F420" s="2" t="s">
        <v>1064</v>
      </c>
      <c r="G420" s="72">
        <v>3.26446012E8</v>
      </c>
    </row>
    <row r="421">
      <c r="A421" s="73" t="s">
        <v>1065</v>
      </c>
      <c r="B421" s="72">
        <v>8.3187532E7</v>
      </c>
      <c r="C421" s="74">
        <v>46233.751246238426</v>
      </c>
      <c r="D421" s="2" t="s">
        <v>628</v>
      </c>
      <c r="F421" s="2" t="s">
        <v>1066</v>
      </c>
      <c r="G421" s="72">
        <v>3.32059503E8</v>
      </c>
    </row>
    <row r="422">
      <c r="A422" s="73" t="s">
        <v>1067</v>
      </c>
      <c r="B422" s="72">
        <v>8.3382951E7</v>
      </c>
      <c r="C422" s="74">
        <v>46234.75176408565</v>
      </c>
      <c r="D422" s="2" t="s">
        <v>628</v>
      </c>
      <c r="F422" s="2" t="s">
        <v>1068</v>
      </c>
      <c r="G422" s="72">
        <v>3.32841176E8</v>
      </c>
    </row>
    <row r="423">
      <c r="A423" s="73" t="s">
        <v>1069</v>
      </c>
      <c r="B423" s="72">
        <v>7.9886504E7</v>
      </c>
      <c r="C423" s="74">
        <v>46221.4574946875</v>
      </c>
      <c r="D423" s="2" t="s">
        <v>653</v>
      </c>
      <c r="F423" s="2" t="s">
        <v>1070</v>
      </c>
      <c r="G423" s="72">
        <v>3.23409877E8</v>
      </c>
    </row>
    <row r="424">
      <c r="A424" s="73" t="s">
        <v>1069</v>
      </c>
      <c r="B424" s="72">
        <v>7.9886504E7</v>
      </c>
      <c r="C424" s="74">
        <v>46227.75151381944</v>
      </c>
      <c r="D424" s="2" t="s">
        <v>628</v>
      </c>
      <c r="F424" s="2" t="s">
        <v>1071</v>
      </c>
      <c r="G424" s="72">
        <v>3.27864813E8</v>
      </c>
    </row>
    <row r="425">
      <c r="A425" s="73" t="s">
        <v>1069</v>
      </c>
      <c r="B425" s="72">
        <v>7.9886504E7</v>
      </c>
      <c r="C425" s="74">
        <v>46213.75360599537</v>
      </c>
      <c r="D425" s="2" t="s">
        <v>628</v>
      </c>
      <c r="F425" s="2" t="s">
        <v>1071</v>
      </c>
      <c r="G425" s="72">
        <v>3.18186287E8</v>
      </c>
    </row>
    <row r="426">
      <c r="A426" s="73" t="s">
        <v>1069</v>
      </c>
      <c r="B426" s="72">
        <v>7.9886504E7</v>
      </c>
      <c r="C426" s="74">
        <v>46221.45750246527</v>
      </c>
      <c r="D426" s="2" t="s">
        <v>653</v>
      </c>
      <c r="F426" s="2" t="s">
        <v>1072</v>
      </c>
      <c r="G426" s="72">
        <v>3.23409883E8</v>
      </c>
    </row>
    <row r="427">
      <c r="A427" s="73" t="s">
        <v>1069</v>
      </c>
      <c r="B427" s="72">
        <v>7.9886504E7</v>
      </c>
      <c r="C427" s="74">
        <v>46221.45749880787</v>
      </c>
      <c r="D427" s="2" t="s">
        <v>653</v>
      </c>
      <c r="F427" s="2" t="s">
        <v>1073</v>
      </c>
      <c r="G427" s="72">
        <v>3.23409879E8</v>
      </c>
    </row>
    <row r="428">
      <c r="A428" s="73" t="s">
        <v>1069</v>
      </c>
      <c r="B428" s="72">
        <v>7.9886504E7</v>
      </c>
      <c r="C428" s="74">
        <v>46214.96183763889</v>
      </c>
      <c r="D428" s="2" t="s">
        <v>628</v>
      </c>
      <c r="F428" s="2" t="s">
        <v>1074</v>
      </c>
      <c r="G428" s="72">
        <v>3.19142131E8</v>
      </c>
    </row>
    <row r="429">
      <c r="A429" s="73" t="s">
        <v>1069</v>
      </c>
      <c r="B429" s="72">
        <v>7.9886504E7</v>
      </c>
      <c r="C429" s="74">
        <v>46221.45750636574</v>
      </c>
      <c r="D429" s="2" t="s">
        <v>653</v>
      </c>
      <c r="F429" s="2" t="s">
        <v>1075</v>
      </c>
      <c r="G429" s="72">
        <v>3.23409884E8</v>
      </c>
    </row>
    <row r="430">
      <c r="A430" s="73" t="s">
        <v>1069</v>
      </c>
      <c r="B430" s="72">
        <v>7.9886504E7</v>
      </c>
      <c r="C430" s="74">
        <v>46221.45749033565</v>
      </c>
      <c r="D430" s="2" t="s">
        <v>653</v>
      </c>
      <c r="F430" s="2" t="s">
        <v>1076</v>
      </c>
      <c r="G430" s="72">
        <v>3.23409876E8</v>
      </c>
    </row>
    <row r="431">
      <c r="A431" s="73" t="s">
        <v>1069</v>
      </c>
      <c r="B431" s="72">
        <v>7.9886504E7</v>
      </c>
      <c r="C431" s="74">
        <v>46228.95905813658</v>
      </c>
      <c r="D431" s="2" t="s">
        <v>628</v>
      </c>
      <c r="F431" s="2" t="s">
        <v>1074</v>
      </c>
      <c r="G431" s="72">
        <v>3.28855955E8</v>
      </c>
    </row>
    <row r="432">
      <c r="A432" s="73" t="s">
        <v>1069</v>
      </c>
      <c r="B432" s="72">
        <v>7.9886504E7</v>
      </c>
      <c r="C432" s="74">
        <v>46221.457486354164</v>
      </c>
      <c r="D432" s="2" t="s">
        <v>653</v>
      </c>
      <c r="F432" s="2" t="s">
        <v>1077</v>
      </c>
      <c r="G432" s="72">
        <v>3.23409874E8</v>
      </c>
    </row>
    <row r="433">
      <c r="A433" s="73" t="s">
        <v>1078</v>
      </c>
      <c r="B433" s="72">
        <v>7.8623336E7</v>
      </c>
      <c r="C433" s="74">
        <v>46207.54422420139</v>
      </c>
      <c r="D433" s="2" t="s">
        <v>628</v>
      </c>
      <c r="F433" s="2" t="s">
        <v>630</v>
      </c>
      <c r="G433" s="72">
        <v>3.14080665E8</v>
      </c>
    </row>
    <row r="434">
      <c r="A434" s="73" t="s">
        <v>1078</v>
      </c>
      <c r="B434" s="72">
        <v>7.8623336E7</v>
      </c>
      <c r="C434" s="74">
        <v>46205.75275484954</v>
      </c>
      <c r="D434" s="2" t="s">
        <v>628</v>
      </c>
      <c r="F434" s="2" t="s">
        <v>1079</v>
      </c>
      <c r="G434" s="72">
        <v>3.12832383E8</v>
      </c>
    </row>
    <row r="435">
      <c r="A435" s="73" t="s">
        <v>1078</v>
      </c>
      <c r="B435" s="72">
        <v>7.8623336E7</v>
      </c>
      <c r="C435" s="74">
        <v>46207.96056010417</v>
      </c>
      <c r="D435" s="2" t="s">
        <v>628</v>
      </c>
      <c r="F435" s="2" t="s">
        <v>1080</v>
      </c>
      <c r="G435" s="72">
        <v>3.14483387E8</v>
      </c>
    </row>
    <row r="436">
      <c r="A436" s="73" t="s">
        <v>1081</v>
      </c>
      <c r="B436" s="72">
        <v>8.0351145E7</v>
      </c>
      <c r="C436" s="74">
        <v>46218.96107157407</v>
      </c>
      <c r="D436" s="2" t="s">
        <v>628</v>
      </c>
      <c r="F436" s="2" t="s">
        <v>657</v>
      </c>
      <c r="G436" s="72">
        <v>3.21772533E8</v>
      </c>
    </row>
    <row r="437">
      <c r="A437" s="73" t="s">
        <v>1081</v>
      </c>
      <c r="B437" s="72">
        <v>8.0351145E7</v>
      </c>
      <c r="C437" s="74">
        <v>46218.98169503472</v>
      </c>
      <c r="D437" s="2" t="s">
        <v>653</v>
      </c>
      <c r="F437" s="2" t="s">
        <v>1082</v>
      </c>
      <c r="G437" s="72">
        <v>3.21788875E8</v>
      </c>
    </row>
    <row r="438">
      <c r="A438" s="73" t="s">
        <v>1081</v>
      </c>
      <c r="B438" s="72">
        <v>8.0351145E7</v>
      </c>
      <c r="C438" s="74">
        <v>46218.981684432874</v>
      </c>
      <c r="D438" s="2" t="s">
        <v>653</v>
      </c>
      <c r="F438" s="2" t="s">
        <v>1083</v>
      </c>
      <c r="G438" s="72">
        <v>3.21788864E8</v>
      </c>
    </row>
    <row r="439">
      <c r="A439" s="73" t="s">
        <v>1081</v>
      </c>
      <c r="B439" s="72">
        <v>8.0351145E7</v>
      </c>
      <c r="C439" s="74">
        <v>46217.544270046295</v>
      </c>
      <c r="D439" s="2" t="s">
        <v>628</v>
      </c>
      <c r="F439" s="2" t="s">
        <v>630</v>
      </c>
      <c r="G439" s="72">
        <v>3.2073686E8</v>
      </c>
    </row>
    <row r="440">
      <c r="A440" s="73" t="s">
        <v>1081</v>
      </c>
      <c r="B440" s="72">
        <v>8.0351145E7</v>
      </c>
      <c r="C440" s="74">
        <v>46218.981678703705</v>
      </c>
      <c r="D440" s="2" t="s">
        <v>653</v>
      </c>
      <c r="F440" s="2" t="s">
        <v>1083</v>
      </c>
      <c r="G440" s="72">
        <v>3.21788861E8</v>
      </c>
    </row>
    <row r="441">
      <c r="A441" s="73" t="s">
        <v>1081</v>
      </c>
      <c r="B441" s="72">
        <v>8.0351145E7</v>
      </c>
      <c r="C441" s="74">
        <v>46218.98167126157</v>
      </c>
      <c r="D441" s="2" t="s">
        <v>705</v>
      </c>
      <c r="F441" s="2" t="s">
        <v>722</v>
      </c>
      <c r="G441" s="72">
        <v>3.21788854E8</v>
      </c>
    </row>
    <row r="442">
      <c r="A442" s="73" t="s">
        <v>1081</v>
      </c>
      <c r="B442" s="72">
        <v>8.0351145E7</v>
      </c>
      <c r="C442" s="74">
        <v>46218.98168996528</v>
      </c>
      <c r="D442" s="2" t="s">
        <v>653</v>
      </c>
      <c r="F442" s="2" t="s">
        <v>1084</v>
      </c>
      <c r="G442" s="72">
        <v>3.2178887E8</v>
      </c>
    </row>
    <row r="443">
      <c r="A443" s="73" t="s">
        <v>1081</v>
      </c>
      <c r="B443" s="72">
        <v>8.0351145E7</v>
      </c>
      <c r="C443" s="74">
        <v>46216.68049697917</v>
      </c>
      <c r="D443" s="2" t="s">
        <v>628</v>
      </c>
      <c r="F443" s="2" t="s">
        <v>656</v>
      </c>
      <c r="G443" s="72">
        <v>3.20249237E8</v>
      </c>
    </row>
    <row r="444">
      <c r="A444" s="73" t="s">
        <v>1085</v>
      </c>
      <c r="B444" s="72">
        <v>8.2010776E7</v>
      </c>
      <c r="C444" s="74">
        <v>46226.75505346065</v>
      </c>
      <c r="D444" s="2" t="s">
        <v>628</v>
      </c>
      <c r="F444" s="2" t="s">
        <v>1086</v>
      </c>
      <c r="G444" s="72">
        <v>3.27126571E8</v>
      </c>
    </row>
    <row r="445">
      <c r="A445" s="73" t="s">
        <v>1085</v>
      </c>
      <c r="B445" s="72">
        <v>8.2010776E7</v>
      </c>
      <c r="C445" s="74">
        <v>46227.96203934027</v>
      </c>
      <c r="D445" s="2" t="s">
        <v>628</v>
      </c>
      <c r="F445" s="2" t="s">
        <v>1087</v>
      </c>
      <c r="G445" s="72">
        <v>3.28123261E8</v>
      </c>
    </row>
    <row r="446">
      <c r="A446" s="73" t="s">
        <v>1088</v>
      </c>
      <c r="B446" s="72">
        <v>8.3021704E7</v>
      </c>
      <c r="C446" s="74">
        <v>46233.96105945602</v>
      </c>
      <c r="D446" s="2" t="s">
        <v>628</v>
      </c>
      <c r="F446" s="2" t="s">
        <v>1089</v>
      </c>
      <c r="G446" s="72">
        <v>3.32307676E8</v>
      </c>
    </row>
    <row r="447">
      <c r="A447" s="73" t="s">
        <v>1088</v>
      </c>
      <c r="B447" s="72">
        <v>8.3021704E7</v>
      </c>
      <c r="C447" s="74">
        <v>46232.752658819445</v>
      </c>
      <c r="D447" s="2" t="s">
        <v>628</v>
      </c>
      <c r="F447" s="2" t="s">
        <v>1090</v>
      </c>
      <c r="G447" s="72">
        <v>3.31382519E8</v>
      </c>
    </row>
    <row r="448">
      <c r="A448" s="73" t="s">
        <v>1091</v>
      </c>
      <c r="B448" s="72">
        <v>7.8320657E7</v>
      </c>
      <c r="C448" s="74">
        <v>46204.96158221065</v>
      </c>
      <c r="D448" s="2" t="s">
        <v>628</v>
      </c>
      <c r="F448" s="2" t="s">
        <v>1092</v>
      </c>
      <c r="G448" s="72">
        <v>3.12386635E8</v>
      </c>
    </row>
    <row r="449">
      <c r="A449" s="73" t="s">
        <v>1093</v>
      </c>
      <c r="B449" s="72">
        <v>7.8420245E7</v>
      </c>
      <c r="C449" s="74">
        <v>46205.95950162037</v>
      </c>
      <c r="D449" s="2" t="s">
        <v>628</v>
      </c>
      <c r="F449" s="2" t="s">
        <v>1094</v>
      </c>
      <c r="G449" s="72">
        <v>3.13052654E8</v>
      </c>
    </row>
    <row r="450">
      <c r="A450" s="73" t="s">
        <v>1093</v>
      </c>
      <c r="B450" s="72">
        <v>7.8420245E7</v>
      </c>
      <c r="C450" s="74">
        <v>46204.543220312495</v>
      </c>
      <c r="D450" s="2" t="s">
        <v>628</v>
      </c>
      <c r="F450" s="2" t="s">
        <v>630</v>
      </c>
      <c r="G450" s="72">
        <v>3.11995082E8</v>
      </c>
    </row>
    <row r="451">
      <c r="A451" s="73" t="s">
        <v>1095</v>
      </c>
      <c r="B451" s="72">
        <v>8.1221723E7</v>
      </c>
      <c r="C451" s="74">
        <v>46223.54481020833</v>
      </c>
      <c r="D451" s="2" t="s">
        <v>628</v>
      </c>
      <c r="F451" s="2" t="s">
        <v>630</v>
      </c>
      <c r="G451" s="72">
        <v>3.24987025E8</v>
      </c>
    </row>
    <row r="452">
      <c r="A452" s="73" t="s">
        <v>1095</v>
      </c>
      <c r="B452" s="72">
        <v>8.1221723E7</v>
      </c>
      <c r="C452" s="74">
        <v>46223.961652557875</v>
      </c>
      <c r="D452" s="2" t="s">
        <v>628</v>
      </c>
      <c r="F452" s="2" t="s">
        <v>1089</v>
      </c>
      <c r="G452" s="72">
        <v>3.25368558E8</v>
      </c>
    </row>
    <row r="453">
      <c r="A453" s="73" t="s">
        <v>1095</v>
      </c>
      <c r="B453" s="72">
        <v>8.1221723E7</v>
      </c>
      <c r="C453" s="74">
        <v>46221.753628715276</v>
      </c>
      <c r="D453" s="2" t="s">
        <v>628</v>
      </c>
      <c r="F453" s="2" t="s">
        <v>1090</v>
      </c>
      <c r="G453" s="72">
        <v>3.23783273E8</v>
      </c>
    </row>
    <row r="454">
      <c r="A454" s="73" t="s">
        <v>1096</v>
      </c>
      <c r="B454" s="72">
        <v>7.9391807E7</v>
      </c>
      <c r="C454" s="74">
        <v>46211.959881539355</v>
      </c>
      <c r="D454" s="2" t="s">
        <v>628</v>
      </c>
      <c r="F454" s="2" t="s">
        <v>855</v>
      </c>
      <c r="G454" s="72">
        <v>3.16984401E8</v>
      </c>
    </row>
    <row r="455">
      <c r="A455" s="73" t="s">
        <v>1096</v>
      </c>
      <c r="B455" s="72">
        <v>7.9391807E7</v>
      </c>
      <c r="C455" s="74">
        <v>46210.75276386574</v>
      </c>
      <c r="D455" s="2" t="s">
        <v>628</v>
      </c>
      <c r="F455" s="2" t="s">
        <v>854</v>
      </c>
      <c r="G455" s="72">
        <v>3.16194664E8</v>
      </c>
    </row>
    <row r="456">
      <c r="A456" s="73" t="s">
        <v>1097</v>
      </c>
      <c r="B456" s="72">
        <v>7.9355961E7</v>
      </c>
      <c r="C456" s="74">
        <v>46213.96155310185</v>
      </c>
      <c r="D456" s="2" t="s">
        <v>628</v>
      </c>
      <c r="F456" s="2" t="s">
        <v>798</v>
      </c>
      <c r="G456" s="72">
        <v>3.18411481E8</v>
      </c>
    </row>
    <row r="457">
      <c r="A457" s="73" t="s">
        <v>1097</v>
      </c>
      <c r="C457" s="74">
        <v>46208.75318936343</v>
      </c>
      <c r="D457" s="2" t="s">
        <v>628</v>
      </c>
      <c r="F457" s="2" t="s">
        <v>643</v>
      </c>
      <c r="G457" s="72">
        <v>3.15000376E8</v>
      </c>
    </row>
    <row r="458">
      <c r="A458" s="73" t="s">
        <v>1097</v>
      </c>
      <c r="B458" s="72">
        <v>7.9355961E7</v>
      </c>
      <c r="C458" s="74">
        <v>46210.54513270833</v>
      </c>
      <c r="D458" s="2" t="s">
        <v>628</v>
      </c>
      <c r="F458" s="2" t="s">
        <v>630</v>
      </c>
      <c r="G458" s="72">
        <v>3.16031743E8</v>
      </c>
    </row>
    <row r="459">
      <c r="A459" s="73" t="s">
        <v>1098</v>
      </c>
      <c r="B459" s="72">
        <v>4798691.0</v>
      </c>
      <c r="C459" s="74">
        <v>46205.75368621528</v>
      </c>
      <c r="D459" s="2" t="s">
        <v>628</v>
      </c>
      <c r="F459" s="2" t="s">
        <v>681</v>
      </c>
      <c r="G459" s="72">
        <v>3.12844056E8</v>
      </c>
    </row>
    <row r="460">
      <c r="A460" s="73" t="s">
        <v>1098</v>
      </c>
      <c r="B460" s="72">
        <v>4798691.0</v>
      </c>
      <c r="C460" s="74">
        <v>46207.545175555555</v>
      </c>
      <c r="D460" s="2" t="s">
        <v>628</v>
      </c>
      <c r="F460" s="2" t="s">
        <v>630</v>
      </c>
      <c r="G460" s="72">
        <v>3.14096154E8</v>
      </c>
    </row>
    <row r="461">
      <c r="A461" s="73" t="s">
        <v>1098</v>
      </c>
      <c r="B461" s="72">
        <v>4798691.0</v>
      </c>
      <c r="C461" s="74">
        <v>46207.96218295139</v>
      </c>
      <c r="D461" s="2" t="s">
        <v>628</v>
      </c>
      <c r="F461" s="2" t="s">
        <v>1099</v>
      </c>
      <c r="G461" s="72">
        <v>3.1449159E8</v>
      </c>
    </row>
    <row r="462">
      <c r="A462" s="73" t="s">
        <v>1100</v>
      </c>
      <c r="B462" s="72">
        <v>7.9698972E7</v>
      </c>
      <c r="C462" s="74">
        <v>46221.45764143519</v>
      </c>
      <c r="D462" s="2" t="s">
        <v>653</v>
      </c>
      <c r="F462" s="2" t="s">
        <v>1101</v>
      </c>
      <c r="G462" s="72">
        <v>3.23409911E8</v>
      </c>
    </row>
    <row r="463">
      <c r="A463" s="73" t="s">
        <v>1100</v>
      </c>
      <c r="B463" s="72">
        <v>7.9698972E7</v>
      </c>
      <c r="C463" s="74">
        <v>46221.457636990745</v>
      </c>
      <c r="D463" s="2" t="s">
        <v>653</v>
      </c>
      <c r="F463" s="2" t="s">
        <v>1102</v>
      </c>
      <c r="G463" s="72">
        <v>3.23409909E8</v>
      </c>
    </row>
    <row r="464">
      <c r="A464" s="73" t="s">
        <v>1100</v>
      </c>
      <c r="B464" s="72">
        <v>7.9698972E7</v>
      </c>
      <c r="C464" s="74">
        <v>46221.45763267361</v>
      </c>
      <c r="D464" s="2" t="s">
        <v>653</v>
      </c>
      <c r="F464" s="2" t="s">
        <v>1102</v>
      </c>
      <c r="G464" s="72">
        <v>3.23409908E8</v>
      </c>
    </row>
    <row r="465">
      <c r="A465" s="73" t="s">
        <v>1100</v>
      </c>
      <c r="B465" s="72">
        <v>7.9698972E7</v>
      </c>
      <c r="C465" s="74">
        <v>46221.45761614583</v>
      </c>
      <c r="D465" s="2" t="s">
        <v>705</v>
      </c>
      <c r="F465" s="2" t="s">
        <v>1103</v>
      </c>
      <c r="G465" s="72">
        <v>3.23409905E8</v>
      </c>
    </row>
    <row r="466">
      <c r="A466" s="73" t="s">
        <v>1100</v>
      </c>
      <c r="B466" s="72">
        <v>7.9698972E7</v>
      </c>
      <c r="C466" s="74">
        <v>46212.75280832176</v>
      </c>
      <c r="D466" s="2" t="s">
        <v>628</v>
      </c>
      <c r="F466" s="2" t="s">
        <v>1104</v>
      </c>
      <c r="G466" s="72">
        <v>3.17440081E8</v>
      </c>
    </row>
    <row r="467">
      <c r="A467" s="73" t="s">
        <v>1100</v>
      </c>
      <c r="B467" s="72">
        <v>7.9698972E7</v>
      </c>
      <c r="C467" s="74">
        <v>46214.96043571759</v>
      </c>
      <c r="D467" s="2" t="s">
        <v>628</v>
      </c>
      <c r="F467" s="2" t="s">
        <v>1105</v>
      </c>
      <c r="G467" s="72">
        <v>3.19135171E8</v>
      </c>
    </row>
    <row r="468">
      <c r="A468" s="73" t="s">
        <v>1100</v>
      </c>
      <c r="B468" s="72">
        <v>7.9698972E7</v>
      </c>
      <c r="C468" s="74">
        <v>46221.45764978009</v>
      </c>
      <c r="D468" s="2" t="s">
        <v>653</v>
      </c>
      <c r="F468" s="2" t="s">
        <v>1106</v>
      </c>
      <c r="G468" s="72">
        <v>3.23409915E8</v>
      </c>
    </row>
    <row r="469">
      <c r="A469" s="73" t="s">
        <v>1100</v>
      </c>
      <c r="B469" s="72">
        <v>7.9698972E7</v>
      </c>
      <c r="C469" s="74">
        <v>46221.457645891205</v>
      </c>
      <c r="D469" s="2" t="s">
        <v>653</v>
      </c>
      <c r="F469" s="2" t="s">
        <v>1107</v>
      </c>
      <c r="G469" s="72">
        <v>3.23409913E8</v>
      </c>
    </row>
    <row r="470">
      <c r="A470" s="73" t="s">
        <v>1100</v>
      </c>
      <c r="B470" s="72">
        <v>7.9698972E7</v>
      </c>
      <c r="C470" s="74">
        <v>46221.45765380787</v>
      </c>
      <c r="D470" s="2" t="s">
        <v>653</v>
      </c>
      <c r="F470" s="2" t="s">
        <v>1108</v>
      </c>
      <c r="G470" s="72">
        <v>3.23409916E8</v>
      </c>
    </row>
    <row r="471">
      <c r="A471" s="73" t="s">
        <v>1100</v>
      </c>
      <c r="B471" s="72">
        <v>7.9698972E7</v>
      </c>
      <c r="C471" s="74">
        <v>46214.54416984954</v>
      </c>
      <c r="D471" s="2" t="s">
        <v>628</v>
      </c>
      <c r="F471" s="2" t="s">
        <v>630</v>
      </c>
      <c r="G471" s="72">
        <v>3.18706703E8</v>
      </c>
    </row>
    <row r="472">
      <c r="A472" s="73" t="s">
        <v>1100</v>
      </c>
      <c r="B472" s="72">
        <v>7.9698972E7</v>
      </c>
      <c r="C472" s="74">
        <v>46221.45762459491</v>
      </c>
      <c r="D472" s="2" t="s">
        <v>705</v>
      </c>
      <c r="F472" s="2" t="s">
        <v>756</v>
      </c>
      <c r="G472" s="72">
        <v>3.23409906E8</v>
      </c>
    </row>
    <row r="473">
      <c r="A473" s="73" t="s">
        <v>1100</v>
      </c>
      <c r="B473" s="72">
        <v>7.9698972E7</v>
      </c>
      <c r="C473" s="74">
        <v>46221.457628564815</v>
      </c>
      <c r="D473" s="2" t="s">
        <v>653</v>
      </c>
      <c r="F473" s="2" t="s">
        <v>1109</v>
      </c>
      <c r="G473" s="72">
        <v>3.23409907E8</v>
      </c>
    </row>
    <row r="474">
      <c r="A474" s="73" t="s">
        <v>1110</v>
      </c>
      <c r="B474" s="72">
        <v>8.3383976E7</v>
      </c>
      <c r="C474" s="74">
        <v>46234.75201364583</v>
      </c>
      <c r="D474" s="2" t="s">
        <v>628</v>
      </c>
      <c r="F474" s="2" t="s">
        <v>656</v>
      </c>
      <c r="G474" s="72">
        <v>3.32843387E8</v>
      </c>
    </row>
    <row r="475">
      <c r="A475" s="73" t="s">
        <v>1110</v>
      </c>
      <c r="B475" s="72">
        <v>8.3383976E7</v>
      </c>
      <c r="C475" s="74">
        <v>46234.802788263885</v>
      </c>
      <c r="D475" s="2" t="s">
        <v>653</v>
      </c>
      <c r="F475" s="2" t="s">
        <v>655</v>
      </c>
      <c r="G475" s="72">
        <v>3.32922688E8</v>
      </c>
    </row>
    <row r="476">
      <c r="A476" s="73" t="s">
        <v>1110</v>
      </c>
      <c r="B476" s="72">
        <v>8.3383976E7</v>
      </c>
      <c r="C476" s="74">
        <v>46234.80278540509</v>
      </c>
      <c r="D476" s="2" t="s">
        <v>653</v>
      </c>
      <c r="F476" s="2" t="s">
        <v>1111</v>
      </c>
      <c r="G476" s="72">
        <v>3.32922684E8</v>
      </c>
    </row>
    <row r="477">
      <c r="A477" s="73" t="s">
        <v>1112</v>
      </c>
      <c r="B477" s="72">
        <v>7.9700875E7</v>
      </c>
      <c r="C477" s="74">
        <v>46212.754388981484</v>
      </c>
      <c r="D477" s="2" t="s">
        <v>628</v>
      </c>
      <c r="F477" s="2" t="s">
        <v>1113</v>
      </c>
      <c r="G477" s="72">
        <v>3.17443946E8</v>
      </c>
    </row>
    <row r="478">
      <c r="A478" s="73" t="s">
        <v>1112</v>
      </c>
      <c r="B478" s="72">
        <v>7.9700875E7</v>
      </c>
      <c r="C478" s="74">
        <v>46214.96066462963</v>
      </c>
      <c r="D478" s="2" t="s">
        <v>628</v>
      </c>
      <c r="F478" s="2" t="s">
        <v>1114</v>
      </c>
      <c r="G478" s="72">
        <v>3.1913646E8</v>
      </c>
    </row>
    <row r="479">
      <c r="A479" s="73" t="s">
        <v>1112</v>
      </c>
      <c r="B479" s="72">
        <v>7.9700875E7</v>
      </c>
      <c r="C479" s="74">
        <v>46214.54422568287</v>
      </c>
      <c r="D479" s="2" t="s">
        <v>628</v>
      </c>
      <c r="F479" s="2" t="s">
        <v>630</v>
      </c>
      <c r="G479" s="72">
        <v>3.18707757E8</v>
      </c>
    </row>
    <row r="480">
      <c r="A480" s="73" t="s">
        <v>1115</v>
      </c>
      <c r="B480" s="72">
        <v>8.2450452E7</v>
      </c>
      <c r="C480" s="74">
        <v>46228.960746655095</v>
      </c>
      <c r="D480" s="2" t="s">
        <v>628</v>
      </c>
      <c r="F480" s="2" t="s">
        <v>1116</v>
      </c>
      <c r="G480" s="72">
        <v>3.28865448E8</v>
      </c>
    </row>
    <row r="481">
      <c r="A481" s="73" t="s">
        <v>1117</v>
      </c>
      <c r="B481" s="72">
        <v>8.2549191E7</v>
      </c>
      <c r="C481" s="74">
        <v>46231.54496883102</v>
      </c>
      <c r="D481" s="2" t="s">
        <v>628</v>
      </c>
      <c r="F481" s="2" t="s">
        <v>630</v>
      </c>
      <c r="G481" s="72">
        <v>3.30538584E8</v>
      </c>
    </row>
    <row r="482">
      <c r="A482" s="73" t="s">
        <v>1117</v>
      </c>
      <c r="B482" s="72">
        <v>8.2549191E7</v>
      </c>
      <c r="C482" s="74">
        <v>46231.96102155093</v>
      </c>
      <c r="D482" s="2" t="s">
        <v>628</v>
      </c>
      <c r="F482" s="2" t="s">
        <v>1118</v>
      </c>
      <c r="G482" s="72">
        <v>3.3091951E8</v>
      </c>
    </row>
    <row r="483">
      <c r="A483" s="73" t="s">
        <v>1117</v>
      </c>
      <c r="B483" s="72">
        <v>8.2549191E7</v>
      </c>
      <c r="C483" s="74">
        <v>46229.752631192125</v>
      </c>
      <c r="D483" s="2" t="s">
        <v>628</v>
      </c>
      <c r="F483" s="2" t="s">
        <v>1119</v>
      </c>
      <c r="G483" s="72">
        <v>3.2942739E8</v>
      </c>
    </row>
    <row r="484">
      <c r="A484" s="73" t="s">
        <v>1120</v>
      </c>
      <c r="B484" s="72">
        <v>8.2437391E7</v>
      </c>
      <c r="C484" s="74">
        <v>46228.91137375</v>
      </c>
      <c r="D484" s="2" t="s">
        <v>705</v>
      </c>
      <c r="F484" s="2" t="s">
        <v>1121</v>
      </c>
      <c r="G484" s="72">
        <v>3.28811685E8</v>
      </c>
    </row>
    <row r="485">
      <c r="A485" s="73" t="s">
        <v>1122</v>
      </c>
      <c r="B485" s="72">
        <v>8.2546636E7</v>
      </c>
      <c r="C485" s="74">
        <v>46230.6598422338</v>
      </c>
      <c r="D485" s="2" t="s">
        <v>653</v>
      </c>
      <c r="F485" s="2" t="s">
        <v>1123</v>
      </c>
      <c r="G485" s="72">
        <v>3.29988991E8</v>
      </c>
    </row>
    <row r="486">
      <c r="A486" s="73" t="s">
        <v>1122</v>
      </c>
      <c r="B486" s="72">
        <v>8.2546636E7</v>
      </c>
      <c r="C486" s="74">
        <v>46230.65984633102</v>
      </c>
      <c r="D486" s="2" t="s">
        <v>653</v>
      </c>
      <c r="F486" s="2" t="s">
        <v>1124</v>
      </c>
      <c r="G486" s="72">
        <v>3.29988992E8</v>
      </c>
    </row>
    <row r="487">
      <c r="A487" s="73" t="s">
        <v>1122</v>
      </c>
      <c r="B487" s="72">
        <v>8.2546636E7</v>
      </c>
      <c r="C487" s="74">
        <v>46230.65984936342</v>
      </c>
      <c r="D487" s="2" t="s">
        <v>653</v>
      </c>
      <c r="F487" s="2" t="s">
        <v>1124</v>
      </c>
      <c r="G487" s="72">
        <v>3.29988995E8</v>
      </c>
    </row>
    <row r="488">
      <c r="A488" s="73" t="s">
        <v>1122</v>
      </c>
      <c r="B488" s="72">
        <v>8.2546636E7</v>
      </c>
      <c r="C488" s="74">
        <v>46231.54381834491</v>
      </c>
      <c r="D488" s="2" t="s">
        <v>628</v>
      </c>
      <c r="F488" s="2" t="s">
        <v>630</v>
      </c>
      <c r="G488" s="72">
        <v>3.30519625E8</v>
      </c>
    </row>
    <row r="489">
      <c r="A489" s="73" t="s">
        <v>1122</v>
      </c>
      <c r="B489" s="72">
        <v>8.2546636E7</v>
      </c>
      <c r="C489" s="74">
        <v>46231.960226759256</v>
      </c>
      <c r="D489" s="2" t="s">
        <v>628</v>
      </c>
      <c r="F489" s="2" t="s">
        <v>1125</v>
      </c>
      <c r="G489" s="72">
        <v>3.3091678E8</v>
      </c>
    </row>
    <row r="490">
      <c r="A490" s="73" t="s">
        <v>1122</v>
      </c>
      <c r="B490" s="72">
        <v>8.2546636E7</v>
      </c>
      <c r="C490" s="74">
        <v>46229.75170025463</v>
      </c>
      <c r="D490" s="2" t="s">
        <v>628</v>
      </c>
      <c r="F490" s="2" t="s">
        <v>1126</v>
      </c>
      <c r="G490" s="72">
        <v>3.29420203E8</v>
      </c>
    </row>
    <row r="491">
      <c r="A491" s="73" t="s">
        <v>1127</v>
      </c>
      <c r="B491" s="72">
        <v>8.2861898E7</v>
      </c>
      <c r="C491" s="74">
        <v>46233.54540674768</v>
      </c>
      <c r="D491" s="2" t="s">
        <v>628</v>
      </c>
      <c r="F491" s="2" t="s">
        <v>630</v>
      </c>
      <c r="G491" s="72">
        <v>3.31864269E8</v>
      </c>
    </row>
    <row r="492">
      <c r="A492" s="73" t="s">
        <v>1127</v>
      </c>
      <c r="B492" s="72">
        <v>8.2861898E7</v>
      </c>
      <c r="C492" s="74">
        <v>46231.753156122686</v>
      </c>
      <c r="D492" s="2" t="s">
        <v>628</v>
      </c>
      <c r="F492" s="2" t="s">
        <v>708</v>
      </c>
      <c r="G492" s="72">
        <v>3.30728834E8</v>
      </c>
    </row>
    <row r="493">
      <c r="A493" s="73" t="s">
        <v>1127</v>
      </c>
      <c r="B493" s="72">
        <v>8.2861898E7</v>
      </c>
      <c r="C493" s="74">
        <v>46234.97987354167</v>
      </c>
      <c r="D493" s="2" t="s">
        <v>653</v>
      </c>
      <c r="F493" s="2" t="s">
        <v>1128</v>
      </c>
      <c r="G493" s="72">
        <v>3.33120484E8</v>
      </c>
    </row>
    <row r="494">
      <c r="A494" s="73" t="s">
        <v>1127</v>
      </c>
      <c r="B494" s="72">
        <v>8.2861898E7</v>
      </c>
      <c r="C494" s="74">
        <v>46231.805780821756</v>
      </c>
      <c r="D494" s="2" t="s">
        <v>653</v>
      </c>
      <c r="F494" s="2" t="s">
        <v>1128</v>
      </c>
      <c r="G494" s="72">
        <v>3.30780161E8</v>
      </c>
    </row>
    <row r="495">
      <c r="A495" s="73" t="s">
        <v>1127</v>
      </c>
      <c r="B495" s="72">
        <v>8.2861898E7</v>
      </c>
      <c r="C495" s="74">
        <v>46234.96143488426</v>
      </c>
      <c r="D495" s="2" t="s">
        <v>628</v>
      </c>
      <c r="F495" s="2" t="s">
        <v>709</v>
      </c>
      <c r="G495" s="72">
        <v>3.33103001E8</v>
      </c>
    </row>
    <row r="496">
      <c r="A496" s="73" t="s">
        <v>1127</v>
      </c>
      <c r="B496" s="72">
        <v>8.2861898E7</v>
      </c>
      <c r="C496" s="74">
        <v>46231.80577710648</v>
      </c>
      <c r="D496" s="2" t="s">
        <v>653</v>
      </c>
      <c r="F496" s="2" t="s">
        <v>1129</v>
      </c>
      <c r="G496" s="72">
        <v>3.30780159E8</v>
      </c>
    </row>
    <row r="497">
      <c r="A497" s="73" t="s">
        <v>1130</v>
      </c>
      <c r="B497" s="72">
        <v>8.1378488E7</v>
      </c>
      <c r="C497" s="74">
        <v>46224.56116734954</v>
      </c>
      <c r="D497" s="2" t="s">
        <v>653</v>
      </c>
      <c r="F497" s="2" t="s">
        <v>1131</v>
      </c>
      <c r="G497" s="72">
        <v>3.25632681E8</v>
      </c>
    </row>
    <row r="498">
      <c r="A498" s="73" t="s">
        <v>1130</v>
      </c>
      <c r="B498" s="72">
        <v>8.1378488E7</v>
      </c>
      <c r="C498" s="74">
        <v>46224.544192256944</v>
      </c>
      <c r="D498" s="2" t="s">
        <v>628</v>
      </c>
      <c r="F498" s="2" t="s">
        <v>630</v>
      </c>
      <c r="G498" s="72">
        <v>3.25610761E8</v>
      </c>
    </row>
    <row r="499">
      <c r="A499" s="73" t="s">
        <v>1130</v>
      </c>
      <c r="B499" s="72">
        <v>8.1378488E7</v>
      </c>
      <c r="C499" s="74">
        <v>46222.75170636574</v>
      </c>
      <c r="D499" s="2" t="s">
        <v>628</v>
      </c>
      <c r="F499" s="2" t="s">
        <v>1132</v>
      </c>
      <c r="G499" s="72">
        <v>3.24538242E8</v>
      </c>
    </row>
    <row r="500">
      <c r="A500" s="73" t="s">
        <v>1130</v>
      </c>
      <c r="B500" s="72">
        <v>8.1378488E7</v>
      </c>
      <c r="C500" s="74">
        <v>46222.76308502315</v>
      </c>
      <c r="D500" s="2" t="s">
        <v>653</v>
      </c>
      <c r="F500" s="2" t="s">
        <v>753</v>
      </c>
      <c r="G500" s="72">
        <v>3.24558605E8</v>
      </c>
    </row>
    <row r="501">
      <c r="A501" s="73" t="s">
        <v>1130</v>
      </c>
      <c r="B501" s="72">
        <v>8.1378488E7</v>
      </c>
      <c r="C501" s="74">
        <v>46222.76308034723</v>
      </c>
      <c r="D501" s="2" t="s">
        <v>705</v>
      </c>
      <c r="F501" s="2" t="s">
        <v>722</v>
      </c>
      <c r="G501" s="72">
        <v>3.24558603E8</v>
      </c>
    </row>
    <row r="502">
      <c r="A502" s="73" t="s">
        <v>1130</v>
      </c>
      <c r="B502" s="72">
        <v>8.1378488E7</v>
      </c>
      <c r="C502" s="74">
        <v>46222.76309006945</v>
      </c>
      <c r="D502" s="2" t="s">
        <v>653</v>
      </c>
      <c r="F502" s="2" t="s">
        <v>1133</v>
      </c>
      <c r="G502" s="72">
        <v>3.24558608E8</v>
      </c>
    </row>
    <row r="503">
      <c r="A503" s="73" t="s">
        <v>1130</v>
      </c>
      <c r="B503" s="72">
        <v>8.1378488E7</v>
      </c>
      <c r="C503" s="74">
        <v>46225.96035068287</v>
      </c>
      <c r="D503" s="2" t="s">
        <v>628</v>
      </c>
      <c r="F503" s="2" t="s">
        <v>1134</v>
      </c>
      <c r="G503" s="72">
        <v>3.2663023E8</v>
      </c>
    </row>
    <row r="504">
      <c r="A504" s="73" t="s">
        <v>1135</v>
      </c>
      <c r="B504" s="72">
        <v>8.254842E7</v>
      </c>
      <c r="C504" s="74">
        <v>46229.75231164352</v>
      </c>
      <c r="D504" s="2" t="s">
        <v>628</v>
      </c>
      <c r="F504" s="2" t="s">
        <v>1136</v>
      </c>
      <c r="G504" s="72">
        <v>3.29425165E8</v>
      </c>
    </row>
    <row r="505">
      <c r="A505" s="73" t="s">
        <v>1135</v>
      </c>
      <c r="B505" s="72">
        <v>8.254842E7</v>
      </c>
      <c r="C505" s="74">
        <v>46230.96043983796</v>
      </c>
      <c r="D505" s="2" t="s">
        <v>628</v>
      </c>
      <c r="F505" s="2" t="s">
        <v>1137</v>
      </c>
      <c r="G505" s="72">
        <v>3.30269495E8</v>
      </c>
    </row>
    <row r="506">
      <c r="A506" s="73" t="s">
        <v>1135</v>
      </c>
      <c r="B506" s="72">
        <v>8.254842E7</v>
      </c>
      <c r="C506" s="74">
        <v>46230.97609982639</v>
      </c>
      <c r="D506" s="2" t="s">
        <v>653</v>
      </c>
      <c r="F506" s="2" t="s">
        <v>1138</v>
      </c>
      <c r="G506" s="72">
        <v>3.30285359E8</v>
      </c>
    </row>
    <row r="507">
      <c r="A507" s="73" t="s">
        <v>1135</v>
      </c>
      <c r="B507" s="72">
        <v>8.254842E7</v>
      </c>
      <c r="C507" s="74">
        <v>46230.97610300926</v>
      </c>
      <c r="D507" s="2" t="s">
        <v>653</v>
      </c>
      <c r="F507" s="2" t="s">
        <v>1139</v>
      </c>
      <c r="G507" s="72">
        <v>3.30285363E8</v>
      </c>
    </row>
    <row r="508">
      <c r="A508" s="73" t="s">
        <v>1140</v>
      </c>
      <c r="B508" s="72">
        <v>8.1218725E7</v>
      </c>
      <c r="C508" s="74">
        <v>46222.96725238426</v>
      </c>
      <c r="D508" s="2" t="s">
        <v>653</v>
      </c>
      <c r="F508" s="2" t="s">
        <v>1141</v>
      </c>
      <c r="G508" s="72">
        <v>3.24732629E8</v>
      </c>
    </row>
    <row r="509">
      <c r="A509" s="73" t="s">
        <v>1140</v>
      </c>
      <c r="B509" s="72">
        <v>8.1218725E7</v>
      </c>
      <c r="C509" s="74">
        <v>46221.84221221065</v>
      </c>
      <c r="D509" s="2" t="s">
        <v>705</v>
      </c>
      <c r="F509" s="2" t="s">
        <v>1142</v>
      </c>
      <c r="G509" s="72">
        <v>3.23876367E8</v>
      </c>
    </row>
    <row r="510">
      <c r="A510" s="73" t="s">
        <v>1140</v>
      </c>
      <c r="B510" s="72">
        <v>8.1218725E7</v>
      </c>
      <c r="C510" s="74">
        <v>46221.752483344906</v>
      </c>
      <c r="D510" s="2" t="s">
        <v>628</v>
      </c>
      <c r="F510" s="2" t="s">
        <v>1143</v>
      </c>
      <c r="G510" s="72">
        <v>3.23775096E8</v>
      </c>
    </row>
    <row r="511">
      <c r="A511" s="73" t="s">
        <v>1140</v>
      </c>
      <c r="B511" s="72">
        <v>8.1218725E7</v>
      </c>
      <c r="C511" s="74">
        <v>46222.52658543982</v>
      </c>
      <c r="D511" s="2" t="s">
        <v>705</v>
      </c>
      <c r="F511" s="2" t="s">
        <v>1144</v>
      </c>
      <c r="G511" s="72">
        <v>3.24302677E8</v>
      </c>
    </row>
    <row r="512">
      <c r="A512" s="73" t="s">
        <v>1140</v>
      </c>
      <c r="B512" s="72">
        <v>8.1218725E7</v>
      </c>
      <c r="C512" s="74">
        <v>46221.75345585648</v>
      </c>
      <c r="D512" s="2" t="s">
        <v>653</v>
      </c>
      <c r="F512" s="2" t="s">
        <v>1145</v>
      </c>
      <c r="G512" s="72">
        <v>3.23782338E8</v>
      </c>
    </row>
    <row r="513">
      <c r="A513" s="73" t="s">
        <v>1140</v>
      </c>
      <c r="B513" s="72">
        <v>8.1218725E7</v>
      </c>
      <c r="C513" s="74">
        <v>46222.960621087965</v>
      </c>
      <c r="D513" s="2" t="s">
        <v>628</v>
      </c>
      <c r="F513" s="2" t="s">
        <v>1146</v>
      </c>
      <c r="G513" s="72">
        <v>3.2472579E8</v>
      </c>
    </row>
    <row r="514">
      <c r="A514" s="73" t="s">
        <v>1147</v>
      </c>
      <c r="B514" s="72">
        <v>8.2490457E7</v>
      </c>
      <c r="C514" s="74">
        <v>46229.46011677083</v>
      </c>
      <c r="D514" s="2" t="s">
        <v>628</v>
      </c>
      <c r="F514" s="2" t="s">
        <v>1148</v>
      </c>
      <c r="G514" s="72">
        <v>3.29037555E8</v>
      </c>
    </row>
    <row r="515">
      <c r="A515" s="73" t="s">
        <v>1147</v>
      </c>
      <c r="B515" s="72">
        <v>8.2490457E7</v>
      </c>
      <c r="C515" s="74">
        <v>46230.976115694444</v>
      </c>
      <c r="D515" s="2" t="s">
        <v>653</v>
      </c>
      <c r="F515" s="2" t="s">
        <v>1149</v>
      </c>
      <c r="G515" s="72">
        <v>3.30285372E8</v>
      </c>
    </row>
    <row r="516">
      <c r="A516" s="73" t="s">
        <v>1147</v>
      </c>
      <c r="B516" s="72">
        <v>8.2490457E7</v>
      </c>
      <c r="C516" s="74">
        <v>46229.43233998843</v>
      </c>
      <c r="D516" s="2" t="s">
        <v>705</v>
      </c>
      <c r="F516" s="2" t="s">
        <v>1150</v>
      </c>
      <c r="G516" s="72">
        <v>3.29024148E8</v>
      </c>
    </row>
    <row r="517">
      <c r="A517" s="73" t="s">
        <v>1147</v>
      </c>
      <c r="B517" s="72">
        <v>8.2490457E7</v>
      </c>
      <c r="C517" s="74">
        <v>46230.54427875</v>
      </c>
      <c r="D517" s="2" t="s">
        <v>628</v>
      </c>
      <c r="F517" s="2" t="s">
        <v>630</v>
      </c>
      <c r="G517" s="72">
        <v>3.29855451E8</v>
      </c>
    </row>
    <row r="518">
      <c r="A518" s="73" t="s">
        <v>1147</v>
      </c>
      <c r="B518" s="72">
        <v>8.2490457E7</v>
      </c>
      <c r="C518" s="74">
        <v>46233.431728310185</v>
      </c>
      <c r="D518" s="2" t="s">
        <v>653</v>
      </c>
      <c r="F518" s="2" t="s">
        <v>1151</v>
      </c>
      <c r="G518" s="72">
        <v>3.31723893E8</v>
      </c>
    </row>
    <row r="519">
      <c r="A519" s="73" t="s">
        <v>1147</v>
      </c>
      <c r="B519" s="72">
        <v>8.2490457E7</v>
      </c>
      <c r="C519" s="74">
        <v>46231.574348055554</v>
      </c>
      <c r="D519" s="2" t="s">
        <v>653</v>
      </c>
      <c r="F519" s="2" t="s">
        <v>1152</v>
      </c>
      <c r="G519" s="72">
        <v>3.30557505E8</v>
      </c>
    </row>
    <row r="520">
      <c r="A520" s="73" t="s">
        <v>1147</v>
      </c>
      <c r="B520" s="72">
        <v>8.2490457E7</v>
      </c>
      <c r="C520" s="74">
        <v>46230.959555821755</v>
      </c>
      <c r="D520" s="2" t="s">
        <v>628</v>
      </c>
      <c r="F520" s="2" t="s">
        <v>1153</v>
      </c>
      <c r="G520" s="72">
        <v>3.30266876E8</v>
      </c>
    </row>
    <row r="521">
      <c r="A521" s="73" t="s">
        <v>1154</v>
      </c>
      <c r="B521" s="72">
        <v>8.1252736E7</v>
      </c>
      <c r="C521" s="74">
        <v>46222.96726497685</v>
      </c>
      <c r="D521" s="2" t="s">
        <v>653</v>
      </c>
      <c r="F521" s="2" t="s">
        <v>1155</v>
      </c>
      <c r="G521" s="72">
        <v>3.24732638E8</v>
      </c>
    </row>
    <row r="522">
      <c r="A522" s="73" t="s">
        <v>1154</v>
      </c>
      <c r="B522" s="72">
        <v>8.1252736E7</v>
      </c>
      <c r="C522" s="74">
        <v>46223.615539074075</v>
      </c>
      <c r="D522" s="2" t="s">
        <v>653</v>
      </c>
      <c r="F522" s="2" t="s">
        <v>1156</v>
      </c>
      <c r="G522" s="72">
        <v>3.25053952E8</v>
      </c>
    </row>
    <row r="523">
      <c r="A523" s="73" t="s">
        <v>1154</v>
      </c>
      <c r="B523" s="72">
        <v>8.1252736E7</v>
      </c>
      <c r="C523" s="74">
        <v>46225.45793891203</v>
      </c>
      <c r="D523" s="2" t="s">
        <v>653</v>
      </c>
      <c r="F523" s="2" t="s">
        <v>1157</v>
      </c>
      <c r="G523" s="72">
        <v>3.26121503E8</v>
      </c>
    </row>
    <row r="524">
      <c r="A524" s="73" t="s">
        <v>1154</v>
      </c>
      <c r="B524" s="72">
        <v>8.1252736E7</v>
      </c>
      <c r="C524" s="74">
        <v>46221.853758391204</v>
      </c>
      <c r="D524" s="2" t="s">
        <v>628</v>
      </c>
      <c r="F524" s="2" t="s">
        <v>1158</v>
      </c>
      <c r="G524" s="72">
        <v>3.23884609E8</v>
      </c>
    </row>
    <row r="525">
      <c r="A525" s="73" t="s">
        <v>1154</v>
      </c>
      <c r="B525" s="72">
        <v>8.1252736E7</v>
      </c>
      <c r="C525" s="74">
        <v>46222.960530972225</v>
      </c>
      <c r="D525" s="2" t="s">
        <v>628</v>
      </c>
      <c r="F525" s="2" t="s">
        <v>1159</v>
      </c>
      <c r="G525" s="72">
        <v>3.24725516E8</v>
      </c>
    </row>
    <row r="526">
      <c r="A526" s="73" t="s">
        <v>1154</v>
      </c>
      <c r="B526" s="72">
        <v>8.1252736E7</v>
      </c>
      <c r="C526" s="74">
        <v>46222.96726168982</v>
      </c>
      <c r="D526" s="2" t="s">
        <v>653</v>
      </c>
      <c r="F526" s="2" t="s">
        <v>1160</v>
      </c>
      <c r="G526" s="72">
        <v>3.24732636E8</v>
      </c>
    </row>
    <row r="527">
      <c r="A527" s="73" t="s">
        <v>1161</v>
      </c>
      <c r="B527" s="72">
        <v>8.2383412E7</v>
      </c>
      <c r="C527" s="74">
        <v>46228.79752115741</v>
      </c>
      <c r="D527" s="2" t="s">
        <v>653</v>
      </c>
      <c r="F527" s="2" t="s">
        <v>1162</v>
      </c>
      <c r="G527" s="72">
        <v>3.28702799E8</v>
      </c>
    </row>
    <row r="528">
      <c r="A528" s="73" t="s">
        <v>1161</v>
      </c>
      <c r="B528" s="72">
        <v>8.2383412E7</v>
      </c>
      <c r="C528" s="74">
        <v>46228.79751671296</v>
      </c>
      <c r="D528" s="2" t="s">
        <v>705</v>
      </c>
      <c r="F528" s="2" t="s">
        <v>1163</v>
      </c>
      <c r="G528" s="72">
        <v>3.28702796E8</v>
      </c>
    </row>
    <row r="529">
      <c r="A529" s="73" t="s">
        <v>1161</v>
      </c>
      <c r="B529" s="72">
        <v>8.2383412E7</v>
      </c>
      <c r="C529" s="74">
        <v>46234.61895072917</v>
      </c>
      <c r="D529" s="2" t="s">
        <v>653</v>
      </c>
      <c r="F529" s="2" t="s">
        <v>1164</v>
      </c>
      <c r="G529" s="72">
        <v>3.32713675E8</v>
      </c>
    </row>
    <row r="530">
      <c r="A530" s="73" t="s">
        <v>1161</v>
      </c>
      <c r="B530" s="72">
        <v>8.2383412E7</v>
      </c>
      <c r="C530" s="74">
        <v>46230.54444469907</v>
      </c>
      <c r="D530" s="2" t="s">
        <v>628</v>
      </c>
      <c r="F530" s="2" t="s">
        <v>630</v>
      </c>
      <c r="G530" s="72">
        <v>3.29857921E8</v>
      </c>
    </row>
    <row r="531">
      <c r="A531" s="73" t="s">
        <v>1161</v>
      </c>
      <c r="B531" s="72">
        <v>8.2383412E7</v>
      </c>
      <c r="C531" s="74">
        <v>46228.75191322916</v>
      </c>
      <c r="D531" s="2" t="s">
        <v>628</v>
      </c>
      <c r="F531" s="2" t="s">
        <v>1165</v>
      </c>
      <c r="G531" s="72">
        <v>3.28641757E8</v>
      </c>
    </row>
    <row r="532">
      <c r="A532" s="73" t="s">
        <v>1161</v>
      </c>
      <c r="B532" s="72">
        <v>8.2383412E7</v>
      </c>
      <c r="C532" s="74">
        <v>46233.9598153125</v>
      </c>
      <c r="D532" s="2" t="s">
        <v>628</v>
      </c>
      <c r="F532" s="2" t="s">
        <v>1166</v>
      </c>
      <c r="G532" s="72">
        <v>3.32302513E8</v>
      </c>
    </row>
    <row r="533">
      <c r="A533" s="73" t="s">
        <v>1161</v>
      </c>
      <c r="B533" s="72">
        <v>8.2383412E7</v>
      </c>
      <c r="C533" s="74">
        <v>46228.797525625</v>
      </c>
      <c r="D533" s="2" t="s">
        <v>653</v>
      </c>
      <c r="F533" s="2" t="s">
        <v>1167</v>
      </c>
      <c r="G533" s="72">
        <v>3.28702805E8</v>
      </c>
    </row>
    <row r="534">
      <c r="A534" s="73" t="s">
        <v>1161</v>
      </c>
      <c r="B534" s="72">
        <v>8.2383412E7</v>
      </c>
      <c r="C534" s="74">
        <v>46233.97405736111</v>
      </c>
      <c r="D534" s="2" t="s">
        <v>653</v>
      </c>
      <c r="F534" s="2" t="s">
        <v>1167</v>
      </c>
      <c r="G534" s="72">
        <v>3.32321232E8</v>
      </c>
    </row>
    <row r="535">
      <c r="A535" s="73" t="s">
        <v>1168</v>
      </c>
      <c r="C535" s="74">
        <v>46213.75247561342</v>
      </c>
      <c r="D535" s="2" t="s">
        <v>628</v>
      </c>
      <c r="F535" s="2" t="s">
        <v>1169</v>
      </c>
      <c r="G535" s="72">
        <v>3.18175013E8</v>
      </c>
    </row>
    <row r="536">
      <c r="A536" s="73" t="s">
        <v>1168</v>
      </c>
      <c r="B536" s="72">
        <v>8.0421225E7</v>
      </c>
      <c r="C536" s="74">
        <v>46216.959930185185</v>
      </c>
      <c r="D536" s="2" t="s">
        <v>628</v>
      </c>
      <c r="F536" s="2" t="s">
        <v>1170</v>
      </c>
      <c r="G536" s="72">
        <v>3.20483061E8</v>
      </c>
    </row>
    <row r="537">
      <c r="A537" s="73" t="s">
        <v>1171</v>
      </c>
      <c r="B537" s="72">
        <v>8.254997E7</v>
      </c>
      <c r="C537" s="74">
        <v>46231.54442329861</v>
      </c>
      <c r="D537" s="2" t="s">
        <v>628</v>
      </c>
      <c r="F537" s="2" t="s">
        <v>630</v>
      </c>
      <c r="G537" s="72">
        <v>3.30529535E8</v>
      </c>
    </row>
    <row r="538">
      <c r="A538" s="73" t="s">
        <v>1171</v>
      </c>
      <c r="B538" s="72">
        <v>8.254997E7</v>
      </c>
      <c r="C538" s="74">
        <v>46229.75300862268</v>
      </c>
      <c r="D538" s="2" t="s">
        <v>628</v>
      </c>
      <c r="F538" s="2" t="s">
        <v>1172</v>
      </c>
      <c r="G538" s="72">
        <v>3.29429691E8</v>
      </c>
    </row>
    <row r="539">
      <c r="A539" s="73" t="s">
        <v>1171</v>
      </c>
      <c r="B539" s="72">
        <v>8.254997E7</v>
      </c>
      <c r="C539" s="74">
        <v>46231.96120181713</v>
      </c>
      <c r="D539" s="2" t="s">
        <v>628</v>
      </c>
      <c r="F539" s="2" t="s">
        <v>1173</v>
      </c>
      <c r="G539" s="72">
        <v>3.30919978E8</v>
      </c>
    </row>
    <row r="540">
      <c r="A540" s="73" t="s">
        <v>1174</v>
      </c>
      <c r="B540" s="72">
        <v>8.1085843E7</v>
      </c>
      <c r="C540" s="74">
        <v>46220.879598796295</v>
      </c>
      <c r="D540" s="2" t="s">
        <v>628</v>
      </c>
      <c r="F540" s="2" t="s">
        <v>1175</v>
      </c>
      <c r="G540" s="72">
        <v>3.23165111E8</v>
      </c>
    </row>
    <row r="541">
      <c r="A541" s="73" t="s">
        <v>1174</v>
      </c>
      <c r="B541" s="72">
        <v>8.1085843E7</v>
      </c>
      <c r="C541" s="74">
        <v>46221.96069828703</v>
      </c>
      <c r="D541" s="2" t="s">
        <v>628</v>
      </c>
      <c r="F541" s="2" t="s">
        <v>1176</v>
      </c>
      <c r="G541" s="72">
        <v>3.23996689E8</v>
      </c>
    </row>
    <row r="542">
      <c r="A542" s="73" t="s">
        <v>1177</v>
      </c>
      <c r="B542" s="72">
        <v>8.2450239E7</v>
      </c>
      <c r="C542" s="74">
        <v>46228.96034841435</v>
      </c>
      <c r="D542" s="2" t="s">
        <v>628</v>
      </c>
      <c r="F542" s="2" t="s">
        <v>855</v>
      </c>
      <c r="G542" s="72">
        <v>3.28863468E8</v>
      </c>
    </row>
    <row r="543">
      <c r="A543" s="73" t="s">
        <v>1177</v>
      </c>
      <c r="C543" s="74">
        <v>46227.75307537037</v>
      </c>
      <c r="D543" s="2" t="s">
        <v>628</v>
      </c>
      <c r="F543" s="2" t="s">
        <v>854</v>
      </c>
      <c r="G543" s="72">
        <v>3.27876841E8</v>
      </c>
    </row>
    <row r="544">
      <c r="A544" s="73" t="s">
        <v>1178</v>
      </c>
      <c r="B544" s="72">
        <v>8.251177E7</v>
      </c>
      <c r="C544" s="74">
        <v>46230.96087434028</v>
      </c>
      <c r="D544" s="2" t="s">
        <v>628</v>
      </c>
      <c r="F544" s="2" t="s">
        <v>657</v>
      </c>
      <c r="G544" s="72">
        <v>3.30270723E8</v>
      </c>
    </row>
    <row r="545">
      <c r="A545" s="73" t="s">
        <v>1178</v>
      </c>
      <c r="C545" s="74">
        <v>46227.752840127316</v>
      </c>
      <c r="D545" s="2" t="s">
        <v>628</v>
      </c>
      <c r="F545" s="2" t="s">
        <v>656</v>
      </c>
      <c r="G545" s="72">
        <v>3.27874571E8</v>
      </c>
    </row>
    <row r="546">
      <c r="A546" s="73" t="s">
        <v>1178</v>
      </c>
      <c r="B546" s="72">
        <v>8.251177E7</v>
      </c>
      <c r="C546" s="74">
        <v>46229.545570358794</v>
      </c>
      <c r="D546" s="2" t="s">
        <v>628</v>
      </c>
      <c r="F546" s="2" t="s">
        <v>630</v>
      </c>
      <c r="G546" s="72">
        <v>3.29213797E8</v>
      </c>
    </row>
    <row r="547">
      <c r="A547" s="73" t="s">
        <v>1179</v>
      </c>
      <c r="B547" s="72">
        <v>8.1526231E7</v>
      </c>
      <c r="C547" s="74">
        <v>46224.9617431713</v>
      </c>
      <c r="D547" s="2" t="s">
        <v>628</v>
      </c>
      <c r="F547" s="2" t="s">
        <v>1180</v>
      </c>
      <c r="G547" s="72">
        <v>3.2599121E8</v>
      </c>
    </row>
    <row r="548">
      <c r="A548" s="73" t="s">
        <v>1179</v>
      </c>
      <c r="B548" s="72">
        <v>8.1526231E7</v>
      </c>
      <c r="C548" s="74">
        <v>46223.75355894676</v>
      </c>
      <c r="D548" s="2" t="s">
        <v>628</v>
      </c>
      <c r="F548" s="2" t="s">
        <v>1181</v>
      </c>
      <c r="G548" s="72">
        <v>3.25172888E8</v>
      </c>
    </row>
    <row r="549">
      <c r="A549" s="73" t="s">
        <v>1182</v>
      </c>
      <c r="B549" s="72">
        <v>8.2604683E7</v>
      </c>
      <c r="C549" s="74">
        <v>46229.960502546295</v>
      </c>
      <c r="D549" s="2" t="s">
        <v>628</v>
      </c>
      <c r="F549" s="2" t="s">
        <v>1183</v>
      </c>
      <c r="G549" s="72">
        <v>3.29611471E8</v>
      </c>
    </row>
    <row r="550">
      <c r="A550" s="73" t="s">
        <v>1184</v>
      </c>
      <c r="B550" s="72">
        <v>8.0225875E7</v>
      </c>
      <c r="C550" s="74">
        <v>46218.961416886574</v>
      </c>
      <c r="D550" s="2" t="s">
        <v>628</v>
      </c>
      <c r="F550" s="2" t="s">
        <v>1185</v>
      </c>
      <c r="G550" s="72">
        <v>3.2177349E8</v>
      </c>
    </row>
    <row r="551">
      <c r="A551" s="73" t="s">
        <v>1184</v>
      </c>
      <c r="B551" s="72">
        <v>8.0225875E7</v>
      </c>
      <c r="C551" s="74">
        <v>46217.54495019676</v>
      </c>
      <c r="D551" s="2" t="s">
        <v>628</v>
      </c>
      <c r="F551" s="2" t="s">
        <v>630</v>
      </c>
      <c r="G551" s="72">
        <v>3.20744671E8</v>
      </c>
    </row>
    <row r="552">
      <c r="A552" s="73" t="s">
        <v>1184</v>
      </c>
      <c r="B552" s="72">
        <v>8.0225875E7</v>
      </c>
      <c r="C552" s="74">
        <v>46215.753311099535</v>
      </c>
      <c r="D552" s="2" t="s">
        <v>628</v>
      </c>
      <c r="F552" s="2" t="s">
        <v>1186</v>
      </c>
      <c r="G552" s="72">
        <v>3.19682882E8</v>
      </c>
    </row>
    <row r="553">
      <c r="A553" s="73" t="s">
        <v>1187</v>
      </c>
      <c r="B553" s="72">
        <v>7.8048881E7</v>
      </c>
      <c r="C553" s="74">
        <v>46204.95914574074</v>
      </c>
      <c r="D553" s="2" t="s">
        <v>628</v>
      </c>
      <c r="F553" s="2" t="s">
        <v>1188</v>
      </c>
      <c r="G553" s="72">
        <v>3.12378661E8</v>
      </c>
    </row>
    <row r="554">
      <c r="A554" s="73" t="s">
        <v>1189</v>
      </c>
      <c r="B554" s="72">
        <v>8.3148616E7</v>
      </c>
      <c r="C554" s="74">
        <v>46234.54492622685</v>
      </c>
      <c r="D554" s="2" t="s">
        <v>628</v>
      </c>
      <c r="F554" s="2" t="s">
        <v>630</v>
      </c>
      <c r="G554" s="72">
        <v>3.32618083E8</v>
      </c>
    </row>
    <row r="555">
      <c r="A555" s="73" t="s">
        <v>1189</v>
      </c>
      <c r="B555" s="72">
        <v>8.3148616E7</v>
      </c>
      <c r="C555" s="74">
        <v>46233.54703274305</v>
      </c>
      <c r="D555" s="2" t="s">
        <v>628</v>
      </c>
      <c r="F555" s="2" t="s">
        <v>1190</v>
      </c>
      <c r="G555" s="72">
        <v>3.3187939E8</v>
      </c>
    </row>
    <row r="556">
      <c r="A556" s="73" t="s">
        <v>1189</v>
      </c>
      <c r="B556" s="72">
        <v>8.3148616E7</v>
      </c>
      <c r="C556" s="74">
        <v>46234.960544456015</v>
      </c>
      <c r="D556" s="2" t="s">
        <v>628</v>
      </c>
      <c r="F556" s="2" t="s">
        <v>1191</v>
      </c>
      <c r="G556" s="72">
        <v>3.3310001E8</v>
      </c>
    </row>
    <row r="557">
      <c r="A557" s="73" t="s">
        <v>1192</v>
      </c>
      <c r="B557" s="72">
        <v>7.8976356E7</v>
      </c>
      <c r="C557" s="74">
        <v>46207.752594618054</v>
      </c>
      <c r="D557" s="2" t="s">
        <v>628</v>
      </c>
      <c r="F557" s="2" t="s">
        <v>776</v>
      </c>
      <c r="G557" s="72">
        <v>3.14291367E8</v>
      </c>
    </row>
    <row r="558">
      <c r="A558" s="73" t="s">
        <v>1192</v>
      </c>
      <c r="B558" s="72">
        <v>7.8976356E7</v>
      </c>
      <c r="C558" s="74">
        <v>46208.96040671296</v>
      </c>
      <c r="D558" s="2" t="s">
        <v>628</v>
      </c>
      <c r="F558" s="2" t="s">
        <v>1193</v>
      </c>
      <c r="G558" s="72">
        <v>3.15165164E8</v>
      </c>
    </row>
    <row r="559">
      <c r="A559" s="73" t="s">
        <v>1192</v>
      </c>
      <c r="B559" s="72">
        <v>7.8976356E7</v>
      </c>
      <c r="C559" s="74">
        <v>46207.760470821755</v>
      </c>
      <c r="D559" s="2" t="s">
        <v>705</v>
      </c>
      <c r="F559" s="2" t="s">
        <v>1194</v>
      </c>
      <c r="G559" s="72">
        <v>3.14303258E8</v>
      </c>
    </row>
    <row r="560">
      <c r="A560" s="73" t="s">
        <v>1195</v>
      </c>
      <c r="B560" s="72">
        <v>8.1108406E7</v>
      </c>
      <c r="C560" s="74">
        <v>46220.96050917824</v>
      </c>
      <c r="D560" s="2" t="s">
        <v>628</v>
      </c>
      <c r="F560" s="2" t="s">
        <v>1196</v>
      </c>
      <c r="G560" s="72">
        <v>3.23245105E8</v>
      </c>
    </row>
    <row r="561">
      <c r="A561" s="73" t="s">
        <v>1195</v>
      </c>
      <c r="C561" s="74">
        <v>46219.75360520833</v>
      </c>
      <c r="D561" s="2" t="s">
        <v>628</v>
      </c>
      <c r="F561" s="2" t="s">
        <v>1197</v>
      </c>
      <c r="G561" s="72">
        <v>3.22251812E8</v>
      </c>
    </row>
    <row r="562">
      <c r="A562" s="73" t="s">
        <v>1198</v>
      </c>
      <c r="B562" s="72">
        <v>7.9535805E7</v>
      </c>
      <c r="C562" s="74">
        <v>46211.7518421875</v>
      </c>
      <c r="D562" s="2" t="s">
        <v>628</v>
      </c>
      <c r="F562" s="2" t="s">
        <v>681</v>
      </c>
      <c r="G562" s="72">
        <v>3.16789041E8</v>
      </c>
    </row>
    <row r="563">
      <c r="A563" s="73" t="s">
        <v>1198</v>
      </c>
      <c r="B563" s="72">
        <v>7.9535805E7</v>
      </c>
      <c r="C563" s="74">
        <v>46212.9600705787</v>
      </c>
      <c r="D563" s="2" t="s">
        <v>628</v>
      </c>
      <c r="F563" s="2" t="s">
        <v>680</v>
      </c>
      <c r="G563" s="72">
        <v>3.17657982E8</v>
      </c>
    </row>
    <row r="564">
      <c r="A564" s="73" t="s">
        <v>1199</v>
      </c>
      <c r="B564" s="72">
        <v>8.2080856E7</v>
      </c>
      <c r="C564" s="74">
        <v>46226.96017322916</v>
      </c>
      <c r="D564" s="2" t="s">
        <v>628</v>
      </c>
      <c r="F564" s="2" t="s">
        <v>1200</v>
      </c>
      <c r="G564" s="72">
        <v>3.27336944E8</v>
      </c>
    </row>
    <row r="565">
      <c r="A565" s="73" t="s">
        <v>1199</v>
      </c>
      <c r="C565" s="74">
        <v>46225.752433182875</v>
      </c>
      <c r="D565" s="2" t="s">
        <v>628</v>
      </c>
      <c r="F565" s="2" t="s">
        <v>1201</v>
      </c>
      <c r="G565" s="72">
        <v>3.26431574E8</v>
      </c>
    </row>
    <row r="566">
      <c r="A566" s="73" t="s">
        <v>1202</v>
      </c>
      <c r="B566" s="72">
        <v>7.8624928E7</v>
      </c>
      <c r="C566" s="74">
        <v>46207.960999814815</v>
      </c>
      <c r="D566" s="2" t="s">
        <v>628</v>
      </c>
      <c r="F566" s="2" t="s">
        <v>1203</v>
      </c>
      <c r="G566" s="72">
        <v>3.14486221E8</v>
      </c>
    </row>
    <row r="567">
      <c r="A567" s="73" t="s">
        <v>1202</v>
      </c>
      <c r="B567" s="72">
        <v>7.8624928E7</v>
      </c>
      <c r="C567" s="74">
        <v>46205.75300931713</v>
      </c>
      <c r="D567" s="2" t="s">
        <v>628</v>
      </c>
      <c r="F567" s="2" t="s">
        <v>1204</v>
      </c>
      <c r="G567" s="72">
        <v>3.1283556E8</v>
      </c>
    </row>
    <row r="568">
      <c r="A568" s="73" t="s">
        <v>1202</v>
      </c>
      <c r="B568" s="72">
        <v>7.8624928E7</v>
      </c>
      <c r="C568" s="74">
        <v>46207.544648333336</v>
      </c>
      <c r="D568" s="2" t="s">
        <v>628</v>
      </c>
      <c r="F568" s="2" t="s">
        <v>630</v>
      </c>
      <c r="G568" s="72">
        <v>3.14088507E8</v>
      </c>
    </row>
    <row r="569">
      <c r="A569" s="73" t="s">
        <v>1205</v>
      </c>
      <c r="B569" s="72">
        <v>8.2862475E7</v>
      </c>
      <c r="C569" s="74">
        <v>46231.753375879634</v>
      </c>
      <c r="D569" s="2" t="s">
        <v>628</v>
      </c>
      <c r="F569" s="2" t="s">
        <v>775</v>
      </c>
      <c r="G569" s="72">
        <v>3.30730339E8</v>
      </c>
    </row>
    <row r="570">
      <c r="A570" s="73" t="s">
        <v>1205</v>
      </c>
      <c r="B570" s="72">
        <v>8.2862475E7</v>
      </c>
      <c r="C570" s="74">
        <v>46234.96192981482</v>
      </c>
      <c r="D570" s="2" t="s">
        <v>628</v>
      </c>
      <c r="F570" s="2" t="s">
        <v>849</v>
      </c>
      <c r="G570" s="72">
        <v>3.33104729E8</v>
      </c>
    </row>
    <row r="571">
      <c r="A571" s="73" t="s">
        <v>1205</v>
      </c>
      <c r="B571" s="72">
        <v>8.2862475E7</v>
      </c>
      <c r="C571" s="74">
        <v>46233.54595890046</v>
      </c>
      <c r="D571" s="2" t="s">
        <v>628</v>
      </c>
      <c r="F571" s="2" t="s">
        <v>630</v>
      </c>
      <c r="G571" s="72">
        <v>3.31873871E8</v>
      </c>
    </row>
    <row r="572">
      <c r="A572" s="73" t="s">
        <v>1206</v>
      </c>
      <c r="B572" s="72">
        <v>8.2384887E7</v>
      </c>
      <c r="C572" s="74">
        <v>46229.96034942129</v>
      </c>
      <c r="D572" s="2" t="s">
        <v>628</v>
      </c>
      <c r="F572" s="2" t="s">
        <v>1207</v>
      </c>
      <c r="G572" s="72">
        <v>3.2961102E8</v>
      </c>
    </row>
    <row r="573">
      <c r="A573" s="73" t="s">
        <v>1206</v>
      </c>
      <c r="B573" s="72">
        <v>8.2384887E7</v>
      </c>
      <c r="C573" s="74">
        <v>46232.47285414352</v>
      </c>
      <c r="D573" s="2" t="s">
        <v>653</v>
      </c>
      <c r="F573" s="2" t="s">
        <v>1208</v>
      </c>
      <c r="G573" s="72">
        <v>3.31096069E8</v>
      </c>
    </row>
    <row r="574">
      <c r="A574" s="73" t="s">
        <v>1206</v>
      </c>
      <c r="B574" s="72">
        <v>8.2384887E7</v>
      </c>
      <c r="C574" s="74">
        <v>46228.79747173611</v>
      </c>
      <c r="D574" s="2" t="s">
        <v>653</v>
      </c>
      <c r="F574" s="2" t="s">
        <v>1209</v>
      </c>
      <c r="G574" s="72">
        <v>3.28702751E8</v>
      </c>
    </row>
    <row r="575">
      <c r="A575" s="73" t="s">
        <v>1206</v>
      </c>
      <c r="B575" s="72">
        <v>8.2384887E7</v>
      </c>
      <c r="C575" s="74">
        <v>46228.79747532407</v>
      </c>
      <c r="D575" s="2" t="s">
        <v>653</v>
      </c>
      <c r="F575" s="2" t="s">
        <v>1210</v>
      </c>
      <c r="G575" s="72">
        <v>3.28702755E8</v>
      </c>
    </row>
    <row r="576">
      <c r="A576" s="73" t="s">
        <v>1206</v>
      </c>
      <c r="B576" s="72">
        <v>8.2384887E7</v>
      </c>
      <c r="C576" s="74">
        <v>46228.75253841435</v>
      </c>
      <c r="D576" s="2" t="s">
        <v>628</v>
      </c>
      <c r="F576" s="2" t="s">
        <v>1211</v>
      </c>
      <c r="G576" s="72">
        <v>3.28645833E8</v>
      </c>
    </row>
    <row r="577">
      <c r="A577" s="73" t="s">
        <v>1206</v>
      </c>
      <c r="B577" s="72">
        <v>8.2384887E7</v>
      </c>
      <c r="C577" s="74">
        <v>46232.47285837963</v>
      </c>
      <c r="D577" s="2" t="s">
        <v>653</v>
      </c>
      <c r="F577" s="2" t="s">
        <v>1212</v>
      </c>
      <c r="G577" s="72">
        <v>3.3109607E8</v>
      </c>
    </row>
    <row r="578">
      <c r="A578" s="73" t="s">
        <v>1206</v>
      </c>
      <c r="B578" s="72">
        <v>8.2384887E7</v>
      </c>
      <c r="C578" s="74">
        <v>46232.47284966435</v>
      </c>
      <c r="D578" s="2" t="s">
        <v>653</v>
      </c>
      <c r="F578" s="2" t="s">
        <v>1210</v>
      </c>
      <c r="G578" s="72">
        <v>3.31096067E8</v>
      </c>
    </row>
    <row r="579">
      <c r="A579" s="73" t="s">
        <v>1213</v>
      </c>
      <c r="B579" s="72">
        <v>8.2187659E7</v>
      </c>
      <c r="C579" s="74">
        <v>46231.544016898144</v>
      </c>
      <c r="D579" s="2" t="s">
        <v>628</v>
      </c>
      <c r="F579" s="2" t="s">
        <v>630</v>
      </c>
      <c r="G579" s="72">
        <v>3.30522635E8</v>
      </c>
    </row>
    <row r="580">
      <c r="A580" s="73" t="s">
        <v>1213</v>
      </c>
      <c r="B580" s="72">
        <v>8.2187659E7</v>
      </c>
      <c r="C580" s="74">
        <v>46227.751410729164</v>
      </c>
      <c r="D580" s="2" t="s">
        <v>628</v>
      </c>
      <c r="F580" s="2" t="s">
        <v>1214</v>
      </c>
      <c r="G580" s="72">
        <v>3.27864227E8</v>
      </c>
    </row>
    <row r="581">
      <c r="A581" s="73" t="s">
        <v>1213</v>
      </c>
      <c r="B581" s="72">
        <v>8.2187659E7</v>
      </c>
      <c r="C581" s="74">
        <v>46229.959358645836</v>
      </c>
      <c r="D581" s="2" t="s">
        <v>628</v>
      </c>
      <c r="F581" s="2" t="s">
        <v>1215</v>
      </c>
      <c r="G581" s="72">
        <v>3.29608055E8</v>
      </c>
    </row>
    <row r="582">
      <c r="A582" s="73" t="s">
        <v>1213</v>
      </c>
      <c r="B582" s="72">
        <v>8.2187659E7</v>
      </c>
      <c r="C582" s="74">
        <v>46229.752490949075</v>
      </c>
      <c r="D582" s="2" t="s">
        <v>628</v>
      </c>
      <c r="F582" s="2" t="s">
        <v>1214</v>
      </c>
      <c r="G582" s="72">
        <v>3.29426475E8</v>
      </c>
    </row>
    <row r="583">
      <c r="A583" s="73" t="s">
        <v>1213</v>
      </c>
      <c r="B583" s="72">
        <v>8.2187659E7</v>
      </c>
      <c r="C583" s="74">
        <v>46232.96046055555</v>
      </c>
      <c r="D583" s="2" t="s">
        <v>628</v>
      </c>
      <c r="F583" s="2" t="s">
        <v>1215</v>
      </c>
      <c r="G583" s="72">
        <v>3.31585895E8</v>
      </c>
    </row>
    <row r="584">
      <c r="A584" s="73" t="s">
        <v>1213</v>
      </c>
      <c r="B584" s="72">
        <v>8.2187659E7</v>
      </c>
      <c r="C584" s="74">
        <v>46229.54283136574</v>
      </c>
      <c r="D584" s="2" t="s">
        <v>628</v>
      </c>
      <c r="F584" s="2" t="s">
        <v>630</v>
      </c>
      <c r="G584" s="72">
        <v>3.29187396E8</v>
      </c>
    </row>
    <row r="585">
      <c r="A585" s="73" t="s">
        <v>1216</v>
      </c>
      <c r="B585" s="72">
        <v>8.0923798E7</v>
      </c>
      <c r="C585" s="74">
        <v>46219.961299884264</v>
      </c>
      <c r="D585" s="2" t="s">
        <v>628</v>
      </c>
      <c r="F585" s="2" t="s">
        <v>928</v>
      </c>
      <c r="G585" s="72">
        <v>3.22479818E8</v>
      </c>
    </row>
    <row r="586">
      <c r="A586" s="73" t="s">
        <v>1216</v>
      </c>
      <c r="C586" s="74">
        <v>46218.7527552199</v>
      </c>
      <c r="D586" s="2" t="s">
        <v>628</v>
      </c>
      <c r="F586" s="2" t="s">
        <v>927</v>
      </c>
      <c r="G586" s="72">
        <v>3.21573087E8</v>
      </c>
    </row>
    <row r="587">
      <c r="A587" s="73" t="s">
        <v>1217</v>
      </c>
      <c r="B587" s="72">
        <v>8.2385975E7</v>
      </c>
      <c r="C587" s="74">
        <v>46233.431746689814</v>
      </c>
      <c r="D587" s="2" t="s">
        <v>653</v>
      </c>
      <c r="F587" s="2" t="s">
        <v>1218</v>
      </c>
      <c r="G587" s="72">
        <v>3.31723895E8</v>
      </c>
    </row>
    <row r="588">
      <c r="A588" s="73" t="s">
        <v>1217</v>
      </c>
      <c r="B588" s="72">
        <v>8.2385975E7</v>
      </c>
      <c r="C588" s="74">
        <v>46230.54558240741</v>
      </c>
      <c r="D588" s="2" t="s">
        <v>628</v>
      </c>
      <c r="F588" s="2" t="s">
        <v>630</v>
      </c>
      <c r="G588" s="72">
        <v>3.29875699E8</v>
      </c>
    </row>
    <row r="589">
      <c r="A589" s="73" t="s">
        <v>1217</v>
      </c>
      <c r="B589" s="72">
        <v>8.2385975E7</v>
      </c>
      <c r="C589" s="74">
        <v>46228.79756771991</v>
      </c>
      <c r="D589" s="2" t="s">
        <v>653</v>
      </c>
      <c r="F589" s="2" t="s">
        <v>1219</v>
      </c>
      <c r="G589" s="72">
        <v>3.28702846E8</v>
      </c>
    </row>
    <row r="590">
      <c r="A590" s="73" t="s">
        <v>1217</v>
      </c>
      <c r="B590" s="72">
        <v>8.2385975E7</v>
      </c>
      <c r="C590" s="74">
        <v>46230.97609053241</v>
      </c>
      <c r="D590" s="2" t="s">
        <v>653</v>
      </c>
      <c r="F590" s="2" t="s">
        <v>1220</v>
      </c>
      <c r="G590" s="72">
        <v>3.30285352E8</v>
      </c>
    </row>
    <row r="591">
      <c r="A591" s="73" t="s">
        <v>1217</v>
      </c>
      <c r="B591" s="72">
        <v>8.2385975E7</v>
      </c>
      <c r="C591" s="74">
        <v>46233.43174980324</v>
      </c>
      <c r="D591" s="2" t="s">
        <v>653</v>
      </c>
      <c r="F591" s="2" t="s">
        <v>1221</v>
      </c>
      <c r="G591" s="72">
        <v>3.31723896E8</v>
      </c>
    </row>
    <row r="592">
      <c r="A592" s="73" t="s">
        <v>1217</v>
      </c>
      <c r="B592" s="72">
        <v>8.2385975E7</v>
      </c>
      <c r="C592" s="74">
        <v>46228.79757196759</v>
      </c>
      <c r="D592" s="2" t="s">
        <v>653</v>
      </c>
      <c r="F592" s="2" t="s">
        <v>1220</v>
      </c>
      <c r="G592" s="72">
        <v>3.28702849E8</v>
      </c>
    </row>
    <row r="593">
      <c r="A593" s="73" t="s">
        <v>1217</v>
      </c>
      <c r="B593" s="72">
        <v>8.2385975E7</v>
      </c>
      <c r="C593" s="74">
        <v>46230.96147898148</v>
      </c>
      <c r="D593" s="2" t="s">
        <v>628</v>
      </c>
      <c r="F593" s="2" t="s">
        <v>730</v>
      </c>
      <c r="G593" s="72">
        <v>3.30272511E8</v>
      </c>
    </row>
    <row r="594">
      <c r="A594" s="73" t="s">
        <v>1217</v>
      </c>
      <c r="B594" s="72">
        <v>8.2385975E7</v>
      </c>
      <c r="C594" s="74">
        <v>46228.75298858796</v>
      </c>
      <c r="D594" s="2" t="s">
        <v>628</v>
      </c>
      <c r="F594" s="2" t="s">
        <v>731</v>
      </c>
      <c r="G594" s="72">
        <v>3.28648829E8</v>
      </c>
    </row>
    <row r="595">
      <c r="A595" s="73" t="s">
        <v>1222</v>
      </c>
      <c r="B595" s="72">
        <v>8.1028656E7</v>
      </c>
      <c r="C595" s="74">
        <v>46221.95962228009</v>
      </c>
      <c r="D595" s="2" t="s">
        <v>628</v>
      </c>
      <c r="F595" s="2" t="s">
        <v>1223</v>
      </c>
      <c r="G595" s="72">
        <v>3.23990414E8</v>
      </c>
    </row>
    <row r="596">
      <c r="A596" s="73" t="s">
        <v>1222</v>
      </c>
      <c r="B596" s="72">
        <v>8.1028656E7</v>
      </c>
      <c r="C596" s="74">
        <v>46220.75230429399</v>
      </c>
      <c r="D596" s="2" t="s">
        <v>628</v>
      </c>
      <c r="F596" s="2" t="s">
        <v>890</v>
      </c>
      <c r="G596" s="72">
        <v>3.22999517E8</v>
      </c>
    </row>
    <row r="597">
      <c r="A597" s="73" t="s">
        <v>1222</v>
      </c>
      <c r="B597" s="72">
        <v>8.1028656E7</v>
      </c>
      <c r="C597" s="74">
        <v>46220.7566825463</v>
      </c>
      <c r="D597" s="2" t="s">
        <v>653</v>
      </c>
      <c r="F597" s="2" t="s">
        <v>1224</v>
      </c>
      <c r="G597" s="72">
        <v>3.23017334E8</v>
      </c>
    </row>
    <row r="598">
      <c r="A598" s="73" t="s">
        <v>1222</v>
      </c>
      <c r="B598" s="72">
        <v>8.1028656E7</v>
      </c>
      <c r="C598" s="74">
        <v>46220.75667721065</v>
      </c>
      <c r="D598" s="2" t="s">
        <v>653</v>
      </c>
      <c r="F598" s="2" t="s">
        <v>919</v>
      </c>
      <c r="G598" s="72">
        <v>3.23017329E8</v>
      </c>
    </row>
    <row r="599">
      <c r="A599" s="73" t="s">
        <v>1222</v>
      </c>
      <c r="B599" s="72">
        <v>8.1028656E7</v>
      </c>
      <c r="C599" s="74">
        <v>46220.756672013886</v>
      </c>
      <c r="D599" s="2" t="s">
        <v>705</v>
      </c>
      <c r="F599" s="2" t="s">
        <v>1225</v>
      </c>
      <c r="G599" s="72">
        <v>3.23017327E8</v>
      </c>
    </row>
    <row r="600">
      <c r="A600" s="73" t="s">
        <v>1226</v>
      </c>
      <c r="B600" s="72">
        <v>8.2604543E7</v>
      </c>
      <c r="C600" s="74">
        <v>46229.960174224536</v>
      </c>
      <c r="D600" s="2" t="s">
        <v>628</v>
      </c>
      <c r="F600" s="2" t="s">
        <v>638</v>
      </c>
      <c r="G600" s="72">
        <v>3.29610269E8</v>
      </c>
    </row>
    <row r="601">
      <c r="A601" s="73" t="s">
        <v>1226</v>
      </c>
      <c r="C601" s="74">
        <v>46228.751640787035</v>
      </c>
      <c r="D601" s="2" t="s">
        <v>628</v>
      </c>
      <c r="F601" s="2" t="s">
        <v>639</v>
      </c>
      <c r="G601" s="72">
        <v>3.28639647E8</v>
      </c>
    </row>
    <row r="602">
      <c r="A602" s="73" t="s">
        <v>1227</v>
      </c>
      <c r="B602" s="72">
        <v>7.9879426E7</v>
      </c>
      <c r="C602" s="74">
        <v>46214.9599437037</v>
      </c>
      <c r="D602" s="2" t="s">
        <v>628</v>
      </c>
      <c r="F602" s="2" t="s">
        <v>998</v>
      </c>
      <c r="G602" s="72">
        <v>3.19132389E8</v>
      </c>
    </row>
    <row r="603">
      <c r="A603" s="73" t="s">
        <v>1227</v>
      </c>
      <c r="B603" s="72">
        <v>7.9879426E7</v>
      </c>
      <c r="C603" s="74">
        <v>46213.75211439814</v>
      </c>
      <c r="D603" s="2" t="s">
        <v>628</v>
      </c>
      <c r="F603" s="2" t="s">
        <v>997</v>
      </c>
      <c r="G603" s="72">
        <v>3.18171366E8</v>
      </c>
    </row>
    <row r="604">
      <c r="A604" s="73" t="s">
        <v>1228</v>
      </c>
      <c r="B604" s="72">
        <v>7.8803301E7</v>
      </c>
      <c r="C604" s="74">
        <v>46207.960753645835</v>
      </c>
      <c r="D604" s="2" t="s">
        <v>628</v>
      </c>
      <c r="F604" s="2" t="s">
        <v>1229</v>
      </c>
      <c r="G604" s="72">
        <v>3.14484765E8</v>
      </c>
    </row>
    <row r="605">
      <c r="A605" s="73" t="s">
        <v>1228</v>
      </c>
      <c r="B605" s="72">
        <v>7.8803301E7</v>
      </c>
      <c r="C605" s="74">
        <v>46206.75220184028</v>
      </c>
      <c r="D605" s="2" t="s">
        <v>628</v>
      </c>
      <c r="F605" s="2" t="s">
        <v>1230</v>
      </c>
      <c r="G605" s="72">
        <v>3.13560973E8</v>
      </c>
    </row>
    <row r="606">
      <c r="A606" s="73" t="s">
        <v>1231</v>
      </c>
      <c r="B606" s="72">
        <v>8.3386308E7</v>
      </c>
      <c r="C606" s="74">
        <v>46234.80282841435</v>
      </c>
      <c r="D606" s="2" t="s">
        <v>653</v>
      </c>
      <c r="F606" s="2" t="s">
        <v>1232</v>
      </c>
      <c r="G606" s="72">
        <v>3.32922726E8</v>
      </c>
    </row>
    <row r="607">
      <c r="A607" s="73" t="s">
        <v>1231</v>
      </c>
      <c r="B607" s="72">
        <v>8.3386308E7</v>
      </c>
      <c r="C607" s="74">
        <v>46234.75269891204</v>
      </c>
      <c r="D607" s="2" t="s">
        <v>628</v>
      </c>
      <c r="F607" s="2" t="s">
        <v>647</v>
      </c>
      <c r="G607" s="72">
        <v>3.32848469E8</v>
      </c>
    </row>
    <row r="608">
      <c r="A608" s="73" t="s">
        <v>1231</v>
      </c>
      <c r="B608" s="72">
        <v>8.3386308E7</v>
      </c>
      <c r="C608" s="74">
        <v>46234.80283172453</v>
      </c>
      <c r="D608" s="2" t="s">
        <v>653</v>
      </c>
      <c r="F608" s="2" t="s">
        <v>1233</v>
      </c>
      <c r="G608" s="72">
        <v>3.32922733E8</v>
      </c>
    </row>
    <row r="609">
      <c r="A609" s="73" t="s">
        <v>1231</v>
      </c>
      <c r="B609" s="72">
        <v>8.3386308E7</v>
      </c>
      <c r="C609" s="74">
        <v>46234.81399953704</v>
      </c>
      <c r="D609" s="2" t="s">
        <v>667</v>
      </c>
      <c r="E609" s="2" t="s">
        <v>886</v>
      </c>
      <c r="F609" s="2" t="s">
        <v>1234</v>
      </c>
      <c r="G609" s="72">
        <v>3.32932401E8</v>
      </c>
    </row>
    <row r="610">
      <c r="A610" s="73" t="s">
        <v>1231</v>
      </c>
      <c r="B610" s="72">
        <v>8.3386308E7</v>
      </c>
      <c r="C610" s="74">
        <v>46234.80282484954</v>
      </c>
      <c r="D610" s="2" t="s">
        <v>705</v>
      </c>
      <c r="F610" s="2" t="s">
        <v>1235</v>
      </c>
      <c r="G610" s="72">
        <v>3.3292272E8</v>
      </c>
    </row>
    <row r="611">
      <c r="A611" s="73" t="s">
        <v>1236</v>
      </c>
      <c r="B611" s="72">
        <v>8.1215971E7</v>
      </c>
      <c r="C611" s="74">
        <v>46221.751430000004</v>
      </c>
      <c r="D611" s="2" t="s">
        <v>628</v>
      </c>
      <c r="F611" s="2" t="s">
        <v>1237</v>
      </c>
      <c r="G611" s="72">
        <v>3.2376798E8</v>
      </c>
    </row>
    <row r="612">
      <c r="A612" s="73" t="s">
        <v>1236</v>
      </c>
      <c r="B612" s="72">
        <v>8.1215971E7</v>
      </c>
      <c r="C612" s="74">
        <v>46222.95964909722</v>
      </c>
      <c r="D612" s="2" t="s">
        <v>628</v>
      </c>
      <c r="F612" s="2" t="s">
        <v>1238</v>
      </c>
      <c r="G612" s="72">
        <v>3.24722293E8</v>
      </c>
    </row>
    <row r="613">
      <c r="A613" s="73" t="s">
        <v>1239</v>
      </c>
      <c r="B613" s="72">
        <v>7.8760192E7</v>
      </c>
      <c r="C613" s="74">
        <v>46206.544906828705</v>
      </c>
      <c r="D613" s="2" t="s">
        <v>628</v>
      </c>
      <c r="F613" s="2" t="s">
        <v>630</v>
      </c>
      <c r="G613" s="72">
        <v>3.13351445E8</v>
      </c>
    </row>
    <row r="614">
      <c r="A614" s="73" t="s">
        <v>1239</v>
      </c>
      <c r="B614" s="72">
        <v>7.8760192E7</v>
      </c>
      <c r="C614" s="74">
        <v>46207.96154938657</v>
      </c>
      <c r="D614" s="2" t="s">
        <v>628</v>
      </c>
      <c r="F614" s="2" t="s">
        <v>1240</v>
      </c>
      <c r="G614" s="72">
        <v>3.14488883E8</v>
      </c>
    </row>
    <row r="615">
      <c r="A615" s="73" t="s">
        <v>1239</v>
      </c>
      <c r="C615" s="74">
        <v>46204.75317646991</v>
      </c>
      <c r="D615" s="2" t="s">
        <v>628</v>
      </c>
      <c r="F615" s="2" t="s">
        <v>774</v>
      </c>
      <c r="G615" s="72">
        <v>3.12194212E8</v>
      </c>
    </row>
    <row r="616">
      <c r="A616" s="73" t="s">
        <v>1241</v>
      </c>
      <c r="B616" s="72">
        <v>8.2698077E7</v>
      </c>
      <c r="C616" s="74">
        <v>46232.5454325926</v>
      </c>
      <c r="D616" s="2" t="s">
        <v>628</v>
      </c>
      <c r="F616" s="2" t="s">
        <v>630</v>
      </c>
      <c r="G616" s="72">
        <v>3.31189811E8</v>
      </c>
    </row>
    <row r="617">
      <c r="A617" s="73" t="s">
        <v>1241</v>
      </c>
      <c r="B617" s="72">
        <v>8.2698077E7</v>
      </c>
      <c r="C617" s="74">
        <v>46232.96120283565</v>
      </c>
      <c r="D617" s="2" t="s">
        <v>628</v>
      </c>
      <c r="F617" s="2" t="s">
        <v>1242</v>
      </c>
      <c r="G617" s="72">
        <v>3.31588158E8</v>
      </c>
    </row>
    <row r="618">
      <c r="A618" s="73" t="s">
        <v>1241</v>
      </c>
      <c r="B618" s="72">
        <v>8.2698077E7</v>
      </c>
      <c r="C618" s="74">
        <v>46230.753655520835</v>
      </c>
      <c r="D618" s="2" t="s">
        <v>628</v>
      </c>
      <c r="F618" s="2" t="s">
        <v>1243</v>
      </c>
      <c r="G618" s="72">
        <v>3.30067789E8</v>
      </c>
    </row>
    <row r="619">
      <c r="A619" s="73" t="s">
        <v>1244</v>
      </c>
      <c r="B619" s="72">
        <v>8.2380713E7</v>
      </c>
      <c r="C619" s="74">
        <v>46229.95967540509</v>
      </c>
      <c r="D619" s="2" t="s">
        <v>628</v>
      </c>
      <c r="F619" s="2" t="s">
        <v>1245</v>
      </c>
      <c r="G619" s="72">
        <v>3.2960869E8</v>
      </c>
    </row>
    <row r="620">
      <c r="A620" s="73" t="s">
        <v>1244</v>
      </c>
      <c r="B620" s="72">
        <v>8.2380713E7</v>
      </c>
      <c r="C620" s="74">
        <v>46232.47281104166</v>
      </c>
      <c r="D620" s="2" t="s">
        <v>653</v>
      </c>
      <c r="F620" s="2" t="s">
        <v>1246</v>
      </c>
      <c r="G620" s="72">
        <v>3.31096061E8</v>
      </c>
    </row>
    <row r="621">
      <c r="A621" s="73" t="s">
        <v>1244</v>
      </c>
      <c r="B621" s="72">
        <v>8.2380713E7</v>
      </c>
      <c r="C621" s="74">
        <v>46228.79743349537</v>
      </c>
      <c r="D621" s="2" t="s">
        <v>653</v>
      </c>
      <c r="F621" s="2" t="s">
        <v>1247</v>
      </c>
      <c r="G621" s="72">
        <v>3.28702715E8</v>
      </c>
    </row>
    <row r="622">
      <c r="A622" s="73" t="s">
        <v>1244</v>
      </c>
      <c r="B622" s="72">
        <v>8.2380713E7</v>
      </c>
      <c r="C622" s="74">
        <v>46228.79743017361</v>
      </c>
      <c r="D622" s="2" t="s">
        <v>653</v>
      </c>
      <c r="F622" s="2" t="s">
        <v>1248</v>
      </c>
      <c r="G622" s="72">
        <v>3.28702711E8</v>
      </c>
    </row>
    <row r="623">
      <c r="A623" s="73" t="s">
        <v>1244</v>
      </c>
      <c r="B623" s="72">
        <v>8.2380713E7</v>
      </c>
      <c r="C623" s="74">
        <v>46230.57691870371</v>
      </c>
      <c r="D623" s="2" t="s">
        <v>653</v>
      </c>
      <c r="F623" s="2" t="s">
        <v>1247</v>
      </c>
      <c r="G623" s="72">
        <v>3.29899051E8</v>
      </c>
    </row>
    <row r="624">
      <c r="A624" s="73" t="s">
        <v>1244</v>
      </c>
      <c r="B624" s="72">
        <v>8.2380713E7</v>
      </c>
      <c r="C624" s="74">
        <v>46228.75079207176</v>
      </c>
      <c r="D624" s="2" t="s">
        <v>628</v>
      </c>
      <c r="F624" s="2" t="s">
        <v>1249</v>
      </c>
      <c r="G624" s="72">
        <v>3.28634502E8</v>
      </c>
    </row>
    <row r="625">
      <c r="A625" s="73" t="s">
        <v>1244</v>
      </c>
      <c r="B625" s="72">
        <v>8.2380713E7</v>
      </c>
      <c r="C625" s="74">
        <v>46230.57692290509</v>
      </c>
      <c r="D625" s="2" t="s">
        <v>653</v>
      </c>
      <c r="F625" s="2" t="s">
        <v>1250</v>
      </c>
      <c r="G625" s="72">
        <v>3.29899054E8</v>
      </c>
    </row>
    <row r="626">
      <c r="A626" s="73" t="s">
        <v>1251</v>
      </c>
      <c r="B626" s="72">
        <v>7.8461726E7</v>
      </c>
      <c r="C626" s="74">
        <v>46207.96007371528</v>
      </c>
      <c r="D626" s="2" t="s">
        <v>628</v>
      </c>
      <c r="F626" s="2" t="s">
        <v>1252</v>
      </c>
      <c r="G626" s="72">
        <v>3.14479738E8</v>
      </c>
    </row>
    <row r="627">
      <c r="A627" s="73" t="s">
        <v>1251</v>
      </c>
      <c r="B627" s="72">
        <v>7.8461726E7</v>
      </c>
      <c r="C627" s="74">
        <v>46206.5435502662</v>
      </c>
      <c r="D627" s="2" t="s">
        <v>628</v>
      </c>
      <c r="F627" s="2" t="s">
        <v>630</v>
      </c>
      <c r="G627" s="72">
        <v>3.13329285E8</v>
      </c>
    </row>
    <row r="628">
      <c r="A628" s="73" t="s">
        <v>1251</v>
      </c>
      <c r="B628" s="72">
        <v>7.8461726E7</v>
      </c>
      <c r="C628" s="74">
        <v>46204.75244469907</v>
      </c>
      <c r="D628" s="2" t="s">
        <v>628</v>
      </c>
      <c r="F628" s="2" t="s">
        <v>1253</v>
      </c>
      <c r="G628" s="72">
        <v>3.1218836E8</v>
      </c>
    </row>
    <row r="629">
      <c r="A629" s="73" t="s">
        <v>1254</v>
      </c>
      <c r="B629" s="72">
        <v>8.2005782E7</v>
      </c>
      <c r="C629" s="74">
        <v>46227.960100324075</v>
      </c>
      <c r="D629" s="2" t="s">
        <v>628</v>
      </c>
      <c r="F629" s="2" t="s">
        <v>674</v>
      </c>
      <c r="G629" s="72">
        <v>3.28116288E8</v>
      </c>
    </row>
    <row r="630">
      <c r="A630" s="73" t="s">
        <v>1254</v>
      </c>
      <c r="B630" s="72">
        <v>8.2005782E7</v>
      </c>
      <c r="C630" s="74">
        <v>46226.75385878472</v>
      </c>
      <c r="D630" s="2" t="s">
        <v>628</v>
      </c>
      <c r="F630" s="2" t="s">
        <v>675</v>
      </c>
      <c r="G630" s="72">
        <v>3.27116529E8</v>
      </c>
    </row>
    <row r="631">
      <c r="A631" s="73" t="s">
        <v>1255</v>
      </c>
      <c r="C631" s="74">
        <v>46218.75126914352</v>
      </c>
      <c r="D631" s="2" t="s">
        <v>628</v>
      </c>
      <c r="F631" s="2" t="s">
        <v>1256</v>
      </c>
      <c r="G631" s="72">
        <v>3.21560598E8</v>
      </c>
    </row>
    <row r="632">
      <c r="A632" s="73" t="s">
        <v>1255</v>
      </c>
      <c r="B632" s="72">
        <v>8.0923191E7</v>
      </c>
      <c r="C632" s="74">
        <v>46219.96013471065</v>
      </c>
      <c r="D632" s="2" t="s">
        <v>628</v>
      </c>
      <c r="F632" s="2" t="s">
        <v>1257</v>
      </c>
      <c r="G632" s="72">
        <v>3.22475269E8</v>
      </c>
    </row>
    <row r="633">
      <c r="A633" s="73" t="s">
        <v>1258</v>
      </c>
      <c r="B633" s="72">
        <v>7.8616068E7</v>
      </c>
      <c r="C633" s="74">
        <v>46207.542588310185</v>
      </c>
      <c r="D633" s="2" t="s">
        <v>628</v>
      </c>
      <c r="F633" s="2" t="s">
        <v>630</v>
      </c>
      <c r="G633" s="72">
        <v>3.14059278E8</v>
      </c>
    </row>
    <row r="634">
      <c r="A634" s="73" t="s">
        <v>1258</v>
      </c>
      <c r="B634" s="72">
        <v>7.8616068E7</v>
      </c>
      <c r="C634" s="74">
        <v>46207.959236967596</v>
      </c>
      <c r="D634" s="2" t="s">
        <v>628</v>
      </c>
      <c r="F634" s="2" t="s">
        <v>1259</v>
      </c>
      <c r="G634" s="72">
        <v>3.14474722E8</v>
      </c>
    </row>
    <row r="635">
      <c r="A635" s="73" t="s">
        <v>1258</v>
      </c>
      <c r="B635" s="72">
        <v>7.8616068E7</v>
      </c>
      <c r="C635" s="74">
        <v>46205.75136135417</v>
      </c>
      <c r="D635" s="2" t="s">
        <v>628</v>
      </c>
      <c r="F635" s="2" t="s">
        <v>1260</v>
      </c>
      <c r="G635" s="72">
        <v>3.12818272E8</v>
      </c>
    </row>
    <row r="636">
      <c r="A636" s="73" t="s">
        <v>1261</v>
      </c>
      <c r="B636" s="72">
        <v>8.0366085E7</v>
      </c>
      <c r="C636" s="74">
        <v>46217.96197221064</v>
      </c>
      <c r="D636" s="2" t="s">
        <v>628</v>
      </c>
      <c r="F636" s="2" t="s">
        <v>1262</v>
      </c>
      <c r="G636" s="72">
        <v>3.21118153E8</v>
      </c>
    </row>
    <row r="637">
      <c r="A637" s="73" t="s">
        <v>1261</v>
      </c>
      <c r="B637" s="72">
        <v>8.0366085E7</v>
      </c>
      <c r="C637" s="74">
        <v>46216.75427777778</v>
      </c>
      <c r="D637" s="2" t="s">
        <v>628</v>
      </c>
      <c r="F637" s="2" t="s">
        <v>1263</v>
      </c>
      <c r="G637" s="72">
        <v>3.20300771E8</v>
      </c>
    </row>
    <row r="638">
      <c r="A638" s="73" t="s">
        <v>1264</v>
      </c>
      <c r="B638" s="72">
        <v>8.2009453E7</v>
      </c>
      <c r="C638" s="74">
        <v>46228.545032546295</v>
      </c>
      <c r="D638" s="2" t="s">
        <v>628</v>
      </c>
      <c r="F638" s="2" t="s">
        <v>630</v>
      </c>
      <c r="G638" s="72">
        <v>3.28435818E8</v>
      </c>
    </row>
    <row r="639">
      <c r="A639" s="73" t="s">
        <v>1264</v>
      </c>
      <c r="B639" s="72">
        <v>8.2009453E7</v>
      </c>
      <c r="C639" s="74">
        <v>46229.96174319445</v>
      </c>
      <c r="D639" s="2" t="s">
        <v>628</v>
      </c>
      <c r="F639" s="2" t="s">
        <v>1265</v>
      </c>
      <c r="G639" s="72">
        <v>3.29615742E8</v>
      </c>
    </row>
    <row r="640">
      <c r="A640" s="73" t="s">
        <v>1264</v>
      </c>
      <c r="B640" s="72">
        <v>8.2009453E7</v>
      </c>
      <c r="C640" s="74">
        <v>46226.754744108795</v>
      </c>
      <c r="D640" s="2" t="s">
        <v>628</v>
      </c>
      <c r="F640" s="2" t="s">
        <v>1266</v>
      </c>
      <c r="G640" s="72">
        <v>3.27123837E8</v>
      </c>
    </row>
    <row r="641">
      <c r="A641" s="73" t="s">
        <v>1267</v>
      </c>
      <c r="B641" s="72">
        <v>8.0677125E7</v>
      </c>
      <c r="C641" s="74">
        <v>46218.793707627316</v>
      </c>
      <c r="D641" s="2" t="s">
        <v>653</v>
      </c>
      <c r="F641" s="2" t="s">
        <v>1268</v>
      </c>
      <c r="G641" s="72">
        <v>3.21612655E8</v>
      </c>
    </row>
    <row r="642">
      <c r="A642" s="73" t="s">
        <v>1267</v>
      </c>
      <c r="B642" s="72">
        <v>8.0677125E7</v>
      </c>
      <c r="C642" s="74">
        <v>46220.545944247686</v>
      </c>
      <c r="D642" s="2" t="s">
        <v>628</v>
      </c>
      <c r="F642" s="2" t="s">
        <v>630</v>
      </c>
      <c r="G642" s="72">
        <v>3.22793199E8</v>
      </c>
    </row>
    <row r="643">
      <c r="A643" s="73" t="s">
        <v>1267</v>
      </c>
      <c r="B643" s="72">
        <v>8.0677125E7</v>
      </c>
      <c r="C643" s="74">
        <v>46220.96173407407</v>
      </c>
      <c r="D643" s="2" t="s">
        <v>628</v>
      </c>
      <c r="F643" s="2" t="s">
        <v>1269</v>
      </c>
      <c r="G643" s="72">
        <v>3.23249409E8</v>
      </c>
    </row>
    <row r="644">
      <c r="A644" s="73" t="s">
        <v>1267</v>
      </c>
      <c r="B644" s="72">
        <v>8.0677125E7</v>
      </c>
      <c r="C644" s="74">
        <v>46218.7534453588</v>
      </c>
      <c r="D644" s="2" t="s">
        <v>628</v>
      </c>
      <c r="F644" s="2" t="s">
        <v>1270</v>
      </c>
      <c r="G644" s="72">
        <v>3.21577777E8</v>
      </c>
    </row>
    <row r="645">
      <c r="A645" s="73" t="s">
        <v>1267</v>
      </c>
      <c r="B645" s="72">
        <v>8.0677125E7</v>
      </c>
      <c r="C645" s="74">
        <v>46218.772544548614</v>
      </c>
      <c r="D645" s="2" t="s">
        <v>653</v>
      </c>
      <c r="F645" s="2" t="s">
        <v>1271</v>
      </c>
      <c r="G645" s="72">
        <v>3.21593002E8</v>
      </c>
    </row>
    <row r="646">
      <c r="A646" s="73" t="s">
        <v>1267</v>
      </c>
      <c r="B646" s="72">
        <v>8.0677125E7</v>
      </c>
      <c r="C646" s="74">
        <v>46220.96986503473</v>
      </c>
      <c r="D646" s="2" t="s">
        <v>653</v>
      </c>
      <c r="F646" s="2" t="s">
        <v>1268</v>
      </c>
      <c r="G646" s="72">
        <v>3.23257357E8</v>
      </c>
    </row>
    <row r="647">
      <c r="A647" s="73" t="s">
        <v>1272</v>
      </c>
      <c r="B647" s="72">
        <v>8.0668496E7</v>
      </c>
      <c r="C647" s="74">
        <v>46218.75096780092</v>
      </c>
      <c r="D647" s="2" t="s">
        <v>628</v>
      </c>
      <c r="F647" s="2" t="s">
        <v>785</v>
      </c>
      <c r="G647" s="72">
        <v>3.21559012E8</v>
      </c>
    </row>
    <row r="648">
      <c r="A648" s="73" t="s">
        <v>1272</v>
      </c>
      <c r="B648" s="72">
        <v>8.0668496E7</v>
      </c>
      <c r="C648" s="74">
        <v>46219.95857346065</v>
      </c>
      <c r="D648" s="2" t="s">
        <v>628</v>
      </c>
      <c r="F648" s="2" t="s">
        <v>838</v>
      </c>
      <c r="G648" s="72">
        <v>3.22471446E8</v>
      </c>
    </row>
    <row r="649">
      <c r="A649" s="73" t="s">
        <v>1273</v>
      </c>
      <c r="B649" s="72">
        <v>8.3095535E7</v>
      </c>
      <c r="C649" s="74">
        <v>46234.80286298611</v>
      </c>
      <c r="D649" s="2" t="s">
        <v>653</v>
      </c>
      <c r="F649" s="2" t="s">
        <v>1274</v>
      </c>
      <c r="G649" s="72">
        <v>3.32922767E8</v>
      </c>
    </row>
    <row r="650">
      <c r="A650" s="73" t="s">
        <v>1273</v>
      </c>
      <c r="B650" s="72">
        <v>8.3095535E7</v>
      </c>
      <c r="C650" s="74">
        <v>46234.752873425925</v>
      </c>
      <c r="D650" s="2" t="s">
        <v>628</v>
      </c>
      <c r="F650" s="2" t="s">
        <v>1275</v>
      </c>
      <c r="G650" s="72">
        <v>3.3284949E8</v>
      </c>
    </row>
    <row r="651">
      <c r="A651" s="73" t="s">
        <v>1273</v>
      </c>
      <c r="B651" s="72">
        <v>8.3095535E7</v>
      </c>
      <c r="C651" s="74">
        <v>46233.08420346065</v>
      </c>
      <c r="D651" s="2" t="s">
        <v>667</v>
      </c>
      <c r="E651" s="2" t="s">
        <v>886</v>
      </c>
      <c r="F651" s="2" t="s">
        <v>1276</v>
      </c>
      <c r="G651" s="72">
        <v>3.31670721E8</v>
      </c>
    </row>
    <row r="652">
      <c r="A652" s="73" t="s">
        <v>1273</v>
      </c>
      <c r="B652" s="72">
        <v>8.3095535E7</v>
      </c>
      <c r="C652" s="74">
        <v>46232.99627065972</v>
      </c>
      <c r="D652" s="2" t="s">
        <v>705</v>
      </c>
      <c r="F652" s="2" t="s">
        <v>1277</v>
      </c>
      <c r="G652" s="72">
        <v>3.31612874E8</v>
      </c>
    </row>
    <row r="653">
      <c r="A653" s="73" t="s">
        <v>1278</v>
      </c>
      <c r="B653" s="72">
        <v>7.8973928E7</v>
      </c>
      <c r="C653" s="74">
        <v>46207.751878553245</v>
      </c>
      <c r="D653" s="2" t="s">
        <v>628</v>
      </c>
      <c r="F653" s="2" t="s">
        <v>1279</v>
      </c>
      <c r="G653" s="72">
        <v>3.14284621E8</v>
      </c>
    </row>
    <row r="654">
      <c r="A654" s="73" t="s">
        <v>1278</v>
      </c>
      <c r="B654" s="72">
        <v>7.8973928E7</v>
      </c>
      <c r="C654" s="74">
        <v>46209.54474532408</v>
      </c>
      <c r="D654" s="2" t="s">
        <v>628</v>
      </c>
      <c r="F654" s="2" t="s">
        <v>630</v>
      </c>
      <c r="G654" s="72">
        <v>3.15409762E8</v>
      </c>
    </row>
    <row r="655">
      <c r="A655" s="73" t="s">
        <v>1278</v>
      </c>
      <c r="B655" s="72">
        <v>7.8973928E7</v>
      </c>
      <c r="C655" s="74">
        <v>46210.96021657407</v>
      </c>
      <c r="D655" s="2" t="s">
        <v>628</v>
      </c>
      <c r="F655" s="2" t="s">
        <v>1280</v>
      </c>
      <c r="G655" s="72">
        <v>3.16369082E8</v>
      </c>
    </row>
    <row r="656">
      <c r="A656" s="73" t="s">
        <v>1281</v>
      </c>
      <c r="B656" s="72">
        <v>8.0982077E7</v>
      </c>
      <c r="C656" s="74">
        <v>46220.544778553245</v>
      </c>
      <c r="D656" s="2" t="s">
        <v>628</v>
      </c>
      <c r="F656" s="2" t="s">
        <v>630</v>
      </c>
      <c r="G656" s="72">
        <v>3.22773358E8</v>
      </c>
    </row>
    <row r="657">
      <c r="A657" s="73" t="s">
        <v>1281</v>
      </c>
      <c r="C657" s="74">
        <v>46218.752068657406</v>
      </c>
      <c r="D657" s="2" t="s">
        <v>628</v>
      </c>
      <c r="F657" s="2" t="s">
        <v>890</v>
      </c>
      <c r="G657" s="72">
        <v>3.2156744E8</v>
      </c>
    </row>
    <row r="658">
      <c r="A658" s="73" t="s">
        <v>1281</v>
      </c>
      <c r="B658" s="72">
        <v>8.0982077E7</v>
      </c>
      <c r="C658" s="74">
        <v>46221.960324224536</v>
      </c>
      <c r="D658" s="2" t="s">
        <v>628</v>
      </c>
      <c r="F658" s="2" t="s">
        <v>1223</v>
      </c>
      <c r="G658" s="72">
        <v>3.23994622E8</v>
      </c>
    </row>
    <row r="659">
      <c r="A659" s="73" t="s">
        <v>1282</v>
      </c>
      <c r="B659" s="72">
        <v>8.0848201E7</v>
      </c>
      <c r="C659" s="74">
        <v>46220.96120924769</v>
      </c>
      <c r="D659" s="2" t="s">
        <v>628</v>
      </c>
      <c r="F659" s="2" t="s">
        <v>657</v>
      </c>
      <c r="G659" s="72">
        <v>3.23247661E8</v>
      </c>
    </row>
    <row r="660">
      <c r="A660" s="73" t="s">
        <v>1282</v>
      </c>
      <c r="B660" s="72">
        <v>8.0848201E7</v>
      </c>
      <c r="C660" s="74">
        <v>46219.7542172338</v>
      </c>
      <c r="D660" s="2" t="s">
        <v>628</v>
      </c>
      <c r="F660" s="2" t="s">
        <v>656</v>
      </c>
      <c r="G660" s="72">
        <v>3.22258583E8</v>
      </c>
    </row>
    <row r="661">
      <c r="A661" s="73" t="s">
        <v>1282</v>
      </c>
      <c r="B661" s="72">
        <v>8.0848201E7</v>
      </c>
      <c r="C661" s="74">
        <v>46219.75448275463</v>
      </c>
      <c r="D661" s="2" t="s">
        <v>705</v>
      </c>
      <c r="F661" s="2" t="s">
        <v>1283</v>
      </c>
      <c r="G661" s="72">
        <v>3.22261828E8</v>
      </c>
    </row>
    <row r="662">
      <c r="A662" s="73" t="s">
        <v>1284</v>
      </c>
      <c r="C662" s="74">
        <v>46217.752866863426</v>
      </c>
      <c r="D662" s="2" t="s">
        <v>628</v>
      </c>
      <c r="F662" s="2" t="s">
        <v>1285</v>
      </c>
      <c r="G662" s="72">
        <v>3.20924552E8</v>
      </c>
    </row>
    <row r="663">
      <c r="A663" s="73" t="s">
        <v>1284</v>
      </c>
      <c r="B663" s="72">
        <v>8.0739165E7</v>
      </c>
      <c r="C663" s="74">
        <v>46218.960193252315</v>
      </c>
      <c r="D663" s="2" t="s">
        <v>628</v>
      </c>
      <c r="F663" s="2" t="s">
        <v>1286</v>
      </c>
      <c r="G663" s="72">
        <v>3.21769094E8</v>
      </c>
    </row>
    <row r="664">
      <c r="A664" s="73" t="s">
        <v>1287</v>
      </c>
      <c r="B664" s="72">
        <v>8.097939E7</v>
      </c>
      <c r="C664" s="74">
        <v>46221.95900939815</v>
      </c>
      <c r="D664" s="2" t="s">
        <v>628</v>
      </c>
      <c r="F664" s="2" t="s">
        <v>1288</v>
      </c>
      <c r="G664" s="72">
        <v>3.23987893E8</v>
      </c>
    </row>
    <row r="665">
      <c r="A665" s="73" t="s">
        <v>1287</v>
      </c>
      <c r="B665" s="72">
        <v>8.097939E7</v>
      </c>
      <c r="C665" s="74">
        <v>46220.54355952547</v>
      </c>
      <c r="D665" s="2" t="s">
        <v>628</v>
      </c>
      <c r="F665" s="2" t="s">
        <v>630</v>
      </c>
      <c r="G665" s="72">
        <v>3.22757263E8</v>
      </c>
    </row>
    <row r="666">
      <c r="A666" s="73" t="s">
        <v>1289</v>
      </c>
      <c r="B666" s="72">
        <v>1.1129603E7</v>
      </c>
      <c r="C666" s="74">
        <v>46233.95956106481</v>
      </c>
      <c r="D666" s="2" t="s">
        <v>628</v>
      </c>
      <c r="F666" s="2" t="s">
        <v>1290</v>
      </c>
      <c r="G666" s="72">
        <v>3.32301356E8</v>
      </c>
    </row>
    <row r="667">
      <c r="A667" s="73" t="s">
        <v>1289</v>
      </c>
      <c r="B667" s="72">
        <v>1.1129603E7</v>
      </c>
      <c r="C667" s="74">
        <v>46232.75205751158</v>
      </c>
      <c r="D667" s="2" t="s">
        <v>628</v>
      </c>
      <c r="F667" s="2" t="s">
        <v>1291</v>
      </c>
      <c r="G667" s="72">
        <v>3.31378862E8</v>
      </c>
    </row>
    <row r="668">
      <c r="A668" s="73" t="s">
        <v>1292</v>
      </c>
      <c r="B668" s="72">
        <v>7.9540999E7</v>
      </c>
      <c r="C668" s="74">
        <v>46212.96137579861</v>
      </c>
      <c r="D668" s="2" t="s">
        <v>628</v>
      </c>
      <c r="F668" s="2" t="s">
        <v>1293</v>
      </c>
      <c r="G668" s="72">
        <v>3.17662683E8</v>
      </c>
    </row>
    <row r="669">
      <c r="A669" s="73" t="s">
        <v>1292</v>
      </c>
      <c r="B669" s="72">
        <v>7.9540999E7</v>
      </c>
      <c r="C669" s="74">
        <v>46211.75322665509</v>
      </c>
      <c r="D669" s="2" t="s">
        <v>628</v>
      </c>
      <c r="F669" s="2" t="s">
        <v>1294</v>
      </c>
      <c r="G669" s="72">
        <v>3.16800435E8</v>
      </c>
    </row>
    <row r="670">
      <c r="A670" s="73" t="s">
        <v>1295</v>
      </c>
      <c r="B670" s="72">
        <v>8.1036674E7</v>
      </c>
      <c r="C670" s="74">
        <v>46220.75713197917</v>
      </c>
      <c r="D670" s="2" t="s">
        <v>705</v>
      </c>
      <c r="F670" s="2" t="s">
        <v>756</v>
      </c>
      <c r="G670" s="72">
        <v>3.23017579E8</v>
      </c>
    </row>
    <row r="671">
      <c r="A671" s="73" t="s">
        <v>1295</v>
      </c>
      <c r="B671" s="72">
        <v>8.1036674E7</v>
      </c>
      <c r="C671" s="74">
        <v>46220.757093935186</v>
      </c>
      <c r="D671" s="2" t="s">
        <v>705</v>
      </c>
      <c r="F671" s="2" t="s">
        <v>1296</v>
      </c>
      <c r="G671" s="72">
        <v>3.23017555E8</v>
      </c>
    </row>
    <row r="672">
      <c r="A672" s="73" t="s">
        <v>1295</v>
      </c>
      <c r="B672" s="72">
        <v>8.1036674E7</v>
      </c>
      <c r="C672" s="74">
        <v>46220.757169131946</v>
      </c>
      <c r="D672" s="2" t="s">
        <v>705</v>
      </c>
      <c r="F672" s="2" t="s">
        <v>1297</v>
      </c>
      <c r="G672" s="72">
        <v>3.23017612E8</v>
      </c>
    </row>
    <row r="673">
      <c r="A673" s="73" t="s">
        <v>1298</v>
      </c>
      <c r="B673" s="72">
        <v>8.1839374E7</v>
      </c>
      <c r="C673" s="74">
        <v>46225.75369560185</v>
      </c>
      <c r="D673" s="2" t="s">
        <v>628</v>
      </c>
      <c r="F673" s="2" t="s">
        <v>1299</v>
      </c>
      <c r="G673" s="72">
        <v>3.26443326E8</v>
      </c>
    </row>
    <row r="674">
      <c r="A674" s="73" t="s">
        <v>1298</v>
      </c>
      <c r="B674" s="72">
        <v>8.1839374E7</v>
      </c>
      <c r="C674" s="74">
        <v>46226.962035833334</v>
      </c>
      <c r="D674" s="2" t="s">
        <v>628</v>
      </c>
      <c r="F674" s="2" t="s">
        <v>1300</v>
      </c>
      <c r="G674" s="72">
        <v>3.27344218E8</v>
      </c>
    </row>
    <row r="675">
      <c r="A675" s="73" t="s">
        <v>1301</v>
      </c>
      <c r="B675" s="72">
        <v>8.2196886E7</v>
      </c>
      <c r="C675" s="74">
        <v>46227.75371505787</v>
      </c>
      <c r="D675" s="2" t="s">
        <v>628</v>
      </c>
      <c r="F675" s="2" t="s">
        <v>1302</v>
      </c>
      <c r="G675" s="72">
        <v>3.2788346E8</v>
      </c>
    </row>
    <row r="676">
      <c r="A676" s="73" t="s">
        <v>1301</v>
      </c>
      <c r="B676" s="72">
        <v>8.2196886E7</v>
      </c>
      <c r="C676" s="74">
        <v>46229.54682189815</v>
      </c>
      <c r="D676" s="2" t="s">
        <v>628</v>
      </c>
      <c r="F676" s="2" t="s">
        <v>630</v>
      </c>
      <c r="G676" s="72">
        <v>3.29231888E8</v>
      </c>
    </row>
    <row r="677">
      <c r="A677" s="73" t="s">
        <v>1301</v>
      </c>
      <c r="B677" s="72">
        <v>8.2196886E7</v>
      </c>
      <c r="C677" s="74">
        <v>46229.961901284725</v>
      </c>
      <c r="D677" s="2" t="s">
        <v>628</v>
      </c>
      <c r="F677" s="2" t="s">
        <v>1303</v>
      </c>
      <c r="G677" s="72">
        <v>3.29616175E8</v>
      </c>
    </row>
    <row r="678">
      <c r="A678" s="73" t="s">
        <v>1304</v>
      </c>
      <c r="B678" s="72">
        <v>8.3383802E7</v>
      </c>
      <c r="C678" s="74">
        <v>46234.75197090278</v>
      </c>
      <c r="D678" s="2" t="s">
        <v>628</v>
      </c>
      <c r="F678" s="2" t="s">
        <v>1305</v>
      </c>
      <c r="G678" s="72">
        <v>3.3284302E8</v>
      </c>
    </row>
    <row r="679">
      <c r="A679" s="73" t="s">
        <v>1304</v>
      </c>
      <c r="B679" s="72">
        <v>8.3383802E7</v>
      </c>
      <c r="C679" s="74">
        <v>46234.80263626158</v>
      </c>
      <c r="D679" s="2" t="s">
        <v>653</v>
      </c>
      <c r="F679" s="2" t="s">
        <v>1306</v>
      </c>
      <c r="G679" s="72">
        <v>3.32922537E8</v>
      </c>
    </row>
    <row r="680">
      <c r="A680" s="73" t="s">
        <v>1304</v>
      </c>
      <c r="B680" s="72">
        <v>8.3383802E7</v>
      </c>
      <c r="C680" s="74">
        <v>46234.80263975695</v>
      </c>
      <c r="D680" s="2" t="s">
        <v>653</v>
      </c>
      <c r="F680" s="2" t="s">
        <v>1307</v>
      </c>
      <c r="G680" s="72">
        <v>3.32922539E8</v>
      </c>
    </row>
    <row r="681">
      <c r="A681" s="73" t="s">
        <v>1304</v>
      </c>
      <c r="B681" s="72">
        <v>8.3383802E7</v>
      </c>
      <c r="C681" s="74">
        <v>46234.80263232639</v>
      </c>
      <c r="D681" s="2" t="s">
        <v>705</v>
      </c>
      <c r="F681" s="2" t="s">
        <v>872</v>
      </c>
      <c r="G681" s="72">
        <v>3.32922529E8</v>
      </c>
    </row>
    <row r="682">
      <c r="A682" s="73" t="s">
        <v>1308</v>
      </c>
      <c r="C682" s="74">
        <v>46208.75160927083</v>
      </c>
      <c r="D682" s="2" t="s">
        <v>628</v>
      </c>
      <c r="F682" s="2" t="s">
        <v>1309</v>
      </c>
      <c r="G682" s="72">
        <v>3.1498862E8</v>
      </c>
    </row>
    <row r="683">
      <c r="A683" s="73" t="s">
        <v>1308</v>
      </c>
      <c r="B683" s="72">
        <v>7.9352503E7</v>
      </c>
      <c r="C683" s="74">
        <v>46210.54369230324</v>
      </c>
      <c r="D683" s="2" t="s">
        <v>628</v>
      </c>
      <c r="F683" s="2" t="s">
        <v>630</v>
      </c>
      <c r="G683" s="72">
        <v>3.16012407E8</v>
      </c>
    </row>
    <row r="684">
      <c r="A684" s="73" t="s">
        <v>1308</v>
      </c>
      <c r="B684" s="72">
        <v>7.9352503E7</v>
      </c>
      <c r="C684" s="74">
        <v>46212.95948517361</v>
      </c>
      <c r="D684" s="2" t="s">
        <v>628</v>
      </c>
      <c r="F684" s="2" t="s">
        <v>1310</v>
      </c>
      <c r="G684" s="72">
        <v>3.17655729E8</v>
      </c>
    </row>
    <row r="685">
      <c r="A685" s="73" t="s">
        <v>1311</v>
      </c>
      <c r="B685" s="72">
        <v>8.319802E7</v>
      </c>
      <c r="C685" s="74">
        <v>46233.75356695602</v>
      </c>
      <c r="D685" s="2" t="s">
        <v>628</v>
      </c>
      <c r="F685" s="2" t="s">
        <v>1312</v>
      </c>
      <c r="G685" s="72">
        <v>3.32081083E8</v>
      </c>
    </row>
    <row r="686">
      <c r="A686" s="73" t="s">
        <v>1313</v>
      </c>
      <c r="B686" s="72">
        <v>8.2375857E7</v>
      </c>
      <c r="C686" s="74">
        <v>46228.75311392361</v>
      </c>
      <c r="D686" s="2" t="s">
        <v>628</v>
      </c>
      <c r="F686" s="2" t="s">
        <v>1314</v>
      </c>
      <c r="G686" s="72">
        <v>3.28649696E8</v>
      </c>
    </row>
    <row r="687">
      <c r="A687" s="73" t="s">
        <v>1313</v>
      </c>
      <c r="B687" s="72">
        <v>8.2375857E7</v>
      </c>
      <c r="C687" s="74">
        <v>46228.79740951389</v>
      </c>
      <c r="D687" s="2" t="s">
        <v>653</v>
      </c>
      <c r="F687" s="2" t="s">
        <v>1315</v>
      </c>
      <c r="G687" s="72">
        <v>3.28702695E8</v>
      </c>
    </row>
    <row r="688">
      <c r="A688" s="73" t="s">
        <v>1313</v>
      </c>
      <c r="B688" s="72">
        <v>8.2375857E7</v>
      </c>
      <c r="C688" s="74">
        <v>46228.79740434028</v>
      </c>
      <c r="D688" s="2" t="s">
        <v>705</v>
      </c>
      <c r="F688" s="2" t="s">
        <v>872</v>
      </c>
      <c r="G688" s="72">
        <v>3.28702686E8</v>
      </c>
    </row>
    <row r="689">
      <c r="A689" s="73" t="s">
        <v>1313</v>
      </c>
      <c r="B689" s="72">
        <v>8.2375857E7</v>
      </c>
      <c r="C689" s="74">
        <v>46229.960900289356</v>
      </c>
      <c r="D689" s="2" t="s">
        <v>628</v>
      </c>
      <c r="F689" s="2" t="s">
        <v>1316</v>
      </c>
      <c r="G689" s="72">
        <v>3.29612769E8</v>
      </c>
    </row>
    <row r="690">
      <c r="A690" s="73" t="s">
        <v>1317</v>
      </c>
      <c r="B690" s="72">
        <v>8.1381475E7</v>
      </c>
      <c r="C690" s="74">
        <v>46222.75266878473</v>
      </c>
      <c r="D690" s="2" t="s">
        <v>628</v>
      </c>
      <c r="F690" s="2" t="s">
        <v>1318</v>
      </c>
      <c r="G690" s="72">
        <v>3.24546312E8</v>
      </c>
    </row>
    <row r="691">
      <c r="A691" s="73" t="s">
        <v>1317</v>
      </c>
      <c r="B691" s="72">
        <v>8.1381475E7</v>
      </c>
      <c r="C691" s="74">
        <v>46222.762937164356</v>
      </c>
      <c r="D691" s="2" t="s">
        <v>653</v>
      </c>
      <c r="F691" s="2" t="s">
        <v>1319</v>
      </c>
      <c r="G691" s="72">
        <v>3.24558537E8</v>
      </c>
    </row>
    <row r="692">
      <c r="A692" s="73" t="s">
        <v>1317</v>
      </c>
      <c r="B692" s="72">
        <v>8.1381475E7</v>
      </c>
      <c r="C692" s="74">
        <v>46223.961082071764</v>
      </c>
      <c r="D692" s="2" t="s">
        <v>628</v>
      </c>
      <c r="F692" s="2" t="s">
        <v>1320</v>
      </c>
      <c r="G692" s="72">
        <v>3.25367259E8</v>
      </c>
    </row>
    <row r="693">
      <c r="A693" s="73" t="s">
        <v>1317</v>
      </c>
      <c r="B693" s="72">
        <v>8.1381475E7</v>
      </c>
      <c r="C693" s="74">
        <v>46223.675429537034</v>
      </c>
      <c r="D693" s="2" t="s">
        <v>653</v>
      </c>
      <c r="F693" s="2" t="s">
        <v>1321</v>
      </c>
      <c r="G693" s="72">
        <v>3.25118654E8</v>
      </c>
    </row>
    <row r="694">
      <c r="A694" s="73" t="s">
        <v>1317</v>
      </c>
      <c r="B694" s="72">
        <v>8.1381475E7</v>
      </c>
      <c r="C694" s="74">
        <v>46223.67542457176</v>
      </c>
      <c r="D694" s="2" t="s">
        <v>653</v>
      </c>
      <c r="F694" s="2" t="s">
        <v>1321</v>
      </c>
      <c r="G694" s="72">
        <v>3.25118651E8</v>
      </c>
    </row>
    <row r="695">
      <c r="A695" s="73" t="s">
        <v>1317</v>
      </c>
      <c r="B695" s="72">
        <v>8.1381475E7</v>
      </c>
      <c r="C695" s="74">
        <v>46226.44681228009</v>
      </c>
      <c r="D695" s="2" t="s">
        <v>653</v>
      </c>
      <c r="F695" s="2" t="s">
        <v>1322</v>
      </c>
      <c r="G695" s="72">
        <v>3.26769105E8</v>
      </c>
    </row>
    <row r="696">
      <c r="A696" s="73" t="s">
        <v>1317</v>
      </c>
      <c r="B696" s="72">
        <v>8.1381475E7</v>
      </c>
      <c r="C696" s="74">
        <v>46226.4468083449</v>
      </c>
      <c r="D696" s="2" t="s">
        <v>653</v>
      </c>
      <c r="F696" s="2" t="s">
        <v>1323</v>
      </c>
      <c r="G696" s="72">
        <v>3.26769104E8</v>
      </c>
    </row>
    <row r="697">
      <c r="A697" s="73" t="s">
        <v>1324</v>
      </c>
      <c r="B697" s="72">
        <v>8.2002506E7</v>
      </c>
      <c r="C697" s="74">
        <v>46226.75310913194</v>
      </c>
      <c r="D697" s="2" t="s">
        <v>628</v>
      </c>
      <c r="F697" s="2" t="s">
        <v>1325</v>
      </c>
      <c r="G697" s="72">
        <v>3.27110384E8</v>
      </c>
    </row>
    <row r="698">
      <c r="A698" s="73" t="s">
        <v>1324</v>
      </c>
      <c r="B698" s="72">
        <v>8.2002506E7</v>
      </c>
      <c r="C698" s="74">
        <v>46229.96007247685</v>
      </c>
      <c r="D698" s="2" t="s">
        <v>628</v>
      </c>
      <c r="F698" s="2" t="s">
        <v>1326</v>
      </c>
      <c r="G698" s="72">
        <v>3.29609844E8</v>
      </c>
    </row>
    <row r="699">
      <c r="A699" s="73" t="s">
        <v>1324</v>
      </c>
      <c r="B699" s="72">
        <v>8.2002506E7</v>
      </c>
      <c r="C699" s="74">
        <v>46228.544240648145</v>
      </c>
      <c r="D699" s="2" t="s">
        <v>628</v>
      </c>
      <c r="F699" s="2" t="s">
        <v>630</v>
      </c>
      <c r="G699" s="72">
        <v>3.28422215E8</v>
      </c>
    </row>
    <row r="700">
      <c r="A700" s="73" t="s">
        <v>1327</v>
      </c>
      <c r="B700" s="72">
        <v>8.0328143E7</v>
      </c>
      <c r="C700" s="74">
        <v>46216.54498037037</v>
      </c>
      <c r="D700" s="2" t="s">
        <v>628</v>
      </c>
      <c r="F700" s="2" t="s">
        <v>630</v>
      </c>
      <c r="G700" s="72">
        <v>3.20120693E8</v>
      </c>
    </row>
    <row r="701">
      <c r="A701" s="73" t="s">
        <v>1327</v>
      </c>
      <c r="C701" s="74">
        <v>46214.75360225694</v>
      </c>
      <c r="D701" s="2" t="s">
        <v>628</v>
      </c>
      <c r="F701" s="2" t="s">
        <v>1328</v>
      </c>
      <c r="G701" s="72">
        <v>3.18927642E8</v>
      </c>
    </row>
    <row r="702">
      <c r="A702" s="73" t="s">
        <v>1327</v>
      </c>
      <c r="B702" s="72">
        <v>8.0328143E7</v>
      </c>
      <c r="C702" s="74">
        <v>46219.96155201389</v>
      </c>
      <c r="D702" s="2" t="s">
        <v>628</v>
      </c>
      <c r="F702" s="2" t="s">
        <v>1329</v>
      </c>
      <c r="G702" s="72">
        <v>3.22480754E8</v>
      </c>
    </row>
    <row r="703">
      <c r="A703" s="73" t="s">
        <v>1330</v>
      </c>
      <c r="B703" s="72">
        <v>8.1108839E7</v>
      </c>
      <c r="C703" s="74">
        <v>46220.96990146991</v>
      </c>
      <c r="D703" s="2" t="s">
        <v>653</v>
      </c>
      <c r="F703" s="2" t="s">
        <v>1331</v>
      </c>
      <c r="G703" s="72">
        <v>3.23257397E8</v>
      </c>
    </row>
    <row r="704">
      <c r="A704" s="73" t="s">
        <v>1330</v>
      </c>
      <c r="B704" s="72">
        <v>8.1108839E7</v>
      </c>
      <c r="C704" s="74">
        <v>46221.026337523144</v>
      </c>
      <c r="D704" s="2" t="s">
        <v>667</v>
      </c>
      <c r="E704" s="2" t="s">
        <v>1332</v>
      </c>
      <c r="F704" s="2" t="s">
        <v>1333</v>
      </c>
      <c r="G704" s="72">
        <v>3.23304521E8</v>
      </c>
    </row>
    <row r="705">
      <c r="A705" s="73" t="s">
        <v>1330</v>
      </c>
      <c r="B705" s="72">
        <v>8.1108839E7</v>
      </c>
      <c r="C705" s="74">
        <v>46222.95972579861</v>
      </c>
      <c r="D705" s="2" t="s">
        <v>628</v>
      </c>
      <c r="F705" s="2" t="s">
        <v>1334</v>
      </c>
      <c r="G705" s="72">
        <v>3.24722559E8</v>
      </c>
    </row>
    <row r="706">
      <c r="A706" s="73" t="s">
        <v>1330</v>
      </c>
      <c r="B706" s="72">
        <v>8.1108839E7</v>
      </c>
      <c r="C706" s="74">
        <v>46220.981467233796</v>
      </c>
      <c r="D706" s="2" t="s">
        <v>667</v>
      </c>
      <c r="E706" s="2" t="s">
        <v>703</v>
      </c>
      <c r="F706" s="2" t="s">
        <v>1335</v>
      </c>
      <c r="G706" s="72">
        <v>3.23265937E8</v>
      </c>
    </row>
    <row r="707">
      <c r="A707" s="73" t="s">
        <v>1330</v>
      </c>
      <c r="B707" s="72">
        <v>8.1108839E7</v>
      </c>
      <c r="C707" s="74">
        <v>46221.01397226852</v>
      </c>
      <c r="D707" s="2" t="s">
        <v>705</v>
      </c>
      <c r="F707" s="2" t="s">
        <v>1336</v>
      </c>
      <c r="G707" s="72">
        <v>3.23295996E8</v>
      </c>
    </row>
    <row r="708">
      <c r="A708" s="73" t="s">
        <v>1330</v>
      </c>
      <c r="B708" s="72">
        <v>8.1108839E7</v>
      </c>
      <c r="C708" s="74">
        <v>46220.969888391206</v>
      </c>
      <c r="D708" s="2" t="s">
        <v>705</v>
      </c>
      <c r="F708" s="2" t="s">
        <v>722</v>
      </c>
      <c r="G708" s="72">
        <v>3.2325738E8</v>
      </c>
    </row>
    <row r="709">
      <c r="A709" s="73" t="s">
        <v>1330</v>
      </c>
      <c r="B709" s="72">
        <v>8.1108839E7</v>
      </c>
      <c r="C709" s="74">
        <v>46220.96127796297</v>
      </c>
      <c r="D709" s="2" t="s">
        <v>628</v>
      </c>
      <c r="F709" s="2" t="s">
        <v>1337</v>
      </c>
      <c r="G709" s="72">
        <v>3.2324787E8</v>
      </c>
    </row>
    <row r="710">
      <c r="A710" s="73" t="s">
        <v>1330</v>
      </c>
      <c r="B710" s="72">
        <v>8.1108839E7</v>
      </c>
      <c r="C710" s="74">
        <v>46222.54334591435</v>
      </c>
      <c r="D710" s="2" t="s">
        <v>628</v>
      </c>
      <c r="F710" s="2" t="s">
        <v>630</v>
      </c>
      <c r="G710" s="72">
        <v>3.24320507E8</v>
      </c>
    </row>
    <row r="711">
      <c r="A711" s="73" t="s">
        <v>1330</v>
      </c>
      <c r="B711" s="72">
        <v>8.1108839E7</v>
      </c>
      <c r="C711" s="74">
        <v>46220.96989732639</v>
      </c>
      <c r="D711" s="2" t="s">
        <v>705</v>
      </c>
      <c r="F711" s="2" t="s">
        <v>1338</v>
      </c>
      <c r="G711" s="72">
        <v>3.23257391E8</v>
      </c>
    </row>
    <row r="712">
      <c r="A712" s="73" t="s">
        <v>1330</v>
      </c>
      <c r="B712" s="72">
        <v>8.1108839E7</v>
      </c>
      <c r="C712" s="74">
        <v>46220.9698827199</v>
      </c>
      <c r="D712" s="2" t="s">
        <v>705</v>
      </c>
      <c r="F712" s="2" t="s">
        <v>1339</v>
      </c>
      <c r="G712" s="72">
        <v>3.23257375E8</v>
      </c>
    </row>
    <row r="713">
      <c r="A713" s="73" t="s">
        <v>1330</v>
      </c>
      <c r="B713" s="72">
        <v>8.1108839E7</v>
      </c>
      <c r="C713" s="74">
        <v>46220.96989267362</v>
      </c>
      <c r="D713" s="2" t="s">
        <v>653</v>
      </c>
      <c r="F713" s="2" t="s">
        <v>1340</v>
      </c>
      <c r="G713" s="72">
        <v>3.23257387E8</v>
      </c>
    </row>
    <row r="714">
      <c r="A714" s="73" t="s">
        <v>1330</v>
      </c>
      <c r="B714" s="72">
        <v>8.1108839E7</v>
      </c>
      <c r="C714" s="74">
        <v>46222.56019123843</v>
      </c>
      <c r="D714" s="2" t="s">
        <v>705</v>
      </c>
      <c r="F714" s="2" t="s">
        <v>1341</v>
      </c>
      <c r="G714" s="72">
        <v>3.24367402E8</v>
      </c>
    </row>
    <row r="715">
      <c r="A715" s="73" t="s">
        <v>1342</v>
      </c>
      <c r="B715" s="72">
        <v>7.9410732E7</v>
      </c>
      <c r="C715" s="74">
        <v>46210.82035905092</v>
      </c>
      <c r="D715" s="2" t="s">
        <v>628</v>
      </c>
      <c r="F715" s="2" t="s">
        <v>1343</v>
      </c>
      <c r="G715" s="72">
        <v>3.16253375E8</v>
      </c>
    </row>
    <row r="716">
      <c r="A716" s="73" t="s">
        <v>1342</v>
      </c>
      <c r="B716" s="72">
        <v>7.9410732E7</v>
      </c>
      <c r="C716" s="74">
        <v>46211.95957122685</v>
      </c>
      <c r="D716" s="2" t="s">
        <v>628</v>
      </c>
      <c r="F716" s="2" t="s">
        <v>1344</v>
      </c>
      <c r="G716" s="72">
        <v>3.16983395E8</v>
      </c>
    </row>
    <row r="717">
      <c r="A717" s="73" t="s">
        <v>1345</v>
      </c>
      <c r="B717" s="72">
        <v>7.9542318E7</v>
      </c>
      <c r="C717" s="74">
        <v>46213.54595488426</v>
      </c>
      <c r="D717" s="2" t="s">
        <v>628</v>
      </c>
      <c r="F717" s="2" t="s">
        <v>630</v>
      </c>
      <c r="G717" s="72">
        <v>3.17969971E8</v>
      </c>
    </row>
    <row r="718">
      <c r="A718" s="73" t="s">
        <v>1345</v>
      </c>
      <c r="B718" s="72">
        <v>7.9542318E7</v>
      </c>
      <c r="C718" s="74">
        <v>46211.75360869213</v>
      </c>
      <c r="D718" s="2" t="s">
        <v>628</v>
      </c>
      <c r="F718" s="2" t="s">
        <v>1346</v>
      </c>
      <c r="G718" s="72">
        <v>3.16803281E8</v>
      </c>
    </row>
    <row r="719">
      <c r="A719" s="73" t="s">
        <v>1345</v>
      </c>
      <c r="B719" s="72">
        <v>7.9542318E7</v>
      </c>
      <c r="C719" s="74">
        <v>46214.961472442126</v>
      </c>
      <c r="D719" s="2" t="s">
        <v>628</v>
      </c>
      <c r="F719" s="2" t="s">
        <v>1347</v>
      </c>
      <c r="G719" s="72">
        <v>3.19140383E8</v>
      </c>
    </row>
    <row r="720">
      <c r="A720" s="73" t="s">
        <v>1348</v>
      </c>
      <c r="B720" s="72">
        <v>7.9837894E7</v>
      </c>
      <c r="C720" s="74">
        <v>46215.958917870375</v>
      </c>
      <c r="D720" s="2" t="s">
        <v>628</v>
      </c>
      <c r="F720" s="2" t="s">
        <v>739</v>
      </c>
      <c r="G720" s="72">
        <v>3.1985519E8</v>
      </c>
    </row>
    <row r="721">
      <c r="A721" s="73" t="s">
        <v>1348</v>
      </c>
      <c r="B721" s="72">
        <v>7.9837894E7</v>
      </c>
      <c r="C721" s="74">
        <v>46214.961774027775</v>
      </c>
      <c r="D721" s="2" t="s">
        <v>628</v>
      </c>
      <c r="F721" s="2" t="s">
        <v>739</v>
      </c>
      <c r="G721" s="72">
        <v>3.19141885E8</v>
      </c>
    </row>
    <row r="722">
      <c r="A722" s="73" t="s">
        <v>1348</v>
      </c>
      <c r="C722" s="74">
        <v>46210.75047408565</v>
      </c>
      <c r="D722" s="2" t="s">
        <v>628</v>
      </c>
      <c r="F722" s="2" t="s">
        <v>740</v>
      </c>
      <c r="G722" s="72">
        <v>3.16182983E8</v>
      </c>
    </row>
    <row r="723">
      <c r="A723" s="73" t="s">
        <v>1348</v>
      </c>
      <c r="B723" s="72">
        <v>7.9837894E7</v>
      </c>
      <c r="C723" s="74">
        <v>46213.54697412037</v>
      </c>
      <c r="D723" s="2" t="s">
        <v>628</v>
      </c>
      <c r="F723" s="2" t="s">
        <v>630</v>
      </c>
      <c r="G723" s="72">
        <v>3.17973504E8</v>
      </c>
    </row>
    <row r="724">
      <c r="A724" s="73" t="s">
        <v>1348</v>
      </c>
      <c r="C724" s="74">
        <v>46211.75407809028</v>
      </c>
      <c r="D724" s="2" t="s">
        <v>628</v>
      </c>
      <c r="F724" s="2" t="s">
        <v>740</v>
      </c>
      <c r="G724" s="72">
        <v>3.16805637E8</v>
      </c>
    </row>
    <row r="725">
      <c r="A725" s="73" t="s">
        <v>1348</v>
      </c>
      <c r="C725" s="74">
        <v>46210.75172748843</v>
      </c>
      <c r="D725" s="2" t="s">
        <v>628</v>
      </c>
      <c r="F725" s="2" t="s">
        <v>740</v>
      </c>
      <c r="G725" s="72">
        <v>3.16186891E8</v>
      </c>
    </row>
    <row r="726">
      <c r="A726" s="73" t="s">
        <v>1349</v>
      </c>
      <c r="C726" s="74">
        <v>46215.75268585648</v>
      </c>
      <c r="D726" s="2" t="s">
        <v>628</v>
      </c>
      <c r="F726" s="2" t="s">
        <v>1350</v>
      </c>
      <c r="G726" s="72">
        <v>3.19678153E8</v>
      </c>
    </row>
    <row r="727">
      <c r="A727" s="73" t="s">
        <v>1349</v>
      </c>
      <c r="C727" s="74">
        <v>46215.75142726852</v>
      </c>
      <c r="D727" s="2" t="s">
        <v>628</v>
      </c>
      <c r="F727" s="2" t="s">
        <v>1350</v>
      </c>
      <c r="G727" s="72">
        <v>3.19669977E8</v>
      </c>
    </row>
    <row r="728">
      <c r="A728" s="73" t="s">
        <v>1349</v>
      </c>
      <c r="B728" s="72">
        <v>8.0473382E7</v>
      </c>
      <c r="C728" s="74">
        <v>46217.54290954861</v>
      </c>
      <c r="D728" s="2" t="s">
        <v>628</v>
      </c>
      <c r="F728" s="2" t="s">
        <v>630</v>
      </c>
      <c r="G728" s="72">
        <v>3.20718933E8</v>
      </c>
    </row>
    <row r="729">
      <c r="A729" s="73" t="s">
        <v>1349</v>
      </c>
      <c r="C729" s="74">
        <v>46215.752056006946</v>
      </c>
      <c r="D729" s="2" t="s">
        <v>628</v>
      </c>
      <c r="F729" s="2" t="s">
        <v>1350</v>
      </c>
      <c r="G729" s="72">
        <v>3.19674068E8</v>
      </c>
    </row>
    <row r="730">
      <c r="A730" s="73" t="s">
        <v>1351</v>
      </c>
      <c r="B730" s="72">
        <v>8.0221091E7</v>
      </c>
      <c r="C730" s="74">
        <v>46215.75145471065</v>
      </c>
      <c r="D730" s="2" t="s">
        <v>628</v>
      </c>
      <c r="F730" s="2" t="s">
        <v>743</v>
      </c>
      <c r="G730" s="72">
        <v>3.19670152E8</v>
      </c>
    </row>
    <row r="731">
      <c r="A731" s="73" t="s">
        <v>1351</v>
      </c>
      <c r="B731" s="72">
        <v>8.0221091E7</v>
      </c>
      <c r="C731" s="74">
        <v>46219.95951078704</v>
      </c>
      <c r="D731" s="2" t="s">
        <v>628</v>
      </c>
      <c r="F731" s="2" t="s">
        <v>744</v>
      </c>
      <c r="G731" s="72">
        <v>3.22473298E8</v>
      </c>
    </row>
    <row r="732">
      <c r="A732" s="73" t="s">
        <v>1351</v>
      </c>
      <c r="B732" s="72">
        <v>8.0221091E7</v>
      </c>
      <c r="C732" s="74">
        <v>46217.543291875</v>
      </c>
      <c r="D732" s="2" t="s">
        <v>628</v>
      </c>
      <c r="F732" s="2" t="s">
        <v>630</v>
      </c>
      <c r="G732" s="72">
        <v>3.20723742E8</v>
      </c>
    </row>
    <row r="733">
      <c r="A733" s="73" t="s">
        <v>1352</v>
      </c>
      <c r="B733" s="72">
        <v>7.897786E7</v>
      </c>
      <c r="C733" s="74">
        <v>46208.961587847225</v>
      </c>
      <c r="D733" s="2" t="s">
        <v>628</v>
      </c>
      <c r="F733" s="2" t="s">
        <v>1353</v>
      </c>
      <c r="G733" s="72">
        <v>3.15168997E8</v>
      </c>
    </row>
    <row r="734">
      <c r="A734" s="73" t="s">
        <v>1352</v>
      </c>
      <c r="B734" s="72">
        <v>7.897786E7</v>
      </c>
      <c r="C734" s="74">
        <v>46207.75331075232</v>
      </c>
      <c r="D734" s="2" t="s">
        <v>628</v>
      </c>
      <c r="F734" s="2" t="s">
        <v>1354</v>
      </c>
      <c r="G734" s="72">
        <v>3.14295572E8</v>
      </c>
    </row>
    <row r="735">
      <c r="A735" s="73" t="s">
        <v>1355</v>
      </c>
      <c r="B735" s="72">
        <v>8.3025527E7</v>
      </c>
      <c r="C735" s="74">
        <v>46233.961415868056</v>
      </c>
      <c r="D735" s="2" t="s">
        <v>628</v>
      </c>
      <c r="F735" s="2" t="s">
        <v>1356</v>
      </c>
      <c r="G735" s="72">
        <v>3.32309274E8</v>
      </c>
    </row>
    <row r="736">
      <c r="A736" s="73" t="s">
        <v>1355</v>
      </c>
      <c r="B736" s="72">
        <v>8.3025527E7</v>
      </c>
      <c r="C736" s="74">
        <v>46233.66644475695</v>
      </c>
      <c r="D736" s="2" t="s">
        <v>653</v>
      </c>
      <c r="F736" s="2" t="s">
        <v>1357</v>
      </c>
      <c r="G736" s="72">
        <v>3.31988392E8</v>
      </c>
    </row>
    <row r="737">
      <c r="A737" s="73" t="s">
        <v>1355</v>
      </c>
      <c r="B737" s="72">
        <v>8.3025527E7</v>
      </c>
      <c r="C737" s="74">
        <v>46233.66644814815</v>
      </c>
      <c r="D737" s="2" t="s">
        <v>653</v>
      </c>
      <c r="F737" s="2" t="s">
        <v>1357</v>
      </c>
      <c r="G737" s="72">
        <v>3.31988394E8</v>
      </c>
    </row>
    <row r="738">
      <c r="A738" s="73" t="s">
        <v>1355</v>
      </c>
      <c r="B738" s="72">
        <v>8.3025527E7</v>
      </c>
      <c r="C738" s="74">
        <v>46232.75448721065</v>
      </c>
      <c r="D738" s="2" t="s">
        <v>628</v>
      </c>
      <c r="F738" s="2" t="s">
        <v>1358</v>
      </c>
      <c r="G738" s="72">
        <v>3.31391598E8</v>
      </c>
    </row>
    <row r="739">
      <c r="A739" s="73" t="s">
        <v>1355</v>
      </c>
      <c r="B739" s="72">
        <v>8.3025527E7</v>
      </c>
      <c r="C739" s="74">
        <v>46233.66644074074</v>
      </c>
      <c r="D739" s="2" t="s">
        <v>653</v>
      </c>
      <c r="F739" s="2" t="s">
        <v>1359</v>
      </c>
      <c r="G739" s="72">
        <v>3.31988388E8</v>
      </c>
    </row>
    <row r="740">
      <c r="A740" s="73" t="s">
        <v>1355</v>
      </c>
      <c r="B740" s="72">
        <v>8.3025527E7</v>
      </c>
      <c r="C740" s="74">
        <v>46234.546116840276</v>
      </c>
      <c r="D740" s="2" t="s">
        <v>667</v>
      </c>
      <c r="E740" s="2" t="s">
        <v>1332</v>
      </c>
      <c r="F740" s="2" t="s">
        <v>1360</v>
      </c>
      <c r="G740" s="72">
        <v>3.32635846E8</v>
      </c>
    </row>
    <row r="741">
      <c r="A741" s="73" t="s">
        <v>1361</v>
      </c>
      <c r="B741" s="72">
        <v>8.3187529E7</v>
      </c>
      <c r="C741" s="74">
        <v>46233.751256041665</v>
      </c>
      <c r="D741" s="2" t="s">
        <v>628</v>
      </c>
      <c r="F741" s="2" t="s">
        <v>1362</v>
      </c>
      <c r="G741" s="72">
        <v>3.32059578E8</v>
      </c>
    </row>
    <row r="742">
      <c r="A742" s="73" t="s">
        <v>1363</v>
      </c>
      <c r="B742" s="72">
        <v>7.9542991E7</v>
      </c>
      <c r="C742" s="74">
        <v>46214.96149965278</v>
      </c>
      <c r="D742" s="2" t="s">
        <v>628</v>
      </c>
      <c r="F742" s="2" t="s">
        <v>1364</v>
      </c>
      <c r="G742" s="72">
        <v>3.19140506E8</v>
      </c>
    </row>
    <row r="743">
      <c r="A743" s="73" t="s">
        <v>1363</v>
      </c>
      <c r="B743" s="72">
        <v>7.9542991E7</v>
      </c>
      <c r="C743" s="74">
        <v>46211.753831828704</v>
      </c>
      <c r="D743" s="2" t="s">
        <v>628</v>
      </c>
      <c r="F743" s="2" t="s">
        <v>1365</v>
      </c>
      <c r="G743" s="72">
        <v>3.16804751E8</v>
      </c>
    </row>
    <row r="744">
      <c r="A744" s="73" t="s">
        <v>1363</v>
      </c>
      <c r="B744" s="72">
        <v>7.9542991E7</v>
      </c>
      <c r="C744" s="74">
        <v>46213.54606891204</v>
      </c>
      <c r="D744" s="2" t="s">
        <v>628</v>
      </c>
      <c r="F744" s="2" t="s">
        <v>630</v>
      </c>
      <c r="G744" s="72">
        <v>3.1797152E8</v>
      </c>
    </row>
    <row r="745">
      <c r="A745" s="73" t="s">
        <v>1366</v>
      </c>
      <c r="B745" s="72">
        <v>8.1838614E7</v>
      </c>
      <c r="C745" s="74">
        <v>46227.54564444444</v>
      </c>
      <c r="D745" s="2" t="s">
        <v>628</v>
      </c>
      <c r="F745" s="2" t="s">
        <v>630</v>
      </c>
      <c r="G745" s="72">
        <v>3.27650836E8</v>
      </c>
    </row>
    <row r="746">
      <c r="A746" s="73" t="s">
        <v>1366</v>
      </c>
      <c r="B746" s="72">
        <v>8.1838614E7</v>
      </c>
      <c r="C746" s="74">
        <v>46225.75339809028</v>
      </c>
      <c r="D746" s="2" t="s">
        <v>628</v>
      </c>
      <c r="F746" s="2" t="s">
        <v>740</v>
      </c>
      <c r="G746" s="72">
        <v>3.26441508E8</v>
      </c>
    </row>
    <row r="747">
      <c r="A747" s="73" t="s">
        <v>1366</v>
      </c>
      <c r="B747" s="72">
        <v>8.1838614E7</v>
      </c>
      <c r="C747" s="74">
        <v>46229.96196457176</v>
      </c>
      <c r="D747" s="2" t="s">
        <v>628</v>
      </c>
      <c r="F747" s="2" t="s">
        <v>739</v>
      </c>
      <c r="G747" s="72">
        <v>3.29616345E8</v>
      </c>
    </row>
    <row r="748">
      <c r="A748" s="73" t="s">
        <v>1367</v>
      </c>
      <c r="C748" s="74">
        <v>46233.752228819445</v>
      </c>
      <c r="D748" s="2" t="s">
        <v>628</v>
      </c>
      <c r="F748" s="2" t="s">
        <v>1368</v>
      </c>
      <c r="G748" s="72">
        <v>3.3206824E8</v>
      </c>
    </row>
    <row r="749">
      <c r="A749" s="73" t="s">
        <v>1369</v>
      </c>
      <c r="B749" s="72">
        <v>8.2008971E7</v>
      </c>
      <c r="C749" s="74">
        <v>46228.96175387732</v>
      </c>
      <c r="D749" s="2" t="s">
        <v>628</v>
      </c>
      <c r="F749" s="2" t="s">
        <v>1370</v>
      </c>
      <c r="G749" s="72">
        <v>3.28870027E8</v>
      </c>
    </row>
    <row r="750">
      <c r="A750" s="73" t="s">
        <v>1369</v>
      </c>
      <c r="B750" s="72">
        <v>8.2008971E7</v>
      </c>
      <c r="C750" s="74">
        <v>46226.75464108796</v>
      </c>
      <c r="D750" s="2" t="s">
        <v>628</v>
      </c>
      <c r="F750" s="2" t="s">
        <v>1371</v>
      </c>
      <c r="G750" s="72">
        <v>3.27122851E8</v>
      </c>
    </row>
    <row r="751">
      <c r="A751" s="73" t="s">
        <v>1369</v>
      </c>
      <c r="B751" s="72">
        <v>8.2008971E7</v>
      </c>
      <c r="C751" s="74">
        <v>46228.54502827546</v>
      </c>
      <c r="D751" s="2" t="s">
        <v>628</v>
      </c>
      <c r="F751" s="2" t="s">
        <v>630</v>
      </c>
      <c r="G751" s="72">
        <v>3.2843574E8</v>
      </c>
    </row>
    <row r="752">
      <c r="A752" s="73" t="s">
        <v>1372</v>
      </c>
      <c r="B752" s="72">
        <v>7.9355509E7</v>
      </c>
      <c r="C752" s="74">
        <v>46210.544910219905</v>
      </c>
      <c r="D752" s="2" t="s">
        <v>628</v>
      </c>
      <c r="F752" s="2" t="s">
        <v>630</v>
      </c>
      <c r="G752" s="72">
        <v>3.16029154E8</v>
      </c>
    </row>
    <row r="753">
      <c r="A753" s="73" t="s">
        <v>1372</v>
      </c>
      <c r="B753" s="72">
        <v>7.9355509E7</v>
      </c>
      <c r="C753" s="74">
        <v>46211.961760798615</v>
      </c>
      <c r="D753" s="2" t="s">
        <v>628</v>
      </c>
      <c r="F753" s="2" t="s">
        <v>674</v>
      </c>
      <c r="G753" s="72">
        <v>3.16990634E8</v>
      </c>
    </row>
    <row r="754">
      <c r="A754" s="73" t="s">
        <v>1373</v>
      </c>
      <c r="B754" s="72">
        <v>8.2190446E7</v>
      </c>
      <c r="C754" s="74">
        <v>46227.75233407407</v>
      </c>
      <c r="D754" s="2" t="s">
        <v>628</v>
      </c>
      <c r="F754" s="2" t="s">
        <v>1374</v>
      </c>
      <c r="G754" s="72">
        <v>3.27870222E8</v>
      </c>
    </row>
    <row r="755">
      <c r="A755" s="73" t="s">
        <v>1373</v>
      </c>
      <c r="B755" s="72">
        <v>8.2190446E7</v>
      </c>
      <c r="C755" s="74">
        <v>46228.95964939815</v>
      </c>
      <c r="D755" s="2" t="s">
        <v>628</v>
      </c>
      <c r="F755" s="2" t="s">
        <v>1375</v>
      </c>
      <c r="G755" s="72">
        <v>3.28858754E8</v>
      </c>
    </row>
    <row r="756">
      <c r="A756" s="73" t="s">
        <v>1376</v>
      </c>
      <c r="B756" s="72">
        <v>8.0069459E7</v>
      </c>
      <c r="C756" s="74">
        <v>46214.753377291665</v>
      </c>
      <c r="D756" s="2" t="s">
        <v>628</v>
      </c>
      <c r="F756" s="2" t="s">
        <v>1377</v>
      </c>
      <c r="G756" s="72">
        <v>3.18926291E8</v>
      </c>
    </row>
    <row r="757">
      <c r="A757" s="73" t="s">
        <v>1376</v>
      </c>
      <c r="B757" s="72">
        <v>8.0069459E7</v>
      </c>
      <c r="C757" s="74">
        <v>46216.54514611111</v>
      </c>
      <c r="D757" s="2" t="s">
        <v>628</v>
      </c>
      <c r="F757" s="2" t="s">
        <v>630</v>
      </c>
      <c r="G757" s="72">
        <v>3.20122709E8</v>
      </c>
    </row>
    <row r="758">
      <c r="A758" s="73" t="s">
        <v>1376</v>
      </c>
      <c r="B758" s="72">
        <v>8.0069459E7</v>
      </c>
      <c r="C758" s="74">
        <v>46219.961869606486</v>
      </c>
      <c r="D758" s="2" t="s">
        <v>628</v>
      </c>
      <c r="F758" s="2" t="s">
        <v>1378</v>
      </c>
      <c r="G758" s="72">
        <v>3.22481741E8</v>
      </c>
    </row>
    <row r="759">
      <c r="A759" s="73" t="s">
        <v>1379</v>
      </c>
      <c r="B759" s="72">
        <v>8.0362683E7</v>
      </c>
      <c r="C759" s="74">
        <v>46217.96070422453</v>
      </c>
      <c r="D759" s="2" t="s">
        <v>628</v>
      </c>
      <c r="F759" s="2" t="s">
        <v>1380</v>
      </c>
      <c r="G759" s="72">
        <v>3.21114431E8</v>
      </c>
    </row>
    <row r="760">
      <c r="A760" s="73" t="s">
        <v>1379</v>
      </c>
      <c r="B760" s="72">
        <v>8.0362683E7</v>
      </c>
      <c r="C760" s="74">
        <v>46216.752466377315</v>
      </c>
      <c r="D760" s="2" t="s">
        <v>628</v>
      </c>
      <c r="F760" s="2" t="s">
        <v>1381</v>
      </c>
      <c r="G760" s="72">
        <v>3.20292352E8</v>
      </c>
    </row>
    <row r="761">
      <c r="A761" s="73" t="s">
        <v>1382</v>
      </c>
      <c r="B761" s="72">
        <v>8.0517493E7</v>
      </c>
      <c r="C761" s="74">
        <v>46221.96058653935</v>
      </c>
      <c r="D761" s="2" t="s">
        <v>628</v>
      </c>
      <c r="F761" s="2" t="s">
        <v>1383</v>
      </c>
      <c r="G761" s="72">
        <v>3.23995932E8</v>
      </c>
    </row>
    <row r="762">
      <c r="A762" s="73" t="s">
        <v>1382</v>
      </c>
      <c r="B762" s="72">
        <v>8.0517493E7</v>
      </c>
      <c r="C762" s="74">
        <v>46222.58471822916</v>
      </c>
      <c r="D762" s="2" t="s">
        <v>653</v>
      </c>
      <c r="F762" s="2" t="s">
        <v>1384</v>
      </c>
      <c r="G762" s="72">
        <v>3.24383429E8</v>
      </c>
    </row>
    <row r="763">
      <c r="A763" s="73" t="s">
        <v>1382</v>
      </c>
      <c r="B763" s="72">
        <v>8.0517493E7</v>
      </c>
      <c r="C763" s="74">
        <v>46218.6580741088</v>
      </c>
      <c r="D763" s="2" t="s">
        <v>705</v>
      </c>
      <c r="F763" s="2" t="s">
        <v>1150</v>
      </c>
      <c r="G763" s="72">
        <v>3.21483729E8</v>
      </c>
    </row>
    <row r="764">
      <c r="A764" s="73" t="s">
        <v>1382</v>
      </c>
      <c r="B764" s="72">
        <v>8.0517493E7</v>
      </c>
      <c r="C764" s="74">
        <v>46219.54416650463</v>
      </c>
      <c r="D764" s="2" t="s">
        <v>628</v>
      </c>
      <c r="F764" s="2" t="s">
        <v>630</v>
      </c>
      <c r="G764" s="72">
        <v>3.22035838E8</v>
      </c>
    </row>
    <row r="765">
      <c r="A765" s="73" t="s">
        <v>1382</v>
      </c>
      <c r="B765" s="72">
        <v>8.0517493E7</v>
      </c>
      <c r="C765" s="74">
        <v>46217.75305878472</v>
      </c>
      <c r="D765" s="2" t="s">
        <v>628</v>
      </c>
      <c r="F765" s="2" t="s">
        <v>1385</v>
      </c>
      <c r="G765" s="72">
        <v>3.20926128E8</v>
      </c>
    </row>
    <row r="766">
      <c r="A766" s="73" t="s">
        <v>1382</v>
      </c>
      <c r="B766" s="72">
        <v>8.0517493E7</v>
      </c>
      <c r="C766" s="74">
        <v>46224.477507268515</v>
      </c>
      <c r="D766" s="2" t="s">
        <v>653</v>
      </c>
      <c r="F766" s="2" t="s">
        <v>1386</v>
      </c>
      <c r="G766" s="72">
        <v>3.25536242E8</v>
      </c>
    </row>
    <row r="767">
      <c r="A767" s="73" t="s">
        <v>1382</v>
      </c>
      <c r="B767" s="72">
        <v>8.0517493E7</v>
      </c>
      <c r="C767" s="74">
        <v>46218.658082951384</v>
      </c>
      <c r="D767" s="2" t="s">
        <v>653</v>
      </c>
      <c r="F767" s="2" t="s">
        <v>1387</v>
      </c>
      <c r="G767" s="72">
        <v>3.21483733E8</v>
      </c>
    </row>
    <row r="768">
      <c r="A768" s="73" t="s">
        <v>1382</v>
      </c>
      <c r="B768" s="72">
        <v>8.0517493E7</v>
      </c>
      <c r="C768" s="74">
        <v>46218.65808688657</v>
      </c>
      <c r="D768" s="2" t="s">
        <v>653</v>
      </c>
      <c r="F768" s="2" t="s">
        <v>1388</v>
      </c>
      <c r="G768" s="72">
        <v>3.21483734E8</v>
      </c>
    </row>
    <row r="769">
      <c r="A769" s="73" t="s">
        <v>1382</v>
      </c>
      <c r="B769" s="72">
        <v>8.0517493E7</v>
      </c>
      <c r="C769" s="74">
        <v>46218.658090694444</v>
      </c>
      <c r="D769" s="2" t="s">
        <v>653</v>
      </c>
      <c r="F769" s="2" t="s">
        <v>1389</v>
      </c>
      <c r="G769" s="72">
        <v>3.21483736E8</v>
      </c>
    </row>
    <row r="770">
      <c r="A770" s="73" t="s">
        <v>1382</v>
      </c>
      <c r="B770" s="72">
        <v>8.0517493E7</v>
      </c>
      <c r="C770" s="74">
        <v>46218.65807900463</v>
      </c>
      <c r="D770" s="2" t="s">
        <v>653</v>
      </c>
      <c r="F770" s="2" t="s">
        <v>753</v>
      </c>
      <c r="G770" s="72">
        <v>3.2148373E8</v>
      </c>
    </row>
    <row r="771">
      <c r="A771" s="73" t="s">
        <v>1390</v>
      </c>
      <c r="B771" s="72">
        <v>8.1034792E7</v>
      </c>
      <c r="C771" s="74">
        <v>46220.75622675926</v>
      </c>
      <c r="D771" s="2" t="s">
        <v>705</v>
      </c>
      <c r="F771" s="2" t="s">
        <v>1391</v>
      </c>
      <c r="G771" s="72">
        <v>3.23017012E8</v>
      </c>
    </row>
    <row r="772">
      <c r="A772" s="73" t="s">
        <v>1390</v>
      </c>
      <c r="B772" s="72">
        <v>8.1034792E7</v>
      </c>
      <c r="C772" s="74">
        <v>46220.75623767361</v>
      </c>
      <c r="D772" s="2" t="s">
        <v>705</v>
      </c>
      <c r="F772" s="2" t="s">
        <v>1392</v>
      </c>
      <c r="G772" s="72">
        <v>3.23017023E8</v>
      </c>
    </row>
    <row r="773">
      <c r="A773" s="73" t="s">
        <v>1390</v>
      </c>
      <c r="B773" s="72">
        <v>8.1034792E7</v>
      </c>
      <c r="C773" s="74">
        <v>46220.75369783565</v>
      </c>
      <c r="D773" s="2" t="s">
        <v>628</v>
      </c>
      <c r="F773" s="2" t="s">
        <v>1393</v>
      </c>
      <c r="G773" s="72">
        <v>3.23012496E8</v>
      </c>
    </row>
    <row r="774">
      <c r="A774" s="73" t="s">
        <v>1390</v>
      </c>
      <c r="B774" s="72">
        <v>8.1034792E7</v>
      </c>
      <c r="C774" s="74">
        <v>46221.960974953705</v>
      </c>
      <c r="D774" s="2" t="s">
        <v>628</v>
      </c>
      <c r="F774" s="2" t="s">
        <v>1394</v>
      </c>
      <c r="G774" s="72">
        <v>3.23998517E8</v>
      </c>
    </row>
    <row r="775">
      <c r="A775" s="73" t="s">
        <v>1390</v>
      </c>
      <c r="B775" s="72">
        <v>8.1034792E7</v>
      </c>
      <c r="C775" s="74">
        <v>46220.75624304399</v>
      </c>
      <c r="D775" s="2" t="s">
        <v>653</v>
      </c>
      <c r="F775" s="2" t="s">
        <v>1395</v>
      </c>
      <c r="G775" s="72">
        <v>3.23017031E8</v>
      </c>
    </row>
    <row r="776">
      <c r="A776" s="73" t="s">
        <v>1396</v>
      </c>
      <c r="B776" s="72">
        <v>8.2859696E7</v>
      </c>
      <c r="C776" s="74">
        <v>46231.805818356486</v>
      </c>
      <c r="D776" s="2" t="s">
        <v>653</v>
      </c>
      <c r="F776" s="2" t="s">
        <v>1397</v>
      </c>
      <c r="G776" s="72">
        <v>3.30780182E8</v>
      </c>
    </row>
    <row r="777">
      <c r="A777" s="73" t="s">
        <v>1396</v>
      </c>
      <c r="B777" s="72">
        <v>8.2859696E7</v>
      </c>
      <c r="C777" s="74">
        <v>46233.544726736116</v>
      </c>
      <c r="D777" s="2" t="s">
        <v>628</v>
      </c>
      <c r="F777" s="2" t="s">
        <v>630</v>
      </c>
      <c r="G777" s="72">
        <v>3.31852567E8</v>
      </c>
    </row>
    <row r="778">
      <c r="A778" s="73" t="s">
        <v>1396</v>
      </c>
      <c r="B778" s="72">
        <v>8.2859696E7</v>
      </c>
      <c r="C778" s="74">
        <v>46231.80580834491</v>
      </c>
      <c r="D778" s="2" t="s">
        <v>705</v>
      </c>
      <c r="F778" s="2" t="s">
        <v>1398</v>
      </c>
      <c r="G778" s="72">
        <v>3.30780174E8</v>
      </c>
    </row>
    <row r="779">
      <c r="A779" s="73" t="s">
        <v>1396</v>
      </c>
      <c r="B779" s="72">
        <v>8.2859696E7</v>
      </c>
      <c r="C779" s="74">
        <v>46231.80581322916</v>
      </c>
      <c r="D779" s="2" t="s">
        <v>653</v>
      </c>
      <c r="F779" s="2" t="s">
        <v>1399</v>
      </c>
      <c r="G779" s="72">
        <v>3.30780179E8</v>
      </c>
    </row>
    <row r="780">
      <c r="A780" s="73" t="s">
        <v>1396</v>
      </c>
      <c r="B780" s="72">
        <v>8.2859696E7</v>
      </c>
      <c r="C780" s="74">
        <v>46231.752448541665</v>
      </c>
      <c r="D780" s="2" t="s">
        <v>628</v>
      </c>
      <c r="F780" s="2" t="s">
        <v>683</v>
      </c>
      <c r="G780" s="72">
        <v>3.30723427E8</v>
      </c>
    </row>
    <row r="781">
      <c r="A781" s="73" t="s">
        <v>1396</v>
      </c>
      <c r="B781" s="72">
        <v>8.2859696E7</v>
      </c>
      <c r="C781" s="74">
        <v>46234.96015483796</v>
      </c>
      <c r="D781" s="2" t="s">
        <v>628</v>
      </c>
      <c r="F781" s="2" t="s">
        <v>717</v>
      </c>
      <c r="G781" s="72">
        <v>3.33098662E8</v>
      </c>
    </row>
    <row r="782">
      <c r="A782" s="73" t="s">
        <v>1400</v>
      </c>
      <c r="B782" s="72">
        <v>8.0364543E7</v>
      </c>
      <c r="C782" s="74">
        <v>46217.95991787037</v>
      </c>
      <c r="D782" s="2" t="s">
        <v>628</v>
      </c>
      <c r="F782" s="2" t="s">
        <v>1401</v>
      </c>
      <c r="G782" s="72">
        <v>3.21112423E8</v>
      </c>
    </row>
    <row r="783">
      <c r="A783" s="73" t="s">
        <v>1400</v>
      </c>
      <c r="B783" s="72">
        <v>8.0364543E7</v>
      </c>
      <c r="C783" s="74">
        <v>46216.75323648148</v>
      </c>
      <c r="D783" s="2" t="s">
        <v>628</v>
      </c>
      <c r="F783" s="2" t="s">
        <v>1402</v>
      </c>
      <c r="G783" s="72">
        <v>3.2029695E8</v>
      </c>
    </row>
    <row r="784">
      <c r="A784" s="73" t="s">
        <v>1403</v>
      </c>
      <c r="B784" s="72">
        <v>7.8149676E7</v>
      </c>
      <c r="C784" s="74">
        <v>46208.96169013889</v>
      </c>
      <c r="D784" s="2" t="s">
        <v>628</v>
      </c>
      <c r="F784" s="2" t="s">
        <v>671</v>
      </c>
      <c r="G784" s="72">
        <v>3.15169271E8</v>
      </c>
    </row>
    <row r="785">
      <c r="A785" s="73" t="s">
        <v>1404</v>
      </c>
      <c r="B785" s="72">
        <v>7.9393019E7</v>
      </c>
      <c r="C785" s="74">
        <v>46210.753265694446</v>
      </c>
      <c r="D785" s="2" t="s">
        <v>628</v>
      </c>
      <c r="F785" s="2" t="s">
        <v>1405</v>
      </c>
      <c r="G785" s="72">
        <v>3.16197556E8</v>
      </c>
    </row>
    <row r="786">
      <c r="A786" s="73" t="s">
        <v>1404</v>
      </c>
      <c r="B786" s="72">
        <v>7.9393019E7</v>
      </c>
      <c r="C786" s="74">
        <v>46211.96116255787</v>
      </c>
      <c r="D786" s="2" t="s">
        <v>628</v>
      </c>
      <c r="F786" s="2" t="s">
        <v>1406</v>
      </c>
      <c r="G786" s="72">
        <v>3.16988839E8</v>
      </c>
    </row>
    <row r="787">
      <c r="A787" s="73" t="s">
        <v>1407</v>
      </c>
      <c r="B787" s="72">
        <v>8.3360052E7</v>
      </c>
      <c r="C787" s="74">
        <v>46234.650347256946</v>
      </c>
      <c r="D787" s="2" t="s">
        <v>667</v>
      </c>
      <c r="E787" s="2" t="s">
        <v>886</v>
      </c>
      <c r="F787" s="2" t="s">
        <v>1408</v>
      </c>
      <c r="G787" s="72">
        <v>3.32748537E8</v>
      </c>
    </row>
    <row r="788">
      <c r="A788" s="73" t="s">
        <v>1407</v>
      </c>
      <c r="B788" s="72">
        <v>8.3360052E7</v>
      </c>
      <c r="C788" s="74">
        <v>46234.6460915625</v>
      </c>
      <c r="D788" s="2" t="s">
        <v>705</v>
      </c>
      <c r="F788" s="2" t="s">
        <v>1409</v>
      </c>
      <c r="G788" s="72">
        <v>3.32746742E8</v>
      </c>
    </row>
    <row r="789">
      <c r="A789" s="73" t="s">
        <v>1410</v>
      </c>
      <c r="B789" s="72">
        <v>8.0893707E7</v>
      </c>
      <c r="C789" s="74">
        <v>46220.05436552083</v>
      </c>
      <c r="D789" s="2" t="s">
        <v>628</v>
      </c>
      <c r="F789" s="2" t="s">
        <v>1411</v>
      </c>
      <c r="G789" s="72">
        <v>3.22551285E8</v>
      </c>
    </row>
    <row r="790">
      <c r="A790" s="73" t="s">
        <v>1410</v>
      </c>
      <c r="B790" s="72">
        <v>8.0893707E7</v>
      </c>
      <c r="C790" s="74">
        <v>46220.05547366898</v>
      </c>
      <c r="D790" s="2" t="s">
        <v>653</v>
      </c>
      <c r="F790" s="2" t="s">
        <v>1412</v>
      </c>
      <c r="G790" s="72">
        <v>3.22551794E8</v>
      </c>
    </row>
    <row r="791">
      <c r="A791" s="73" t="s">
        <v>1410</v>
      </c>
      <c r="B791" s="72">
        <v>8.0893707E7</v>
      </c>
      <c r="C791" s="74">
        <v>46220.05547060185</v>
      </c>
      <c r="D791" s="2" t="s">
        <v>653</v>
      </c>
      <c r="F791" s="2" t="s">
        <v>919</v>
      </c>
      <c r="G791" s="72">
        <v>3.22551792E8</v>
      </c>
    </row>
    <row r="792">
      <c r="A792" s="73" t="s">
        <v>1410</v>
      </c>
      <c r="B792" s="72">
        <v>8.0893707E7</v>
      </c>
      <c r="C792" s="74">
        <v>46220.055467303246</v>
      </c>
      <c r="D792" s="2" t="s">
        <v>705</v>
      </c>
      <c r="F792" s="2" t="s">
        <v>1413</v>
      </c>
      <c r="G792" s="72">
        <v>3.22551791E8</v>
      </c>
    </row>
    <row r="793">
      <c r="A793" s="73" t="s">
        <v>1410</v>
      </c>
      <c r="B793" s="72">
        <v>8.0893707E7</v>
      </c>
      <c r="C793" s="74">
        <v>46220.656207893524</v>
      </c>
      <c r="D793" s="2" t="s">
        <v>653</v>
      </c>
      <c r="F793" s="2" t="s">
        <v>1414</v>
      </c>
      <c r="G793" s="72">
        <v>3.22910099E8</v>
      </c>
    </row>
    <row r="794">
      <c r="A794" s="73" t="s">
        <v>1415</v>
      </c>
      <c r="B794" s="72">
        <v>8.1218928E7</v>
      </c>
      <c r="C794" s="74">
        <v>46223.54349125</v>
      </c>
      <c r="D794" s="2" t="s">
        <v>628</v>
      </c>
      <c r="F794" s="2" t="s">
        <v>630</v>
      </c>
      <c r="G794" s="72">
        <v>3.24966777E8</v>
      </c>
    </row>
    <row r="795">
      <c r="A795" s="73" t="s">
        <v>1415</v>
      </c>
      <c r="B795" s="72">
        <v>8.1218928E7</v>
      </c>
      <c r="C795" s="74">
        <v>46221.75254450232</v>
      </c>
      <c r="D795" s="2" t="s">
        <v>628</v>
      </c>
      <c r="F795" s="2" t="s">
        <v>1416</v>
      </c>
      <c r="G795" s="72">
        <v>3.23775596E8</v>
      </c>
    </row>
    <row r="796">
      <c r="A796" s="73" t="s">
        <v>1415</v>
      </c>
      <c r="B796" s="72">
        <v>8.1218928E7</v>
      </c>
      <c r="C796" s="74">
        <v>46225.96019145833</v>
      </c>
      <c r="D796" s="2" t="s">
        <v>628</v>
      </c>
      <c r="F796" s="2" t="s">
        <v>1417</v>
      </c>
      <c r="G796" s="72">
        <v>3.26629723E8</v>
      </c>
    </row>
    <row r="797">
      <c r="A797" s="73" t="s">
        <v>1418</v>
      </c>
      <c r="B797" s="72">
        <v>8.1110886E7</v>
      </c>
      <c r="C797" s="74">
        <v>46220.96825167824</v>
      </c>
      <c r="D797" s="2" t="s">
        <v>628</v>
      </c>
      <c r="F797" s="2" t="s">
        <v>1419</v>
      </c>
      <c r="G797" s="72">
        <v>3.23256119E8</v>
      </c>
    </row>
    <row r="798">
      <c r="A798" s="73" t="s">
        <v>1418</v>
      </c>
      <c r="B798" s="72">
        <v>8.1110886E7</v>
      </c>
      <c r="C798" s="74">
        <v>46221.95910862269</v>
      </c>
      <c r="D798" s="2" t="s">
        <v>628</v>
      </c>
      <c r="F798" s="2" t="s">
        <v>1420</v>
      </c>
      <c r="G798" s="72">
        <v>3.2398813E8</v>
      </c>
    </row>
    <row r="799">
      <c r="A799" s="73" t="s">
        <v>1421</v>
      </c>
      <c r="B799" s="72">
        <v>8.238371E7</v>
      </c>
      <c r="C799" s="74">
        <v>46228.75202738426</v>
      </c>
      <c r="D799" s="2" t="s">
        <v>628</v>
      </c>
      <c r="F799" s="2" t="s">
        <v>854</v>
      </c>
      <c r="G799" s="72">
        <v>3.28642602E8</v>
      </c>
    </row>
    <row r="800">
      <c r="A800" s="73" t="s">
        <v>1421</v>
      </c>
      <c r="B800" s="72">
        <v>8.238371E7</v>
      </c>
      <c r="C800" s="74">
        <v>46230.54509789352</v>
      </c>
      <c r="D800" s="2" t="s">
        <v>628</v>
      </c>
      <c r="F800" s="2" t="s">
        <v>630</v>
      </c>
      <c r="G800" s="72">
        <v>3.29867961E8</v>
      </c>
    </row>
    <row r="801">
      <c r="A801" s="73" t="s">
        <v>1421</v>
      </c>
      <c r="B801" s="72">
        <v>8.238371E7</v>
      </c>
      <c r="C801" s="74">
        <v>46230.96055275463</v>
      </c>
      <c r="D801" s="2" t="s">
        <v>628</v>
      </c>
      <c r="F801" s="2" t="s">
        <v>855</v>
      </c>
      <c r="G801" s="72">
        <v>3.30269805E8</v>
      </c>
    </row>
    <row r="802">
      <c r="A802" s="73" t="s">
        <v>1422</v>
      </c>
      <c r="B802" s="72">
        <v>8.2196776E7</v>
      </c>
      <c r="C802" s="74">
        <v>46227.75369082176</v>
      </c>
      <c r="D802" s="2" t="s">
        <v>628</v>
      </c>
      <c r="F802" s="2" t="s">
        <v>1423</v>
      </c>
      <c r="G802" s="72">
        <v>3.27883236E8</v>
      </c>
    </row>
    <row r="803">
      <c r="A803" s="73" t="s">
        <v>1422</v>
      </c>
      <c r="B803" s="72">
        <v>8.2196776E7</v>
      </c>
      <c r="C803" s="74">
        <v>46230.66004346065</v>
      </c>
      <c r="D803" s="2" t="s">
        <v>653</v>
      </c>
      <c r="F803" s="2" t="s">
        <v>1424</v>
      </c>
      <c r="G803" s="72">
        <v>3.2998908E8</v>
      </c>
    </row>
    <row r="804">
      <c r="A804" s="73" t="s">
        <v>1422</v>
      </c>
      <c r="B804" s="72">
        <v>8.2196776E7</v>
      </c>
      <c r="C804" s="74">
        <v>46232.47289244213</v>
      </c>
      <c r="D804" s="2" t="s">
        <v>653</v>
      </c>
      <c r="F804" s="2" t="s">
        <v>1425</v>
      </c>
      <c r="G804" s="72">
        <v>3.31096077E8</v>
      </c>
    </row>
    <row r="805">
      <c r="A805" s="73" t="s">
        <v>1422</v>
      </c>
      <c r="B805" s="72">
        <v>8.2196776E7</v>
      </c>
      <c r="C805" s="74">
        <v>46228.67519866898</v>
      </c>
      <c r="D805" s="2" t="s">
        <v>653</v>
      </c>
      <c r="F805" s="2" t="s">
        <v>1426</v>
      </c>
      <c r="G805" s="72">
        <v>3.28582527E8</v>
      </c>
    </row>
    <row r="806">
      <c r="A806" s="73" t="s">
        <v>1422</v>
      </c>
      <c r="B806" s="72">
        <v>8.2196776E7</v>
      </c>
      <c r="C806" s="74">
        <v>46228.675206064814</v>
      </c>
      <c r="D806" s="2" t="s">
        <v>653</v>
      </c>
      <c r="F806" s="2" t="s">
        <v>1427</v>
      </c>
      <c r="G806" s="72">
        <v>3.28582533E8</v>
      </c>
    </row>
    <row r="807">
      <c r="A807" s="73" t="s">
        <v>1422</v>
      </c>
      <c r="B807" s="72">
        <v>8.2196776E7</v>
      </c>
      <c r="C807" s="74">
        <v>46228.675202557875</v>
      </c>
      <c r="D807" s="2" t="s">
        <v>653</v>
      </c>
      <c r="F807" s="2" t="s">
        <v>1427</v>
      </c>
      <c r="G807" s="72">
        <v>3.28582532E8</v>
      </c>
    </row>
    <row r="808">
      <c r="A808" s="73" t="s">
        <v>1422</v>
      </c>
      <c r="B808" s="72">
        <v>8.2196776E7</v>
      </c>
      <c r="C808" s="74">
        <v>46229.961706898146</v>
      </c>
      <c r="D808" s="2" t="s">
        <v>628</v>
      </c>
      <c r="F808" s="2" t="s">
        <v>1428</v>
      </c>
      <c r="G808" s="72">
        <v>3.29615607E8</v>
      </c>
    </row>
    <row r="809">
      <c r="A809" s="73" t="s">
        <v>1422</v>
      </c>
      <c r="B809" s="72">
        <v>8.2196776E7</v>
      </c>
      <c r="C809" s="74">
        <v>46229.54662501157</v>
      </c>
      <c r="D809" s="2" t="s">
        <v>628</v>
      </c>
      <c r="F809" s="2" t="s">
        <v>630</v>
      </c>
      <c r="G809" s="72">
        <v>3.29228872E8</v>
      </c>
    </row>
    <row r="810">
      <c r="A810" s="73" t="s">
        <v>1429</v>
      </c>
      <c r="B810" s="72">
        <v>8.3017741E7</v>
      </c>
      <c r="C810" s="74">
        <v>46232.75115335648</v>
      </c>
      <c r="D810" s="2" t="s">
        <v>628</v>
      </c>
      <c r="F810" s="2" t="s">
        <v>1430</v>
      </c>
      <c r="G810" s="72">
        <v>3.31373394E8</v>
      </c>
    </row>
    <row r="811">
      <c r="A811" s="73" t="s">
        <v>1429</v>
      </c>
      <c r="B811" s="72">
        <v>8.3017741E7</v>
      </c>
      <c r="C811" s="74">
        <v>46234.54347958333</v>
      </c>
      <c r="D811" s="2" t="s">
        <v>628</v>
      </c>
      <c r="F811" s="2" t="s">
        <v>630</v>
      </c>
      <c r="G811" s="72">
        <v>3.32596842E8</v>
      </c>
    </row>
    <row r="812">
      <c r="A812" s="73" t="s">
        <v>1431</v>
      </c>
      <c r="B812" s="72">
        <v>8.219251E7</v>
      </c>
      <c r="C812" s="74">
        <v>46229.54520525463</v>
      </c>
      <c r="D812" s="2" t="s">
        <v>628</v>
      </c>
      <c r="F812" s="2" t="s">
        <v>630</v>
      </c>
      <c r="G812" s="72">
        <v>3.29208021E8</v>
      </c>
    </row>
    <row r="813">
      <c r="A813" s="73" t="s">
        <v>1431</v>
      </c>
      <c r="B813" s="72">
        <v>8.219251E7</v>
      </c>
      <c r="C813" s="74">
        <v>46230.959931307865</v>
      </c>
      <c r="D813" s="2" t="s">
        <v>628</v>
      </c>
      <c r="F813" s="2" t="s">
        <v>1432</v>
      </c>
      <c r="G813" s="72">
        <v>3.30267862E8</v>
      </c>
    </row>
    <row r="814">
      <c r="A814" s="73" t="s">
        <v>1431</v>
      </c>
      <c r="B814" s="72">
        <v>8.219251E7</v>
      </c>
      <c r="C814" s="74">
        <v>46227.752836087966</v>
      </c>
      <c r="D814" s="2" t="s">
        <v>628</v>
      </c>
      <c r="F814" s="2" t="s">
        <v>1433</v>
      </c>
      <c r="G814" s="72">
        <v>3.27874545E8</v>
      </c>
    </row>
    <row r="815">
      <c r="A815" s="73" t="s">
        <v>1434</v>
      </c>
      <c r="B815" s="72">
        <v>8.0478761E7</v>
      </c>
      <c r="C815" s="74">
        <v>46218.96213371528</v>
      </c>
      <c r="D815" s="2" t="s">
        <v>628</v>
      </c>
      <c r="F815" s="2" t="s">
        <v>1435</v>
      </c>
      <c r="G815" s="72">
        <v>3.21775465E8</v>
      </c>
    </row>
    <row r="816">
      <c r="A816" s="73" t="s">
        <v>1434</v>
      </c>
      <c r="B816" s="72">
        <v>8.0478761E7</v>
      </c>
      <c r="C816" s="74">
        <v>46217.54598335648</v>
      </c>
      <c r="D816" s="2" t="s">
        <v>628</v>
      </c>
      <c r="F816" s="2" t="s">
        <v>630</v>
      </c>
      <c r="G816" s="72">
        <v>3.20748574E8</v>
      </c>
    </row>
    <row r="817">
      <c r="A817" s="73" t="s">
        <v>1436</v>
      </c>
      <c r="B817" s="72">
        <v>8.1435629E7</v>
      </c>
      <c r="C817" s="74">
        <v>46222.96722704861</v>
      </c>
      <c r="D817" s="2" t="s">
        <v>653</v>
      </c>
      <c r="F817" s="2" t="s">
        <v>1437</v>
      </c>
      <c r="G817" s="72">
        <v>3.24732614E8</v>
      </c>
    </row>
    <row r="818">
      <c r="A818" s="73" t="s">
        <v>1436</v>
      </c>
      <c r="B818" s="72">
        <v>8.1435629E7</v>
      </c>
      <c r="C818" s="74">
        <v>46222.96723068287</v>
      </c>
      <c r="D818" s="2" t="s">
        <v>653</v>
      </c>
      <c r="F818" s="2" t="s">
        <v>1437</v>
      </c>
      <c r="G818" s="72">
        <v>3.24732616E8</v>
      </c>
    </row>
    <row r="819">
      <c r="A819" s="73" t="s">
        <v>1436</v>
      </c>
      <c r="B819" s="72">
        <v>8.1435629E7</v>
      </c>
      <c r="C819" s="74">
        <v>46225.45790890046</v>
      </c>
      <c r="D819" s="2" t="s">
        <v>653</v>
      </c>
      <c r="F819" s="2" t="s">
        <v>1438</v>
      </c>
      <c r="G819" s="72">
        <v>3.26121498E8</v>
      </c>
    </row>
    <row r="820">
      <c r="A820" s="73" t="s">
        <v>1436</v>
      </c>
      <c r="B820" s="72">
        <v>8.1435629E7</v>
      </c>
      <c r="C820" s="74">
        <v>46223.675410613425</v>
      </c>
      <c r="D820" s="2" t="s">
        <v>653</v>
      </c>
      <c r="F820" s="2" t="s">
        <v>1439</v>
      </c>
      <c r="G820" s="72">
        <v>3.25118642E8</v>
      </c>
    </row>
    <row r="821">
      <c r="A821" s="73" t="s">
        <v>1436</v>
      </c>
      <c r="B821" s="72">
        <v>8.1435629E7</v>
      </c>
      <c r="C821" s="74">
        <v>46221.753422685186</v>
      </c>
      <c r="D821" s="2" t="s">
        <v>705</v>
      </c>
      <c r="F821" s="2" t="s">
        <v>872</v>
      </c>
      <c r="G821" s="72">
        <v>3.23782117E8</v>
      </c>
    </row>
    <row r="822">
      <c r="A822" s="73" t="s">
        <v>1436</v>
      </c>
      <c r="B822" s="72">
        <v>8.1435629E7</v>
      </c>
      <c r="C822" s="74">
        <v>46221.75342645834</v>
      </c>
      <c r="D822" s="2" t="s">
        <v>653</v>
      </c>
      <c r="F822" s="2" t="s">
        <v>1440</v>
      </c>
      <c r="G822" s="72">
        <v>3.23782142E8</v>
      </c>
    </row>
    <row r="823">
      <c r="A823" s="73" t="s">
        <v>1436</v>
      </c>
      <c r="C823" s="74">
        <v>46221.75266135417</v>
      </c>
      <c r="D823" s="2" t="s">
        <v>628</v>
      </c>
      <c r="F823" s="2" t="s">
        <v>1416</v>
      </c>
      <c r="G823" s="72">
        <v>3.23776605E8</v>
      </c>
    </row>
    <row r="824">
      <c r="A824" s="73" t="s">
        <v>1436</v>
      </c>
      <c r="B824" s="72">
        <v>8.1435629E7</v>
      </c>
      <c r="C824" s="74">
        <v>46222.96097194444</v>
      </c>
      <c r="D824" s="2" t="s">
        <v>628</v>
      </c>
      <c r="F824" s="2" t="s">
        <v>1417</v>
      </c>
      <c r="G824" s="72">
        <v>3.24726805E8</v>
      </c>
    </row>
    <row r="825">
      <c r="A825" s="73" t="s">
        <v>1441</v>
      </c>
      <c r="B825" s="72">
        <v>8.1829955E7</v>
      </c>
      <c r="C825" s="74">
        <v>46227.548901585644</v>
      </c>
      <c r="D825" s="2" t="s">
        <v>653</v>
      </c>
      <c r="F825" s="2" t="s">
        <v>1442</v>
      </c>
      <c r="G825" s="72">
        <v>3.27663902E8</v>
      </c>
    </row>
    <row r="826">
      <c r="A826" s="73" t="s">
        <v>1441</v>
      </c>
      <c r="B826" s="72">
        <v>8.1829955E7</v>
      </c>
      <c r="C826" s="74">
        <v>46225.75050034722</v>
      </c>
      <c r="D826" s="2" t="s">
        <v>628</v>
      </c>
      <c r="F826" s="2" t="s">
        <v>1443</v>
      </c>
      <c r="G826" s="72">
        <v>3.26422675E8</v>
      </c>
    </row>
    <row r="827">
      <c r="A827" s="73" t="s">
        <v>1441</v>
      </c>
      <c r="B827" s="72">
        <v>8.1829955E7</v>
      </c>
      <c r="C827" s="74">
        <v>46225.75481841435</v>
      </c>
      <c r="D827" s="2" t="s">
        <v>653</v>
      </c>
      <c r="F827" s="2" t="s">
        <v>1444</v>
      </c>
      <c r="G827" s="72">
        <v>3.26446031E8</v>
      </c>
    </row>
    <row r="828">
      <c r="A828" s="73" t="s">
        <v>1441</v>
      </c>
      <c r="B828" s="72">
        <v>8.1829955E7</v>
      </c>
      <c r="C828" s="74">
        <v>46227.95941618056</v>
      </c>
      <c r="D828" s="2" t="s">
        <v>628</v>
      </c>
      <c r="F828" s="2" t="s">
        <v>1445</v>
      </c>
      <c r="G828" s="72">
        <v>3.2811417E8</v>
      </c>
    </row>
    <row r="829">
      <c r="A829" s="73" t="s">
        <v>1441</v>
      </c>
      <c r="B829" s="72">
        <v>8.1829955E7</v>
      </c>
      <c r="C829" s="74">
        <v>46227.54231467593</v>
      </c>
      <c r="D829" s="2" t="s">
        <v>628</v>
      </c>
      <c r="F829" s="2" t="s">
        <v>630</v>
      </c>
      <c r="G829" s="72">
        <v>3.27612195E8</v>
      </c>
    </row>
    <row r="830">
      <c r="A830" s="73" t="s">
        <v>1446</v>
      </c>
      <c r="B830" s="72">
        <v>8.2605109E7</v>
      </c>
      <c r="C830" s="74">
        <v>46229.961458564816</v>
      </c>
      <c r="D830" s="2" t="s">
        <v>628</v>
      </c>
      <c r="F830" s="2" t="s">
        <v>1257</v>
      </c>
      <c r="G830" s="72">
        <v>3.29614774E8</v>
      </c>
    </row>
    <row r="831">
      <c r="A831" s="73" t="s">
        <v>1447</v>
      </c>
      <c r="B831" s="72">
        <v>8.0065494E7</v>
      </c>
      <c r="C831" s="74">
        <v>46217.960580416664</v>
      </c>
      <c r="D831" s="2" t="s">
        <v>628</v>
      </c>
      <c r="F831" s="2" t="s">
        <v>1257</v>
      </c>
      <c r="G831" s="72">
        <v>3.21114165E8</v>
      </c>
    </row>
    <row r="832">
      <c r="A832" s="73" t="s">
        <v>1447</v>
      </c>
      <c r="B832" s="72">
        <v>8.0065494E7</v>
      </c>
      <c r="C832" s="74">
        <v>46214.75216184028</v>
      </c>
      <c r="D832" s="2" t="s">
        <v>628</v>
      </c>
      <c r="F832" s="2" t="s">
        <v>1256</v>
      </c>
      <c r="G832" s="72">
        <v>3.18915952E8</v>
      </c>
    </row>
    <row r="833">
      <c r="A833" s="73" t="s">
        <v>1447</v>
      </c>
      <c r="B833" s="72">
        <v>8.0065494E7</v>
      </c>
      <c r="C833" s="74">
        <v>46216.544200335644</v>
      </c>
      <c r="D833" s="2" t="s">
        <v>628</v>
      </c>
      <c r="F833" s="2" t="s">
        <v>630</v>
      </c>
      <c r="G833" s="72">
        <v>3.20109543E8</v>
      </c>
    </row>
    <row r="834">
      <c r="A834" s="73" t="s">
        <v>1448</v>
      </c>
      <c r="C834" s="74">
        <v>46233.75235702546</v>
      </c>
      <c r="D834" s="2" t="s">
        <v>628</v>
      </c>
      <c r="F834" s="2" t="s">
        <v>1449</v>
      </c>
      <c r="G834" s="72">
        <v>3.32069592E8</v>
      </c>
    </row>
    <row r="835">
      <c r="A835" s="73" t="s">
        <v>1450</v>
      </c>
      <c r="B835" s="72">
        <v>7.8182917E7</v>
      </c>
      <c r="C835" s="74">
        <v>46205.96082799768</v>
      </c>
      <c r="D835" s="2" t="s">
        <v>628</v>
      </c>
      <c r="F835" s="2" t="s">
        <v>1451</v>
      </c>
      <c r="G835" s="72">
        <v>3.13057417E8</v>
      </c>
    </row>
    <row r="836">
      <c r="A836" s="73" t="s">
        <v>1450</v>
      </c>
      <c r="B836" s="72">
        <v>7.8182917E7</v>
      </c>
      <c r="C836" s="74">
        <v>46204.54451761574</v>
      </c>
      <c r="D836" s="2" t="s">
        <v>628</v>
      </c>
      <c r="F836" s="2" t="s">
        <v>630</v>
      </c>
      <c r="G836" s="72">
        <v>3.12015838E8</v>
      </c>
    </row>
    <row r="837">
      <c r="A837" s="73" t="s">
        <v>1452</v>
      </c>
      <c r="B837" s="72">
        <v>8.0839336E7</v>
      </c>
      <c r="C837" s="74">
        <v>46219.80669837963</v>
      </c>
      <c r="D837" s="2" t="s">
        <v>653</v>
      </c>
      <c r="F837" s="2" t="s">
        <v>1453</v>
      </c>
      <c r="G837" s="72">
        <v>3.22327948E8</v>
      </c>
    </row>
    <row r="838">
      <c r="A838" s="73" t="s">
        <v>1452</v>
      </c>
      <c r="B838" s="72">
        <v>8.0839336E7</v>
      </c>
      <c r="C838" s="74">
        <v>46219.7979002662</v>
      </c>
      <c r="D838" s="2" t="s">
        <v>705</v>
      </c>
      <c r="F838" s="2" t="s">
        <v>1454</v>
      </c>
      <c r="G838" s="72">
        <v>3.22321146E8</v>
      </c>
    </row>
    <row r="839">
      <c r="A839" s="73" t="s">
        <v>1452</v>
      </c>
      <c r="B839" s="72">
        <v>8.0839336E7</v>
      </c>
      <c r="C839" s="74">
        <v>46219.756489618056</v>
      </c>
      <c r="D839" s="2" t="s">
        <v>705</v>
      </c>
      <c r="G839" s="72">
        <v>3.22267161E8</v>
      </c>
    </row>
    <row r="840">
      <c r="A840" s="73" t="s">
        <v>1452</v>
      </c>
      <c r="B840" s="72">
        <v>8.0839336E7</v>
      </c>
      <c r="C840" s="74">
        <v>46220.95953951389</v>
      </c>
      <c r="D840" s="2" t="s">
        <v>628</v>
      </c>
      <c r="F840" s="2" t="s">
        <v>1455</v>
      </c>
      <c r="G840" s="72">
        <v>3.23241828E8</v>
      </c>
    </row>
    <row r="841">
      <c r="A841" s="73" t="s">
        <v>1452</v>
      </c>
      <c r="B841" s="72">
        <v>8.0839336E7</v>
      </c>
      <c r="C841" s="74">
        <v>46219.75220778935</v>
      </c>
      <c r="D841" s="2" t="s">
        <v>628</v>
      </c>
      <c r="F841" s="2" t="s">
        <v>1456</v>
      </c>
      <c r="G841" s="72">
        <v>3.2224155E8</v>
      </c>
    </row>
    <row r="842">
      <c r="A842" s="73" t="s">
        <v>1452</v>
      </c>
      <c r="B842" s="72">
        <v>8.0839336E7</v>
      </c>
      <c r="C842" s="74">
        <v>46219.80670306713</v>
      </c>
      <c r="D842" s="2" t="s">
        <v>653</v>
      </c>
      <c r="F842" s="2" t="s">
        <v>1457</v>
      </c>
      <c r="G842" s="72">
        <v>3.22327953E8</v>
      </c>
    </row>
    <row r="843">
      <c r="A843" s="73" t="s">
        <v>1452</v>
      </c>
      <c r="B843" s="72">
        <v>8.0839336E7</v>
      </c>
      <c r="C843" s="74">
        <v>46219.75575237269</v>
      </c>
      <c r="D843" s="2" t="s">
        <v>705</v>
      </c>
      <c r="F843" s="2" t="s">
        <v>1458</v>
      </c>
      <c r="G843" s="72">
        <v>3.2226654E8</v>
      </c>
    </row>
    <row r="844">
      <c r="A844" s="73" t="s">
        <v>1459</v>
      </c>
      <c r="B844" s="72">
        <v>8.0220181E7</v>
      </c>
      <c r="C844" s="74">
        <v>46219.47539944445</v>
      </c>
      <c r="D844" s="2" t="s">
        <v>653</v>
      </c>
      <c r="F844" s="2" t="s">
        <v>1460</v>
      </c>
      <c r="G844" s="72">
        <v>3.21957733E8</v>
      </c>
    </row>
    <row r="845">
      <c r="A845" s="73" t="s">
        <v>1459</v>
      </c>
      <c r="B845" s="72">
        <v>8.0220181E7</v>
      </c>
      <c r="C845" s="74">
        <v>46219.47538603009</v>
      </c>
      <c r="D845" s="2" t="s">
        <v>705</v>
      </c>
      <c r="F845" s="2" t="s">
        <v>1150</v>
      </c>
      <c r="G845" s="72">
        <v>3.21957725E8</v>
      </c>
    </row>
    <row r="846">
      <c r="A846" s="73" t="s">
        <v>1459</v>
      </c>
      <c r="B846" s="72">
        <v>8.0220181E7</v>
      </c>
      <c r="C846" s="74">
        <v>46215.75105770833</v>
      </c>
      <c r="D846" s="2" t="s">
        <v>628</v>
      </c>
      <c r="F846" s="2" t="s">
        <v>1256</v>
      </c>
      <c r="G846" s="72">
        <v>3.19667763E8</v>
      </c>
    </row>
    <row r="847">
      <c r="A847" s="73" t="s">
        <v>1459</v>
      </c>
      <c r="B847" s="72">
        <v>8.0220181E7</v>
      </c>
      <c r="C847" s="74">
        <v>46219.47539569445</v>
      </c>
      <c r="D847" s="2" t="s">
        <v>653</v>
      </c>
      <c r="F847" s="2" t="s">
        <v>1460</v>
      </c>
      <c r="G847" s="72">
        <v>3.21957731E8</v>
      </c>
    </row>
    <row r="848">
      <c r="A848" s="73" t="s">
        <v>1459</v>
      </c>
      <c r="B848" s="72">
        <v>8.0220181E7</v>
      </c>
      <c r="C848" s="74">
        <v>46219.47540304398</v>
      </c>
      <c r="D848" s="2" t="s">
        <v>653</v>
      </c>
      <c r="F848" s="2" t="s">
        <v>1461</v>
      </c>
      <c r="G848" s="72">
        <v>3.21957734E8</v>
      </c>
    </row>
    <row r="849">
      <c r="A849" s="73" t="s">
        <v>1459</v>
      </c>
      <c r="B849" s="72">
        <v>8.0220181E7</v>
      </c>
      <c r="C849" s="74">
        <v>46219.4754068287</v>
      </c>
      <c r="D849" s="2" t="s">
        <v>653</v>
      </c>
      <c r="F849" s="2" t="s">
        <v>1462</v>
      </c>
      <c r="G849" s="72">
        <v>3.21957737E8</v>
      </c>
    </row>
    <row r="850">
      <c r="A850" s="73" t="s">
        <v>1459</v>
      </c>
      <c r="B850" s="72">
        <v>8.0220181E7</v>
      </c>
      <c r="C850" s="74">
        <v>46219.47541063657</v>
      </c>
      <c r="D850" s="2" t="s">
        <v>653</v>
      </c>
      <c r="F850" s="2" t="s">
        <v>1463</v>
      </c>
      <c r="G850" s="72">
        <v>3.21957738E8</v>
      </c>
    </row>
    <row r="851">
      <c r="A851" s="73" t="s">
        <v>1459</v>
      </c>
      <c r="B851" s="72">
        <v>8.0220181E7</v>
      </c>
      <c r="C851" s="74">
        <v>46216.95951722222</v>
      </c>
      <c r="D851" s="2" t="s">
        <v>628</v>
      </c>
      <c r="F851" s="2" t="s">
        <v>1257</v>
      </c>
      <c r="G851" s="72">
        <v>3.20482097E8</v>
      </c>
    </row>
    <row r="852">
      <c r="A852" s="73" t="s">
        <v>1459</v>
      </c>
      <c r="B852" s="72">
        <v>8.0220181E7</v>
      </c>
      <c r="C852" s="74">
        <v>46219.475391886575</v>
      </c>
      <c r="D852" s="2" t="s">
        <v>653</v>
      </c>
      <c r="F852" s="2" t="s">
        <v>1464</v>
      </c>
      <c r="G852" s="72">
        <v>3.21957728E8</v>
      </c>
    </row>
    <row r="853">
      <c r="A853" s="73" t="s">
        <v>1465</v>
      </c>
      <c r="B853" s="72">
        <v>7.8972245E7</v>
      </c>
      <c r="C853" s="74">
        <v>46208.959185995365</v>
      </c>
      <c r="D853" s="2" t="s">
        <v>628</v>
      </c>
      <c r="F853" s="2" t="s">
        <v>1466</v>
      </c>
      <c r="G853" s="72">
        <v>3.15161402E8</v>
      </c>
    </row>
    <row r="854">
      <c r="A854" s="73" t="s">
        <v>1465</v>
      </c>
      <c r="B854" s="72">
        <v>7.8972245E7</v>
      </c>
      <c r="C854" s="74">
        <v>46207.751121064815</v>
      </c>
      <c r="D854" s="2" t="s">
        <v>628</v>
      </c>
      <c r="F854" s="2" t="s">
        <v>1467</v>
      </c>
      <c r="G854" s="72">
        <v>3.14280045E8</v>
      </c>
    </row>
    <row r="855">
      <c r="A855" s="73" t="s">
        <v>1468</v>
      </c>
      <c r="B855" s="72">
        <v>8.0842155E7</v>
      </c>
      <c r="C855" s="74">
        <v>46219.75305009259</v>
      </c>
      <c r="D855" s="2" t="s">
        <v>628</v>
      </c>
      <c r="F855" s="2" t="s">
        <v>1469</v>
      </c>
      <c r="G855" s="72">
        <v>3.22247094E8</v>
      </c>
    </row>
    <row r="856">
      <c r="A856" s="73" t="s">
        <v>1468</v>
      </c>
      <c r="B856" s="72">
        <v>8.0842155E7</v>
      </c>
      <c r="C856" s="74">
        <v>46221.54435053241</v>
      </c>
      <c r="D856" s="2" t="s">
        <v>628</v>
      </c>
      <c r="F856" s="2" t="s">
        <v>630</v>
      </c>
      <c r="G856" s="72">
        <v>3.23548965E8</v>
      </c>
    </row>
    <row r="857">
      <c r="A857" s="73" t="s">
        <v>1468</v>
      </c>
      <c r="B857" s="72">
        <v>8.0842155E7</v>
      </c>
      <c r="C857" s="74">
        <v>46223.96030712963</v>
      </c>
      <c r="D857" s="2" t="s">
        <v>628</v>
      </c>
      <c r="F857" s="2" t="s">
        <v>1470</v>
      </c>
      <c r="G857" s="72">
        <v>3.25365318E8</v>
      </c>
    </row>
    <row r="858">
      <c r="A858" s="73" t="s">
        <v>1471</v>
      </c>
      <c r="B858" s="72">
        <v>8.0366086E7</v>
      </c>
      <c r="C858" s="74">
        <v>46218.54504304398</v>
      </c>
      <c r="D858" s="2" t="s">
        <v>628</v>
      </c>
      <c r="F858" s="2" t="s">
        <v>630</v>
      </c>
      <c r="G858" s="72">
        <v>3.21381512E8</v>
      </c>
    </row>
    <row r="859">
      <c r="A859" s="73" t="s">
        <v>1471</v>
      </c>
      <c r="B859" s="72">
        <v>8.0366086E7</v>
      </c>
      <c r="C859" s="74">
        <v>46216.75427982639</v>
      </c>
      <c r="D859" s="2" t="s">
        <v>628</v>
      </c>
      <c r="F859" s="2" t="s">
        <v>943</v>
      </c>
      <c r="G859" s="72">
        <v>3.20300781E8</v>
      </c>
    </row>
    <row r="860">
      <c r="A860" s="73" t="s">
        <v>1471</v>
      </c>
      <c r="B860" s="72">
        <v>8.0366086E7</v>
      </c>
      <c r="C860" s="74">
        <v>46218.961480555554</v>
      </c>
      <c r="D860" s="2" t="s">
        <v>628</v>
      </c>
      <c r="F860" s="2" t="s">
        <v>947</v>
      </c>
      <c r="G860" s="72">
        <v>3.21773687E8</v>
      </c>
    </row>
    <row r="861">
      <c r="A861" s="73" t="s">
        <v>1472</v>
      </c>
      <c r="C861" s="74">
        <v>46226.75183984954</v>
      </c>
      <c r="D861" s="2" t="s">
        <v>628</v>
      </c>
      <c r="F861" s="2" t="s">
        <v>1473</v>
      </c>
      <c r="G861" s="72">
        <v>3.27102483E8</v>
      </c>
    </row>
    <row r="862">
      <c r="A862" s="73" t="s">
        <v>1472</v>
      </c>
      <c r="B862" s="72">
        <v>8.2340035E7</v>
      </c>
      <c r="C862" s="74">
        <v>46228.543896979165</v>
      </c>
      <c r="D862" s="2" t="s">
        <v>628</v>
      </c>
      <c r="F862" s="2" t="s">
        <v>630</v>
      </c>
      <c r="G862" s="72">
        <v>3.28416565E8</v>
      </c>
    </row>
    <row r="863">
      <c r="A863" s="73" t="s">
        <v>1472</v>
      </c>
      <c r="B863" s="72">
        <v>8.2340035E7</v>
      </c>
      <c r="C863" s="74">
        <v>46228.95980285879</v>
      </c>
      <c r="D863" s="2" t="s">
        <v>628</v>
      </c>
      <c r="F863" s="2" t="s">
        <v>1474</v>
      </c>
      <c r="G863" s="72">
        <v>3.28859783E8</v>
      </c>
    </row>
    <row r="864">
      <c r="A864" s="73" t="s">
        <v>1475</v>
      </c>
      <c r="B864" s="72">
        <v>8.1170311E7</v>
      </c>
      <c r="C864" s="74">
        <v>46221.510238055555</v>
      </c>
      <c r="D864" s="2" t="s">
        <v>705</v>
      </c>
      <c r="F864" s="2" t="s">
        <v>1277</v>
      </c>
      <c r="G864" s="72">
        <v>3.23514229E8</v>
      </c>
    </row>
    <row r="865">
      <c r="A865" s="73" t="s">
        <v>1476</v>
      </c>
      <c r="B865" s="72">
        <v>7.9390476E7</v>
      </c>
      <c r="C865" s="74">
        <v>46211.96079592593</v>
      </c>
      <c r="D865" s="2" t="s">
        <v>628</v>
      </c>
      <c r="F865" s="2" t="s">
        <v>1477</v>
      </c>
      <c r="G865" s="72">
        <v>3.16987795E8</v>
      </c>
    </row>
    <row r="866">
      <c r="A866" s="73" t="s">
        <v>1476</v>
      </c>
      <c r="B866" s="72">
        <v>7.9390476E7</v>
      </c>
      <c r="C866" s="74">
        <v>46210.752399930556</v>
      </c>
      <c r="D866" s="2" t="s">
        <v>628</v>
      </c>
      <c r="F866" s="2" t="s">
        <v>1478</v>
      </c>
      <c r="G866" s="72">
        <v>3.16191522E8</v>
      </c>
    </row>
    <row r="867">
      <c r="A867" s="73" t="s">
        <v>1479</v>
      </c>
      <c r="B867" s="72">
        <v>8.3390549E7</v>
      </c>
      <c r="C867" s="74">
        <v>46234.754340486106</v>
      </c>
      <c r="D867" s="2" t="s">
        <v>628</v>
      </c>
      <c r="F867" s="2" t="s">
        <v>1480</v>
      </c>
      <c r="G867" s="72">
        <v>3.328585E8</v>
      </c>
    </row>
    <row r="868">
      <c r="A868" s="73" t="s">
        <v>1481</v>
      </c>
      <c r="B868" s="72">
        <v>8.3142685E7</v>
      </c>
      <c r="C868" s="74">
        <v>46233.54456879629</v>
      </c>
      <c r="D868" s="2" t="s">
        <v>628</v>
      </c>
      <c r="F868" s="2" t="s">
        <v>630</v>
      </c>
      <c r="G868" s="72">
        <v>3.31849564E8</v>
      </c>
    </row>
    <row r="869">
      <c r="A869" s="73" t="s">
        <v>1481</v>
      </c>
      <c r="B869" s="72">
        <v>8.3142685E7</v>
      </c>
      <c r="C869" s="74">
        <v>46233.96057765046</v>
      </c>
      <c r="D869" s="2" t="s">
        <v>628</v>
      </c>
      <c r="F869" s="2" t="s">
        <v>1482</v>
      </c>
      <c r="G869" s="72">
        <v>3.32306172E8</v>
      </c>
    </row>
    <row r="870">
      <c r="A870" s="73" t="s">
        <v>1481</v>
      </c>
      <c r="C870" s="74">
        <v>46231.752569282406</v>
      </c>
      <c r="D870" s="2" t="s">
        <v>628</v>
      </c>
      <c r="F870" s="2" t="s">
        <v>1483</v>
      </c>
      <c r="G870" s="72">
        <v>3.30724229E8</v>
      </c>
    </row>
    <row r="871">
      <c r="A871" s="73" t="s">
        <v>1484</v>
      </c>
      <c r="C871" s="74">
        <v>46234.75212309028</v>
      </c>
      <c r="D871" s="2" t="s">
        <v>628</v>
      </c>
      <c r="F871" s="2" t="s">
        <v>1485</v>
      </c>
      <c r="G871" s="72">
        <v>3.32844245E8</v>
      </c>
    </row>
    <row r="872">
      <c r="A872" s="73" t="s">
        <v>1486</v>
      </c>
      <c r="B872" s="72">
        <v>8.0185335E7</v>
      </c>
      <c r="C872" s="74">
        <v>46215.542902326386</v>
      </c>
      <c r="D872" s="2" t="s">
        <v>628</v>
      </c>
      <c r="F872" s="2" t="s">
        <v>630</v>
      </c>
      <c r="G872" s="72">
        <v>3.1945107E8</v>
      </c>
    </row>
    <row r="873">
      <c r="A873" s="73" t="s">
        <v>1486</v>
      </c>
      <c r="B873" s="72">
        <v>8.0185335E7</v>
      </c>
      <c r="C873" s="74">
        <v>46217.95894586806</v>
      </c>
      <c r="D873" s="2" t="s">
        <v>628</v>
      </c>
      <c r="F873" s="2" t="s">
        <v>1487</v>
      </c>
      <c r="G873" s="72">
        <v>3.2110994E8</v>
      </c>
    </row>
    <row r="874">
      <c r="A874" s="73" t="s">
        <v>1488</v>
      </c>
      <c r="B874" s="72">
        <v>8.0365735E7</v>
      </c>
      <c r="C874" s="74">
        <v>46216.7540028125</v>
      </c>
      <c r="D874" s="2" t="s">
        <v>628</v>
      </c>
      <c r="F874" s="2" t="s">
        <v>1489</v>
      </c>
      <c r="G874" s="72">
        <v>3.20299854E8</v>
      </c>
    </row>
    <row r="875">
      <c r="A875" s="73" t="s">
        <v>1490</v>
      </c>
      <c r="C875" s="74">
        <v>46220.75174068287</v>
      </c>
      <c r="D875" s="2" t="s">
        <v>628</v>
      </c>
      <c r="F875" s="2" t="s">
        <v>656</v>
      </c>
      <c r="G875" s="72">
        <v>3.22995281E8</v>
      </c>
    </row>
    <row r="876">
      <c r="A876" s="73" t="s">
        <v>1490</v>
      </c>
      <c r="B876" s="72">
        <v>8.1342796E7</v>
      </c>
      <c r="C876" s="74">
        <v>46222.5434775</v>
      </c>
      <c r="D876" s="2" t="s">
        <v>628</v>
      </c>
      <c r="F876" s="2" t="s">
        <v>630</v>
      </c>
      <c r="G876" s="72">
        <v>3.24322498E8</v>
      </c>
    </row>
    <row r="877">
      <c r="A877" s="73" t="s">
        <v>1490</v>
      </c>
      <c r="B877" s="72">
        <v>8.1342796E7</v>
      </c>
      <c r="C877" s="74">
        <v>46224.96008344907</v>
      </c>
      <c r="D877" s="2" t="s">
        <v>628</v>
      </c>
      <c r="F877" s="2" t="s">
        <v>657</v>
      </c>
      <c r="G877" s="72">
        <v>3.25986574E8</v>
      </c>
    </row>
    <row r="878">
      <c r="A878" s="73" t="s">
        <v>1491</v>
      </c>
      <c r="B878" s="72">
        <v>7.8627077E7</v>
      </c>
      <c r="C878" s="74">
        <v>46205.753360532406</v>
      </c>
      <c r="D878" s="2" t="s">
        <v>628</v>
      </c>
      <c r="F878" s="2" t="s">
        <v>1492</v>
      </c>
      <c r="G878" s="72">
        <v>3.12839918E8</v>
      </c>
    </row>
    <row r="879">
      <c r="A879" s="73" t="s">
        <v>1493</v>
      </c>
      <c r="B879" s="72">
        <v>8.1345438E7</v>
      </c>
      <c r="C879" s="74">
        <v>46222.54462719907</v>
      </c>
      <c r="D879" s="2" t="s">
        <v>628</v>
      </c>
      <c r="F879" s="2" t="s">
        <v>630</v>
      </c>
      <c r="G879" s="72">
        <v>3.24341208E8</v>
      </c>
    </row>
    <row r="880">
      <c r="A880" s="73" t="s">
        <v>1493</v>
      </c>
      <c r="C880" s="74">
        <v>46220.75304844907</v>
      </c>
      <c r="D880" s="2" t="s">
        <v>628</v>
      </c>
      <c r="F880" s="2" t="s">
        <v>1494</v>
      </c>
      <c r="G880" s="72">
        <v>3.23006715E8</v>
      </c>
    </row>
    <row r="881">
      <c r="A881" s="73" t="s">
        <v>1493</v>
      </c>
      <c r="B881" s="72">
        <v>8.1345438E7</v>
      </c>
      <c r="C881" s="74">
        <v>46224.961121134256</v>
      </c>
      <c r="D881" s="2" t="s">
        <v>628</v>
      </c>
      <c r="F881" s="2" t="s">
        <v>1495</v>
      </c>
      <c r="G881" s="72">
        <v>3.25989635E8</v>
      </c>
    </row>
    <row r="882">
      <c r="A882" s="73" t="s">
        <v>1496</v>
      </c>
      <c r="B882" s="72">
        <v>8.1524289E7</v>
      </c>
      <c r="C882" s="74">
        <v>46231.450422650465</v>
      </c>
      <c r="D882" s="2" t="s">
        <v>653</v>
      </c>
      <c r="F882" s="2" t="s">
        <v>1497</v>
      </c>
      <c r="G882" s="72">
        <v>3.30414386E8</v>
      </c>
    </row>
    <row r="883">
      <c r="A883" s="73" t="s">
        <v>1496</v>
      </c>
      <c r="B883" s="72">
        <v>8.1524289E7</v>
      </c>
      <c r="C883" s="74">
        <v>46227.45692538194</v>
      </c>
      <c r="D883" s="2" t="s">
        <v>653</v>
      </c>
      <c r="F883" s="2" t="s">
        <v>1498</v>
      </c>
      <c r="G883" s="72">
        <v>3.27492189E8</v>
      </c>
    </row>
    <row r="884">
      <c r="A884" s="73" t="s">
        <v>1496</v>
      </c>
      <c r="B884" s="72">
        <v>8.1524289E7</v>
      </c>
      <c r="C884" s="74">
        <v>46223.80874931713</v>
      </c>
      <c r="D884" s="2" t="s">
        <v>705</v>
      </c>
      <c r="F884" s="2" t="s">
        <v>756</v>
      </c>
      <c r="G884" s="72">
        <v>3.2522688E8</v>
      </c>
    </row>
    <row r="885">
      <c r="A885" s="73" t="s">
        <v>1496</v>
      </c>
      <c r="B885" s="72">
        <v>8.1524289E7</v>
      </c>
      <c r="C885" s="74">
        <v>46223.80875829861</v>
      </c>
      <c r="D885" s="2" t="s">
        <v>653</v>
      </c>
      <c r="F885" s="2" t="s">
        <v>1499</v>
      </c>
      <c r="G885" s="72">
        <v>3.25226886E8</v>
      </c>
    </row>
    <row r="886">
      <c r="A886" s="73" t="s">
        <v>1496</v>
      </c>
      <c r="B886" s="72">
        <v>8.1524289E7</v>
      </c>
      <c r="C886" s="74">
        <v>46223.80875423611</v>
      </c>
      <c r="D886" s="2" t="s">
        <v>653</v>
      </c>
      <c r="F886" s="2" t="s">
        <v>1500</v>
      </c>
      <c r="G886" s="72">
        <v>3.25226883E8</v>
      </c>
    </row>
    <row r="887">
      <c r="A887" s="73" t="s">
        <v>1496</v>
      </c>
      <c r="B887" s="72">
        <v>8.1524289E7</v>
      </c>
      <c r="C887" s="74">
        <v>46224.960071134265</v>
      </c>
      <c r="D887" s="2" t="s">
        <v>628</v>
      </c>
      <c r="F887" s="2" t="s">
        <v>1501</v>
      </c>
      <c r="G887" s="72">
        <v>3.25986535E8</v>
      </c>
    </row>
    <row r="888">
      <c r="A888" s="73" t="s">
        <v>1496</v>
      </c>
      <c r="B888" s="72">
        <v>8.1524289E7</v>
      </c>
      <c r="C888" s="74">
        <v>46223.752190405095</v>
      </c>
      <c r="D888" s="2" t="s">
        <v>628</v>
      </c>
      <c r="F888" s="2" t="s">
        <v>1502</v>
      </c>
      <c r="G888" s="72">
        <v>3.25168074E8</v>
      </c>
    </row>
    <row r="889">
      <c r="A889" s="73" t="s">
        <v>1496</v>
      </c>
      <c r="B889" s="72">
        <v>8.1524289E7</v>
      </c>
      <c r="C889" s="74">
        <v>46225.64753765047</v>
      </c>
      <c r="D889" s="2" t="s">
        <v>653</v>
      </c>
      <c r="F889" s="2" t="s">
        <v>1503</v>
      </c>
      <c r="G889" s="72">
        <v>3.26348717E8</v>
      </c>
    </row>
    <row r="890">
      <c r="A890" s="73" t="s">
        <v>1496</v>
      </c>
      <c r="B890" s="72">
        <v>8.1524289E7</v>
      </c>
      <c r="C890" s="74">
        <v>46224.671673460645</v>
      </c>
      <c r="D890" s="2" t="s">
        <v>653</v>
      </c>
      <c r="F890" s="2" t="s">
        <v>1499</v>
      </c>
      <c r="G890" s="72">
        <v>3.25742557E8</v>
      </c>
    </row>
    <row r="891">
      <c r="A891" s="73" t="s">
        <v>1504</v>
      </c>
      <c r="B891" s="72">
        <v>8.1174059E7</v>
      </c>
      <c r="C891" s="74">
        <v>46226.96008582176</v>
      </c>
      <c r="D891" s="2" t="s">
        <v>628</v>
      </c>
      <c r="F891" s="2" t="s">
        <v>1505</v>
      </c>
      <c r="G891" s="72">
        <v>3.27336587E8</v>
      </c>
    </row>
    <row r="892">
      <c r="A892" s="73" t="s">
        <v>1504</v>
      </c>
      <c r="B892" s="72">
        <v>8.1174059E7</v>
      </c>
      <c r="C892" s="74">
        <v>46221.54348850694</v>
      </c>
      <c r="D892" s="2" t="s">
        <v>628</v>
      </c>
      <c r="F892" s="2" t="s">
        <v>630</v>
      </c>
      <c r="G892" s="72">
        <v>3.23537368E8</v>
      </c>
    </row>
    <row r="893">
      <c r="A893" s="73" t="s">
        <v>1504</v>
      </c>
      <c r="C893" s="74">
        <v>46219.75171412037</v>
      </c>
      <c r="D893" s="2" t="s">
        <v>628</v>
      </c>
      <c r="F893" s="2" t="s">
        <v>1506</v>
      </c>
      <c r="G893" s="72">
        <v>3.22237755E8</v>
      </c>
    </row>
    <row r="894">
      <c r="A894" s="73" t="s">
        <v>1507</v>
      </c>
      <c r="B894" s="72">
        <v>8.0674147E7</v>
      </c>
      <c r="C894" s="74">
        <v>46219.96101346065</v>
      </c>
      <c r="D894" s="2" t="s">
        <v>628</v>
      </c>
      <c r="F894" s="2" t="s">
        <v>998</v>
      </c>
      <c r="G894" s="72">
        <v>3.22478774E8</v>
      </c>
    </row>
    <row r="895">
      <c r="A895" s="73" t="s">
        <v>1507</v>
      </c>
      <c r="B895" s="72">
        <v>8.0674147E7</v>
      </c>
      <c r="C895" s="74">
        <v>46218.75250829861</v>
      </c>
      <c r="D895" s="2" t="s">
        <v>628</v>
      </c>
      <c r="F895" s="2" t="s">
        <v>997</v>
      </c>
      <c r="G895" s="72">
        <v>3.2157119E8</v>
      </c>
    </row>
    <row r="896">
      <c r="A896" s="73" t="s">
        <v>1508</v>
      </c>
      <c r="B896" s="72">
        <v>8.1543231E7</v>
      </c>
      <c r="C896" s="74">
        <v>46224.57294912037</v>
      </c>
      <c r="D896" s="2" t="s">
        <v>705</v>
      </c>
      <c r="F896" s="2" t="s">
        <v>918</v>
      </c>
      <c r="G896" s="72">
        <v>3.25636495E8</v>
      </c>
    </row>
    <row r="897">
      <c r="A897" s="73" t="s">
        <v>1508</v>
      </c>
      <c r="B897" s="72">
        <v>8.1543231E7</v>
      </c>
      <c r="C897" s="74">
        <v>46223.95948587963</v>
      </c>
      <c r="D897" s="2" t="s">
        <v>628</v>
      </c>
      <c r="F897" s="2" t="s">
        <v>1509</v>
      </c>
      <c r="G897" s="72">
        <v>3.25362707E8</v>
      </c>
    </row>
    <row r="898">
      <c r="A898" s="73" t="s">
        <v>1508</v>
      </c>
      <c r="B898" s="72">
        <v>8.1543231E7</v>
      </c>
      <c r="C898" s="74">
        <v>46224.57296421296</v>
      </c>
      <c r="D898" s="2" t="s">
        <v>653</v>
      </c>
      <c r="F898" s="2" t="s">
        <v>1510</v>
      </c>
      <c r="G898" s="72">
        <v>3.25636502E8</v>
      </c>
    </row>
    <row r="899">
      <c r="A899" s="73" t="s">
        <v>1508</v>
      </c>
      <c r="B899" s="72">
        <v>8.1543231E7</v>
      </c>
      <c r="C899" s="74">
        <v>46226.4468337963</v>
      </c>
      <c r="D899" s="2" t="s">
        <v>653</v>
      </c>
      <c r="F899" s="2" t="s">
        <v>1511</v>
      </c>
      <c r="G899" s="72">
        <v>3.26769106E8</v>
      </c>
    </row>
    <row r="900">
      <c r="A900" s="73" t="s">
        <v>1508</v>
      </c>
      <c r="B900" s="72">
        <v>8.1543231E7</v>
      </c>
      <c r="C900" s="74">
        <v>46224.57295695602</v>
      </c>
      <c r="D900" s="2" t="s">
        <v>653</v>
      </c>
      <c r="F900" s="2" t="s">
        <v>919</v>
      </c>
      <c r="G900" s="72">
        <v>3.25636498E8</v>
      </c>
    </row>
    <row r="901">
      <c r="A901" s="73" t="s">
        <v>1512</v>
      </c>
      <c r="B901" s="72">
        <v>7.9696508E7</v>
      </c>
      <c r="C901" s="74">
        <v>46212.7520853125</v>
      </c>
      <c r="D901" s="2" t="s">
        <v>628</v>
      </c>
      <c r="F901" s="2" t="s">
        <v>890</v>
      </c>
      <c r="G901" s="72">
        <v>3.17435113E8</v>
      </c>
    </row>
    <row r="902">
      <c r="A902" s="73" t="s">
        <v>1512</v>
      </c>
      <c r="B902" s="72">
        <v>7.9696508E7</v>
      </c>
      <c r="C902" s="74">
        <v>46213.959701921296</v>
      </c>
      <c r="D902" s="2" t="s">
        <v>628</v>
      </c>
      <c r="F902" s="2" t="s">
        <v>1223</v>
      </c>
      <c r="G902" s="72">
        <v>3.1840557E8</v>
      </c>
    </row>
    <row r="903">
      <c r="A903" s="73" t="s">
        <v>1513</v>
      </c>
      <c r="B903" s="72">
        <v>8.1020072E7</v>
      </c>
      <c r="C903" s="74">
        <v>46220.753317361115</v>
      </c>
      <c r="D903" s="2" t="s">
        <v>628</v>
      </c>
      <c r="F903" s="2" t="s">
        <v>870</v>
      </c>
      <c r="G903" s="72">
        <v>3.23009085E8</v>
      </c>
    </row>
    <row r="904">
      <c r="A904" s="73" t="s">
        <v>1513</v>
      </c>
      <c r="B904" s="72">
        <v>8.1020072E7</v>
      </c>
      <c r="C904" s="74">
        <v>46220.7266559375</v>
      </c>
      <c r="D904" s="2" t="s">
        <v>705</v>
      </c>
      <c r="F904" s="2" t="s">
        <v>1514</v>
      </c>
      <c r="G904" s="72">
        <v>3.2297308E8</v>
      </c>
    </row>
    <row r="905">
      <c r="A905" s="73" t="s">
        <v>1513</v>
      </c>
      <c r="B905" s="72">
        <v>8.1020072E7</v>
      </c>
      <c r="C905" s="74">
        <v>46220.72666244213</v>
      </c>
      <c r="D905" s="2" t="s">
        <v>705</v>
      </c>
      <c r="F905" s="2" t="s">
        <v>872</v>
      </c>
      <c r="G905" s="72">
        <v>3.22973086E8</v>
      </c>
    </row>
    <row r="906">
      <c r="A906" s="73" t="s">
        <v>1513</v>
      </c>
      <c r="B906" s="72">
        <v>8.1020072E7</v>
      </c>
      <c r="C906" s="74">
        <v>46221.672939421296</v>
      </c>
      <c r="D906" s="2" t="s">
        <v>653</v>
      </c>
      <c r="F906" s="2" t="s">
        <v>1515</v>
      </c>
      <c r="G906" s="72">
        <v>3.23706108E8</v>
      </c>
    </row>
    <row r="907">
      <c r="A907" s="73" t="s">
        <v>1513</v>
      </c>
      <c r="B907" s="72">
        <v>8.1020072E7</v>
      </c>
      <c r="C907" s="74">
        <v>46220.810876076386</v>
      </c>
      <c r="D907" s="2" t="s">
        <v>653</v>
      </c>
      <c r="F907" s="2" t="s">
        <v>1515</v>
      </c>
      <c r="G907" s="72">
        <v>3.23079765E8</v>
      </c>
    </row>
    <row r="908">
      <c r="A908" s="73" t="s">
        <v>1513</v>
      </c>
      <c r="B908" s="72">
        <v>8.1020072E7</v>
      </c>
      <c r="C908" s="74">
        <v>46221.96185009259</v>
      </c>
      <c r="D908" s="2" t="s">
        <v>628</v>
      </c>
      <c r="F908" s="2" t="s">
        <v>873</v>
      </c>
      <c r="G908" s="72">
        <v>3.24002613E8</v>
      </c>
    </row>
    <row r="909">
      <c r="A909" s="73" t="s">
        <v>1516</v>
      </c>
      <c r="B909" s="72">
        <v>8.0224456E7</v>
      </c>
      <c r="C909" s="74">
        <v>46217.96080244213</v>
      </c>
      <c r="D909" s="2" t="s">
        <v>628</v>
      </c>
      <c r="F909" s="2" t="s">
        <v>1517</v>
      </c>
      <c r="G909" s="72">
        <v>3.21114672E8</v>
      </c>
    </row>
    <row r="910">
      <c r="A910" s="73" t="s">
        <v>1516</v>
      </c>
      <c r="B910" s="72">
        <v>8.0224456E7</v>
      </c>
      <c r="C910" s="74">
        <v>46215.75281041667</v>
      </c>
      <c r="D910" s="2" t="s">
        <v>628</v>
      </c>
      <c r="F910" s="2" t="s">
        <v>1518</v>
      </c>
      <c r="G910" s="72">
        <v>3.19679072E8</v>
      </c>
    </row>
    <row r="911">
      <c r="A911" s="73" t="s">
        <v>1516</v>
      </c>
      <c r="B911" s="72">
        <v>8.0224456E7</v>
      </c>
      <c r="C911" s="74">
        <v>46217.544165162035</v>
      </c>
      <c r="D911" s="2" t="s">
        <v>628</v>
      </c>
      <c r="F911" s="2" t="s">
        <v>630</v>
      </c>
      <c r="G911" s="72">
        <v>3.20735509E8</v>
      </c>
    </row>
    <row r="912">
      <c r="A912" s="73" t="s">
        <v>1519</v>
      </c>
      <c r="B912" s="72">
        <v>7.8758298E7</v>
      </c>
      <c r="C912" s="74">
        <v>46207.960346712964</v>
      </c>
      <c r="D912" s="2" t="s">
        <v>628</v>
      </c>
      <c r="F912" s="2" t="s">
        <v>1520</v>
      </c>
      <c r="G912" s="72">
        <v>3.14481991E8</v>
      </c>
    </row>
    <row r="913">
      <c r="A913" s="73" t="s">
        <v>1519</v>
      </c>
      <c r="B913" s="72">
        <v>7.8758298E7</v>
      </c>
      <c r="C913" s="74">
        <v>46206.54420261574</v>
      </c>
      <c r="D913" s="2" t="s">
        <v>628</v>
      </c>
      <c r="F913" s="2" t="s">
        <v>630</v>
      </c>
      <c r="G913" s="72">
        <v>3.13339745E8</v>
      </c>
    </row>
    <row r="914">
      <c r="A914" s="73" t="s">
        <v>1519</v>
      </c>
      <c r="C914" s="74">
        <v>46204.75321446759</v>
      </c>
      <c r="D914" s="2" t="s">
        <v>628</v>
      </c>
      <c r="F914" s="2" t="s">
        <v>1521</v>
      </c>
      <c r="G914" s="72">
        <v>3.12194545E8</v>
      </c>
    </row>
    <row r="915">
      <c r="A915" s="73" t="s">
        <v>1522</v>
      </c>
      <c r="B915" s="72">
        <v>7.9094751E7</v>
      </c>
      <c r="C915" s="74">
        <v>46208.96037262732</v>
      </c>
      <c r="D915" s="2" t="s">
        <v>628</v>
      </c>
      <c r="F915" s="2" t="s">
        <v>1523</v>
      </c>
      <c r="G915" s="72">
        <v>3.15164991E8</v>
      </c>
    </row>
    <row r="916">
      <c r="A916" s="73" t="s">
        <v>1522</v>
      </c>
      <c r="B916" s="72">
        <v>7.9094751E7</v>
      </c>
      <c r="C916" s="74">
        <v>46208.66220172454</v>
      </c>
      <c r="D916" s="2" t="s">
        <v>628</v>
      </c>
      <c r="F916" s="2" t="s">
        <v>1524</v>
      </c>
      <c r="G916" s="72">
        <v>3.14927396E8</v>
      </c>
    </row>
    <row r="917">
      <c r="A917" s="73" t="s">
        <v>1525</v>
      </c>
      <c r="B917" s="72">
        <v>7.9696118E7</v>
      </c>
      <c r="C917" s="74">
        <v>46213.95921576388</v>
      </c>
      <c r="D917" s="2" t="s">
        <v>628</v>
      </c>
      <c r="F917" s="2" t="s">
        <v>1526</v>
      </c>
      <c r="G917" s="72">
        <v>3.18404014E8</v>
      </c>
    </row>
    <row r="918">
      <c r="A918" s="73" t="s">
        <v>1525</v>
      </c>
      <c r="B918" s="72">
        <v>7.9696118E7</v>
      </c>
      <c r="C918" s="74">
        <v>46212.751996273146</v>
      </c>
      <c r="D918" s="2" t="s">
        <v>628</v>
      </c>
      <c r="F918" s="2" t="s">
        <v>1527</v>
      </c>
      <c r="G918" s="72">
        <v>3.17434298E8</v>
      </c>
    </row>
    <row r="919">
      <c r="A919" s="73" t="s">
        <v>1528</v>
      </c>
      <c r="B919" s="72">
        <v>8.219129E7</v>
      </c>
      <c r="C919" s="74">
        <v>46229.54541935185</v>
      </c>
      <c r="D919" s="2" t="s">
        <v>628</v>
      </c>
      <c r="F919" s="2" t="s">
        <v>630</v>
      </c>
      <c r="G919" s="72">
        <v>3.29211715E8</v>
      </c>
    </row>
    <row r="920">
      <c r="A920" s="73" t="s">
        <v>1528</v>
      </c>
      <c r="B920" s="72">
        <v>8.219129E7</v>
      </c>
      <c r="C920" s="74">
        <v>46227.75255751157</v>
      </c>
      <c r="D920" s="2" t="s">
        <v>628</v>
      </c>
      <c r="F920" s="2" t="s">
        <v>1529</v>
      </c>
      <c r="G920" s="72">
        <v>3.27871991E8</v>
      </c>
    </row>
    <row r="921">
      <c r="A921" s="73" t="s">
        <v>1528</v>
      </c>
      <c r="B921" s="72">
        <v>8.219129E7</v>
      </c>
      <c r="C921" s="74">
        <v>46229.96061155092</v>
      </c>
      <c r="D921" s="2" t="s">
        <v>628</v>
      </c>
      <c r="F921" s="2" t="s">
        <v>1530</v>
      </c>
      <c r="G921" s="72">
        <v>3.29611851E8</v>
      </c>
    </row>
    <row r="922">
      <c r="A922" s="73" t="s">
        <v>1531</v>
      </c>
      <c r="B922" s="72">
        <v>8.1839689E7</v>
      </c>
      <c r="C922" s="74">
        <v>46226.962269027776</v>
      </c>
      <c r="D922" s="2" t="s">
        <v>628</v>
      </c>
      <c r="F922" s="2" t="s">
        <v>1532</v>
      </c>
      <c r="G922" s="72">
        <v>3.27344921E8</v>
      </c>
    </row>
    <row r="923">
      <c r="A923" s="73" t="s">
        <v>1531</v>
      </c>
      <c r="B923" s="72">
        <v>8.1839689E7</v>
      </c>
      <c r="C923" s="74">
        <v>46225.75383960648</v>
      </c>
      <c r="D923" s="2" t="s">
        <v>628</v>
      </c>
      <c r="F923" s="2" t="s">
        <v>1533</v>
      </c>
      <c r="G923" s="72">
        <v>3.26444009E8</v>
      </c>
    </row>
    <row r="924">
      <c r="A924" s="73" t="s">
        <v>1534</v>
      </c>
      <c r="B924" s="72">
        <v>7.8805633E7</v>
      </c>
      <c r="C924" s="74">
        <v>46206.75286765046</v>
      </c>
      <c r="D924" s="2" t="s">
        <v>628</v>
      </c>
      <c r="F924" s="2" t="s">
        <v>1535</v>
      </c>
      <c r="G924" s="72">
        <v>3.13566405E8</v>
      </c>
    </row>
    <row r="925">
      <c r="A925" s="73" t="s">
        <v>1534</v>
      </c>
      <c r="B925" s="72">
        <v>7.8805633E7</v>
      </c>
      <c r="C925" s="74">
        <v>46207.961254953705</v>
      </c>
      <c r="D925" s="2" t="s">
        <v>628</v>
      </c>
      <c r="F925" s="2" t="s">
        <v>1536</v>
      </c>
      <c r="G925" s="72">
        <v>3.14487458E8</v>
      </c>
    </row>
    <row r="926">
      <c r="A926" s="73" t="s">
        <v>1537</v>
      </c>
      <c r="C926" s="74">
        <v>46233.75231340277</v>
      </c>
      <c r="D926" s="2" t="s">
        <v>628</v>
      </c>
      <c r="F926" s="2" t="s">
        <v>740</v>
      </c>
      <c r="G926" s="72">
        <v>3.32069119E8</v>
      </c>
    </row>
    <row r="927">
      <c r="A927" s="73" t="s">
        <v>1538</v>
      </c>
      <c r="B927" s="72">
        <v>8.2193023E7</v>
      </c>
      <c r="C927" s="74">
        <v>46230.65998347222</v>
      </c>
      <c r="D927" s="2" t="s">
        <v>653</v>
      </c>
      <c r="F927" s="2" t="s">
        <v>1539</v>
      </c>
      <c r="G927" s="72">
        <v>3.29989054E8</v>
      </c>
    </row>
    <row r="928">
      <c r="A928" s="73" t="s">
        <v>1538</v>
      </c>
      <c r="B928" s="72">
        <v>8.2193023E7</v>
      </c>
      <c r="C928" s="74">
        <v>46227.75295327546</v>
      </c>
      <c r="D928" s="2" t="s">
        <v>628</v>
      </c>
      <c r="F928" s="2" t="s">
        <v>656</v>
      </c>
      <c r="G928" s="72">
        <v>3.27875524E8</v>
      </c>
    </row>
    <row r="929">
      <c r="A929" s="73" t="s">
        <v>1538</v>
      </c>
      <c r="B929" s="72">
        <v>8.2193023E7</v>
      </c>
      <c r="C929" s="74">
        <v>46230.65998005787</v>
      </c>
      <c r="D929" s="2" t="s">
        <v>653</v>
      </c>
      <c r="F929" s="2" t="s">
        <v>1540</v>
      </c>
      <c r="G929" s="72">
        <v>3.29989051E8</v>
      </c>
    </row>
    <row r="930">
      <c r="A930" s="73" t="s">
        <v>1538</v>
      </c>
      <c r="B930" s="72">
        <v>8.2193023E7</v>
      </c>
      <c r="C930" s="74">
        <v>46228.67507373843</v>
      </c>
      <c r="D930" s="2" t="s">
        <v>653</v>
      </c>
      <c r="F930" s="2" t="s">
        <v>655</v>
      </c>
      <c r="G930" s="72">
        <v>3.28582431E8</v>
      </c>
    </row>
    <row r="931">
      <c r="A931" s="73" t="s">
        <v>1538</v>
      </c>
      <c r="B931" s="72">
        <v>8.2193023E7</v>
      </c>
      <c r="C931" s="74">
        <v>46234.654680844906</v>
      </c>
      <c r="D931" s="2" t="s">
        <v>653</v>
      </c>
      <c r="F931" s="2" t="s">
        <v>1541</v>
      </c>
      <c r="G931" s="72">
        <v>3.32750955E8</v>
      </c>
    </row>
    <row r="932">
      <c r="A932" s="73" t="s">
        <v>1538</v>
      </c>
      <c r="B932" s="72">
        <v>8.2193023E7</v>
      </c>
      <c r="C932" s="74">
        <v>46228.67506912037</v>
      </c>
      <c r="D932" s="2" t="s">
        <v>653</v>
      </c>
      <c r="F932" s="2" t="s">
        <v>655</v>
      </c>
      <c r="G932" s="72">
        <v>3.28582429E8</v>
      </c>
    </row>
    <row r="933">
      <c r="A933" s="73" t="s">
        <v>1538</v>
      </c>
      <c r="B933" s="72">
        <v>8.2193023E7</v>
      </c>
      <c r="C933" s="74">
        <v>46228.95994876158</v>
      </c>
      <c r="D933" s="2" t="s">
        <v>628</v>
      </c>
      <c r="F933" s="2" t="s">
        <v>657</v>
      </c>
      <c r="G933" s="72">
        <v>3.28860879E8</v>
      </c>
    </row>
    <row r="934">
      <c r="A934" s="73" t="s">
        <v>1538</v>
      </c>
      <c r="B934" s="72">
        <v>8.2193023E7</v>
      </c>
      <c r="C934" s="74">
        <v>46228.67506440972</v>
      </c>
      <c r="D934" s="2" t="s">
        <v>653</v>
      </c>
      <c r="F934" s="2" t="s">
        <v>654</v>
      </c>
      <c r="G934" s="72">
        <v>3.28582422E8</v>
      </c>
    </row>
    <row r="935">
      <c r="A935" s="73" t="s">
        <v>1542</v>
      </c>
      <c r="B935" s="72">
        <v>1.0642493E7</v>
      </c>
      <c r="C935" s="74">
        <v>46219.96125234954</v>
      </c>
      <c r="D935" s="2" t="s">
        <v>628</v>
      </c>
      <c r="F935" s="2" t="s">
        <v>1543</v>
      </c>
      <c r="G935" s="72">
        <v>3.22479638E8</v>
      </c>
    </row>
    <row r="936">
      <c r="A936" s="73" t="s">
        <v>1542</v>
      </c>
      <c r="B936" s="72">
        <v>1.0642493E7</v>
      </c>
      <c r="C936" s="74">
        <v>46217.54516628472</v>
      </c>
      <c r="D936" s="2" t="s">
        <v>628</v>
      </c>
      <c r="F936" s="2" t="s">
        <v>630</v>
      </c>
      <c r="G936" s="72">
        <v>3.20746456E8</v>
      </c>
    </row>
    <row r="937">
      <c r="A937" s="73" t="s">
        <v>1542</v>
      </c>
      <c r="B937" s="72">
        <v>1.0642493E7</v>
      </c>
      <c r="C937" s="74">
        <v>46215.75328763889</v>
      </c>
      <c r="D937" s="2" t="s">
        <v>628</v>
      </c>
      <c r="F937" s="2" t="s">
        <v>1544</v>
      </c>
      <c r="G937" s="72">
        <v>3.19682709E8</v>
      </c>
    </row>
    <row r="938">
      <c r="A938" s="73" t="s">
        <v>1545</v>
      </c>
      <c r="B938" s="72">
        <v>8.0518595E7</v>
      </c>
      <c r="C938" s="74">
        <v>46218.04827483796</v>
      </c>
      <c r="D938" s="2" t="s">
        <v>667</v>
      </c>
      <c r="E938" s="2" t="s">
        <v>703</v>
      </c>
      <c r="F938" s="2" t="s">
        <v>1546</v>
      </c>
      <c r="G938" s="72">
        <v>3.21181069E8</v>
      </c>
    </row>
    <row r="939">
      <c r="A939" s="73" t="s">
        <v>1545</v>
      </c>
      <c r="B939" s="72">
        <v>8.0518595E7</v>
      </c>
      <c r="C939" s="74">
        <v>46218.617330636574</v>
      </c>
      <c r="D939" s="2" t="s">
        <v>705</v>
      </c>
      <c r="F939" s="2" t="s">
        <v>1547</v>
      </c>
      <c r="G939" s="72">
        <v>3.21450554E8</v>
      </c>
    </row>
    <row r="940">
      <c r="A940" s="73" t="s">
        <v>1545</v>
      </c>
      <c r="B940" s="72">
        <v>8.0518595E7</v>
      </c>
      <c r="C940" s="74">
        <v>46218.01448673611</v>
      </c>
      <c r="D940" s="2" t="s">
        <v>705</v>
      </c>
      <c r="F940" s="2" t="s">
        <v>1548</v>
      </c>
      <c r="G940" s="72">
        <v>3.21157208E8</v>
      </c>
    </row>
    <row r="941">
      <c r="A941" s="73" t="s">
        <v>1545</v>
      </c>
      <c r="B941" s="72">
        <v>8.0518595E7</v>
      </c>
      <c r="C941" s="74">
        <v>46218.96119884259</v>
      </c>
      <c r="D941" s="2" t="s">
        <v>628</v>
      </c>
      <c r="F941" s="2" t="s">
        <v>1549</v>
      </c>
      <c r="G941" s="72">
        <v>3.21772857E8</v>
      </c>
    </row>
    <row r="942">
      <c r="A942" s="73" t="s">
        <v>1545</v>
      </c>
      <c r="B942" s="72">
        <v>8.0518595E7</v>
      </c>
      <c r="C942" s="74">
        <v>46217.75338783565</v>
      </c>
      <c r="D942" s="2" t="s">
        <v>628</v>
      </c>
      <c r="F942" s="2" t="s">
        <v>1550</v>
      </c>
      <c r="G942" s="72">
        <v>3.2092904E8</v>
      </c>
    </row>
    <row r="943">
      <c r="A943" s="73" t="s">
        <v>1551</v>
      </c>
      <c r="B943" s="72">
        <v>7.8808245E7</v>
      </c>
      <c r="C943" s="74">
        <v>46206.75363150463</v>
      </c>
      <c r="D943" s="2" t="s">
        <v>628</v>
      </c>
      <c r="F943" s="2" t="s">
        <v>1552</v>
      </c>
      <c r="G943" s="72">
        <v>3.13572241E8</v>
      </c>
    </row>
    <row r="944">
      <c r="A944" s="73" t="s">
        <v>1551</v>
      </c>
      <c r="B944" s="72">
        <v>7.8808245E7</v>
      </c>
      <c r="C944" s="74">
        <v>46207.96170027778</v>
      </c>
      <c r="D944" s="2" t="s">
        <v>628</v>
      </c>
      <c r="F944" s="2" t="s">
        <v>1553</v>
      </c>
      <c r="G944" s="72">
        <v>3.14489613E8</v>
      </c>
    </row>
    <row r="945">
      <c r="A945" s="73" t="s">
        <v>1554</v>
      </c>
      <c r="B945" s="72">
        <v>8.3389792E7</v>
      </c>
      <c r="C945" s="74">
        <v>46234.75416186343</v>
      </c>
      <c r="D945" s="2" t="s">
        <v>628</v>
      </c>
      <c r="F945" s="2" t="s">
        <v>1555</v>
      </c>
      <c r="G945" s="72">
        <v>3.328568E8</v>
      </c>
    </row>
    <row r="946">
      <c r="A946" s="73" t="s">
        <v>1554</v>
      </c>
      <c r="B946" s="72">
        <v>8.3389792E7</v>
      </c>
      <c r="C946" s="74">
        <v>46234.9230178125</v>
      </c>
      <c r="D946" s="2" t="s">
        <v>667</v>
      </c>
      <c r="E946" s="2" t="s">
        <v>886</v>
      </c>
      <c r="F946" s="2" t="s">
        <v>1556</v>
      </c>
      <c r="G946" s="72">
        <v>3.33063649E8</v>
      </c>
    </row>
    <row r="947">
      <c r="A947" s="73" t="s">
        <v>1554</v>
      </c>
      <c r="B947" s="72">
        <v>8.3389792E7</v>
      </c>
      <c r="C947" s="74">
        <v>46234.91993984954</v>
      </c>
      <c r="D947" s="2" t="s">
        <v>705</v>
      </c>
      <c r="F947" s="2" t="s">
        <v>1557</v>
      </c>
      <c r="G947" s="72">
        <v>3.33059664E8</v>
      </c>
    </row>
    <row r="948">
      <c r="A948" s="73" t="s">
        <v>1558</v>
      </c>
      <c r="B948" s="72">
        <v>7.8940677E7</v>
      </c>
      <c r="C948" s="74">
        <v>46207.550868171296</v>
      </c>
      <c r="D948" s="2" t="s">
        <v>628</v>
      </c>
      <c r="F948" s="2" t="s">
        <v>1559</v>
      </c>
      <c r="G948" s="72">
        <v>3.14101654E8</v>
      </c>
    </row>
    <row r="949">
      <c r="A949" s="73" t="s">
        <v>1558</v>
      </c>
      <c r="B949" s="72">
        <v>7.8940677E7</v>
      </c>
      <c r="C949" s="74">
        <v>46207.960615648146</v>
      </c>
      <c r="D949" s="2" t="s">
        <v>628</v>
      </c>
      <c r="F949" s="2" t="s">
        <v>1560</v>
      </c>
      <c r="G949" s="72">
        <v>3.14483804E8</v>
      </c>
    </row>
    <row r="950">
      <c r="A950" s="73" t="s">
        <v>1561</v>
      </c>
      <c r="B950" s="72">
        <v>7.9875955E7</v>
      </c>
      <c r="C950" s="74">
        <v>46213.75070695602</v>
      </c>
      <c r="D950" s="2" t="s">
        <v>628</v>
      </c>
      <c r="F950" s="2" t="s">
        <v>1562</v>
      </c>
      <c r="G950" s="72">
        <v>3.18164245E8</v>
      </c>
    </row>
    <row r="951">
      <c r="A951" s="73" t="s">
        <v>1561</v>
      </c>
      <c r="B951" s="72">
        <v>7.9875955E7</v>
      </c>
      <c r="C951" s="74">
        <v>46218.95951356481</v>
      </c>
      <c r="D951" s="2" t="s">
        <v>628</v>
      </c>
      <c r="F951" s="2" t="s">
        <v>1563</v>
      </c>
      <c r="G951" s="72">
        <v>3.21766752E8</v>
      </c>
    </row>
    <row r="952">
      <c r="A952" s="73" t="s">
        <v>1561</v>
      </c>
      <c r="B952" s="72">
        <v>7.9875955E7</v>
      </c>
      <c r="C952" s="74">
        <v>46215.542513356486</v>
      </c>
      <c r="D952" s="2" t="s">
        <v>628</v>
      </c>
      <c r="F952" s="2" t="s">
        <v>630</v>
      </c>
      <c r="G952" s="72">
        <v>3.19446811E8</v>
      </c>
    </row>
    <row r="953">
      <c r="A953" s="73" t="s">
        <v>1564</v>
      </c>
      <c r="B953" s="72">
        <v>8.1027789E7</v>
      </c>
      <c r="C953" s="74">
        <v>46220.75208009259</v>
      </c>
      <c r="D953" s="2" t="s">
        <v>628</v>
      </c>
      <c r="F953" s="2" t="s">
        <v>1197</v>
      </c>
      <c r="G953" s="72">
        <v>3.22997754E8</v>
      </c>
    </row>
    <row r="954">
      <c r="A954" s="73" t="s">
        <v>1564</v>
      </c>
      <c r="B954" s="72">
        <v>8.1027789E7</v>
      </c>
      <c r="C954" s="74">
        <v>46221.959201817124</v>
      </c>
      <c r="D954" s="2" t="s">
        <v>628</v>
      </c>
      <c r="F954" s="2" t="s">
        <v>1196</v>
      </c>
      <c r="G954" s="72">
        <v>3.23988481E8</v>
      </c>
    </row>
    <row r="955">
      <c r="A955" s="73" t="s">
        <v>1565</v>
      </c>
      <c r="B955" s="72">
        <v>8.2165098E7</v>
      </c>
      <c r="C955" s="74">
        <v>46227.63850987269</v>
      </c>
      <c r="D955" s="2" t="s">
        <v>628</v>
      </c>
      <c r="F955" s="2" t="s">
        <v>1566</v>
      </c>
      <c r="G955" s="72">
        <v>3.27769775E8</v>
      </c>
    </row>
    <row r="956">
      <c r="A956" s="73" t="s">
        <v>1565</v>
      </c>
      <c r="B956" s="72">
        <v>8.2165098E7</v>
      </c>
      <c r="C956" s="74">
        <v>46227.96149636574</v>
      </c>
      <c r="D956" s="2" t="s">
        <v>628</v>
      </c>
      <c r="F956" s="2" t="s">
        <v>1567</v>
      </c>
      <c r="G956" s="72">
        <v>3.28121445E8</v>
      </c>
    </row>
    <row r="957">
      <c r="A957" s="73" t="s">
        <v>1568</v>
      </c>
      <c r="B957" s="72">
        <v>8.1219443E7</v>
      </c>
      <c r="C957" s="74">
        <v>46221.7527027662</v>
      </c>
      <c r="D957" s="2" t="s">
        <v>628</v>
      </c>
      <c r="F957" s="2" t="s">
        <v>1569</v>
      </c>
      <c r="G957" s="72">
        <v>3.23776978E8</v>
      </c>
    </row>
    <row r="958">
      <c r="A958" s="73" t="s">
        <v>1568</v>
      </c>
      <c r="B958" s="72">
        <v>8.1219443E7</v>
      </c>
      <c r="C958" s="74">
        <v>46222.96100509259</v>
      </c>
      <c r="D958" s="2" t="s">
        <v>628</v>
      </c>
      <c r="F958" s="2" t="s">
        <v>1570</v>
      </c>
      <c r="G958" s="72">
        <v>3.24726881E8</v>
      </c>
    </row>
    <row r="959">
      <c r="A959" s="73" t="s">
        <v>1571</v>
      </c>
      <c r="B959" s="72">
        <v>8.0029643E7</v>
      </c>
      <c r="C959" s="74">
        <v>46214.555344548615</v>
      </c>
      <c r="D959" s="2" t="s">
        <v>667</v>
      </c>
      <c r="E959" s="2" t="s">
        <v>668</v>
      </c>
      <c r="F959" s="2" t="s">
        <v>1572</v>
      </c>
      <c r="G959" s="72">
        <v>3.18731619E8</v>
      </c>
    </row>
    <row r="960">
      <c r="A960" s="73" t="s">
        <v>1571</v>
      </c>
      <c r="B960" s="72">
        <v>8.0029643E7</v>
      </c>
      <c r="C960" s="74">
        <v>46214.553306898146</v>
      </c>
      <c r="D960" s="2" t="s">
        <v>628</v>
      </c>
      <c r="F960" s="2" t="s">
        <v>1573</v>
      </c>
      <c r="G960" s="72">
        <v>3.18730921E8</v>
      </c>
    </row>
    <row r="961">
      <c r="A961" s="73" t="s">
        <v>1571</v>
      </c>
      <c r="B961" s="72">
        <v>8.0029643E7</v>
      </c>
      <c r="C961" s="74">
        <v>46214.95959530093</v>
      </c>
      <c r="D961" s="2" t="s">
        <v>628</v>
      </c>
      <c r="F961" s="2" t="s">
        <v>1574</v>
      </c>
      <c r="G961" s="72">
        <v>3.19130051E8</v>
      </c>
    </row>
    <row r="962">
      <c r="A962" s="73" t="s">
        <v>1575</v>
      </c>
      <c r="B962" s="72">
        <v>8.2954951E7</v>
      </c>
      <c r="C962" s="74">
        <v>46233.752322858796</v>
      </c>
      <c r="D962" s="2" t="s">
        <v>628</v>
      </c>
      <c r="F962" s="2" t="s">
        <v>1576</v>
      </c>
      <c r="G962" s="72">
        <v>3.32069217E8</v>
      </c>
    </row>
    <row r="963">
      <c r="A963" s="73" t="s">
        <v>1577</v>
      </c>
      <c r="B963" s="72">
        <v>8.0835784E7</v>
      </c>
      <c r="C963" s="74">
        <v>46219.75121699074</v>
      </c>
      <c r="D963" s="2" t="s">
        <v>628</v>
      </c>
      <c r="F963" s="2" t="s">
        <v>663</v>
      </c>
      <c r="G963" s="72">
        <v>3.22234768E8</v>
      </c>
    </row>
    <row r="964">
      <c r="A964" s="73" t="s">
        <v>1577</v>
      </c>
      <c r="B964" s="72">
        <v>8.0835784E7</v>
      </c>
      <c r="C964" s="74">
        <v>46220.95978320602</v>
      </c>
      <c r="D964" s="2" t="s">
        <v>628</v>
      </c>
      <c r="F964" s="2" t="s">
        <v>922</v>
      </c>
      <c r="G964" s="72">
        <v>3.23242413E8</v>
      </c>
    </row>
    <row r="965">
      <c r="A965" s="73" t="s">
        <v>1578</v>
      </c>
      <c r="B965" s="72">
        <v>7.8619268E7</v>
      </c>
      <c r="C965" s="74">
        <v>46205.75213206018</v>
      </c>
      <c r="D965" s="2" t="s">
        <v>628</v>
      </c>
      <c r="F965" s="2" t="s">
        <v>1579</v>
      </c>
      <c r="G965" s="72">
        <v>3.12824507E8</v>
      </c>
    </row>
    <row r="966">
      <c r="A966" s="73" t="s">
        <v>1578</v>
      </c>
      <c r="B966" s="72">
        <v>7.8619268E7</v>
      </c>
      <c r="C966" s="74">
        <v>46207.54344173611</v>
      </c>
      <c r="D966" s="2" t="s">
        <v>628</v>
      </c>
      <c r="F966" s="2" t="s">
        <v>630</v>
      </c>
      <c r="G966" s="72">
        <v>3.14068413E8</v>
      </c>
    </row>
    <row r="967">
      <c r="A967" s="73" t="s">
        <v>1578</v>
      </c>
      <c r="B967" s="72">
        <v>7.8619268E7</v>
      </c>
      <c r="C967" s="74">
        <v>46207.96000291666</v>
      </c>
      <c r="D967" s="2" t="s">
        <v>628</v>
      </c>
      <c r="F967" s="2" t="s">
        <v>1580</v>
      </c>
      <c r="G967" s="72">
        <v>3.14479145E8</v>
      </c>
    </row>
    <row r="968">
      <c r="A968" s="73" t="s">
        <v>1581</v>
      </c>
      <c r="B968" s="72">
        <v>8.1217453E7</v>
      </c>
      <c r="C968" s="74">
        <v>46221.751980879635</v>
      </c>
      <c r="D968" s="2" t="s">
        <v>628</v>
      </c>
      <c r="F968" s="2" t="s">
        <v>1052</v>
      </c>
      <c r="G968" s="72">
        <v>3.23771852E8</v>
      </c>
    </row>
    <row r="969">
      <c r="A969" s="73" t="s">
        <v>1581</v>
      </c>
      <c r="B969" s="72">
        <v>8.1217453E7</v>
      </c>
      <c r="C969" s="74">
        <v>46223.54351451389</v>
      </c>
      <c r="D969" s="2" t="s">
        <v>628</v>
      </c>
      <c r="F969" s="2" t="s">
        <v>630</v>
      </c>
      <c r="G969" s="72">
        <v>3.24967073E8</v>
      </c>
    </row>
    <row r="970">
      <c r="A970" s="73" t="s">
        <v>1582</v>
      </c>
      <c r="B970" s="72">
        <v>8.3191758E7</v>
      </c>
      <c r="C970" s="74">
        <v>46233.75221355324</v>
      </c>
      <c r="D970" s="2" t="s">
        <v>628</v>
      </c>
      <c r="F970" s="2" t="s">
        <v>663</v>
      </c>
      <c r="G970" s="72">
        <v>3.32068083E8</v>
      </c>
    </row>
    <row r="971">
      <c r="A971" s="73" t="s">
        <v>1583</v>
      </c>
      <c r="B971" s="72">
        <v>8.2958629E7</v>
      </c>
      <c r="C971" s="74">
        <v>46232.447672662034</v>
      </c>
      <c r="D971" s="2" t="s">
        <v>653</v>
      </c>
      <c r="F971" s="2" t="s">
        <v>1584</v>
      </c>
      <c r="G971" s="72">
        <v>3.31054897E8</v>
      </c>
    </row>
    <row r="972">
      <c r="A972" s="73" t="s">
        <v>1583</v>
      </c>
      <c r="B972" s="72">
        <v>8.2958629E7</v>
      </c>
      <c r="C972" s="74">
        <v>46232.44768090278</v>
      </c>
      <c r="D972" s="2" t="s">
        <v>705</v>
      </c>
      <c r="F972" s="2" t="s">
        <v>1585</v>
      </c>
      <c r="G972" s="72">
        <v>3.310549E8</v>
      </c>
    </row>
    <row r="973">
      <c r="A973" s="73" t="s">
        <v>1583</v>
      </c>
      <c r="B973" s="72">
        <v>8.2958629E7</v>
      </c>
      <c r="C973" s="74">
        <v>46232.44766780092</v>
      </c>
      <c r="D973" s="2" t="s">
        <v>705</v>
      </c>
      <c r="F973" s="2" t="s">
        <v>756</v>
      </c>
      <c r="G973" s="72">
        <v>3.31054895E8</v>
      </c>
    </row>
    <row r="974">
      <c r="A974" s="73" t="s">
        <v>1583</v>
      </c>
      <c r="B974" s="72">
        <v>8.2958629E7</v>
      </c>
      <c r="C974" s="74">
        <v>46232.447658888894</v>
      </c>
      <c r="D974" s="2" t="s">
        <v>705</v>
      </c>
      <c r="F974" s="2" t="s">
        <v>1586</v>
      </c>
      <c r="G974" s="72">
        <v>3.31054894E8</v>
      </c>
    </row>
    <row r="975">
      <c r="A975" s="73" t="s">
        <v>1583</v>
      </c>
      <c r="B975" s="72">
        <v>8.2958629E7</v>
      </c>
      <c r="C975" s="74">
        <v>46232.4841283912</v>
      </c>
      <c r="D975" s="2" t="s">
        <v>667</v>
      </c>
      <c r="E975" s="2" t="s">
        <v>1587</v>
      </c>
      <c r="F975" s="2" t="s">
        <v>1588</v>
      </c>
      <c r="G975" s="72">
        <v>3.31098608E8</v>
      </c>
    </row>
    <row r="976">
      <c r="A976" s="73" t="s">
        <v>1589</v>
      </c>
      <c r="C976" s="74">
        <v>46226.7543090625</v>
      </c>
      <c r="D976" s="2" t="s">
        <v>628</v>
      </c>
      <c r="F976" s="2" t="s">
        <v>779</v>
      </c>
      <c r="G976" s="72">
        <v>3.27119584E8</v>
      </c>
    </row>
    <row r="977">
      <c r="A977" s="73" t="s">
        <v>1589</v>
      </c>
      <c r="B977" s="72">
        <v>8.2343536E7</v>
      </c>
      <c r="C977" s="74">
        <v>46228.96188350694</v>
      </c>
      <c r="D977" s="2" t="s">
        <v>628</v>
      </c>
      <c r="F977" s="2" t="s">
        <v>789</v>
      </c>
      <c r="G977" s="72">
        <v>3.28870651E8</v>
      </c>
    </row>
    <row r="978">
      <c r="A978" s="73" t="s">
        <v>1589</v>
      </c>
      <c r="B978" s="72">
        <v>8.2343536E7</v>
      </c>
      <c r="C978" s="74">
        <v>46228.54513185185</v>
      </c>
      <c r="D978" s="2" t="s">
        <v>628</v>
      </c>
      <c r="F978" s="2" t="s">
        <v>630</v>
      </c>
      <c r="G978" s="72">
        <v>3.28437717E8</v>
      </c>
    </row>
    <row r="979">
      <c r="A979" s="73" t="s">
        <v>1590</v>
      </c>
      <c r="B979" s="72">
        <v>7.9878599E7</v>
      </c>
      <c r="C979" s="74">
        <v>46215.54391385417</v>
      </c>
      <c r="D979" s="2" t="s">
        <v>628</v>
      </c>
      <c r="F979" s="2" t="s">
        <v>630</v>
      </c>
      <c r="G979" s="72">
        <v>3.19464893E8</v>
      </c>
    </row>
    <row r="980">
      <c r="A980" s="73" t="s">
        <v>1590</v>
      </c>
      <c r="B980" s="72">
        <v>7.9878599E7</v>
      </c>
      <c r="C980" s="74">
        <v>46222.41924079861</v>
      </c>
      <c r="D980" s="2" t="s">
        <v>705</v>
      </c>
      <c r="F980" s="2" t="s">
        <v>1591</v>
      </c>
      <c r="G980" s="72">
        <v>3.24148408E8</v>
      </c>
    </row>
    <row r="981">
      <c r="A981" s="73" t="s">
        <v>1590</v>
      </c>
      <c r="B981" s="72">
        <v>7.9878599E7</v>
      </c>
      <c r="C981" s="74">
        <v>46222.41926267361</v>
      </c>
      <c r="D981" s="2" t="s">
        <v>653</v>
      </c>
      <c r="F981" s="2" t="s">
        <v>1592</v>
      </c>
      <c r="G981" s="72">
        <v>3.2414844E8</v>
      </c>
    </row>
    <row r="982">
      <c r="A982" s="73" t="s">
        <v>1590</v>
      </c>
      <c r="B982" s="72">
        <v>7.9878599E7</v>
      </c>
      <c r="C982" s="74">
        <v>46222.41925537037</v>
      </c>
      <c r="D982" s="2" t="s">
        <v>653</v>
      </c>
      <c r="F982" s="2" t="s">
        <v>1593</v>
      </c>
      <c r="G982" s="72">
        <v>3.24148427E8</v>
      </c>
    </row>
    <row r="983">
      <c r="A983" s="73" t="s">
        <v>1590</v>
      </c>
      <c r="B983" s="72">
        <v>7.9878599E7</v>
      </c>
      <c r="C983" s="74">
        <v>46222.4192343287</v>
      </c>
      <c r="D983" s="2" t="s">
        <v>705</v>
      </c>
      <c r="F983" s="2" t="s">
        <v>1594</v>
      </c>
      <c r="G983" s="72">
        <v>3.241484E8</v>
      </c>
    </row>
    <row r="984">
      <c r="A984" s="73" t="s">
        <v>1590</v>
      </c>
      <c r="B984" s="72">
        <v>7.9878599E7</v>
      </c>
      <c r="C984" s="74">
        <v>46222.419244351855</v>
      </c>
      <c r="D984" s="2" t="s">
        <v>653</v>
      </c>
      <c r="F984" s="2" t="s">
        <v>1595</v>
      </c>
      <c r="G984" s="72">
        <v>3.24148412E8</v>
      </c>
    </row>
    <row r="985">
      <c r="A985" s="73" t="s">
        <v>1590</v>
      </c>
      <c r="B985" s="72">
        <v>7.9878599E7</v>
      </c>
      <c r="C985" s="74">
        <v>46222.419270439816</v>
      </c>
      <c r="D985" s="2" t="s">
        <v>653</v>
      </c>
      <c r="F985" s="2" t="s">
        <v>1596</v>
      </c>
      <c r="G985" s="72">
        <v>3.2414845E8</v>
      </c>
    </row>
    <row r="986">
      <c r="A986" s="73" t="s">
        <v>1590</v>
      </c>
      <c r="B986" s="72">
        <v>7.9878599E7</v>
      </c>
      <c r="C986" s="74">
        <v>46213.75187986111</v>
      </c>
      <c r="D986" s="2" t="s">
        <v>628</v>
      </c>
      <c r="F986" s="2" t="s">
        <v>1253</v>
      </c>
      <c r="G986" s="72">
        <v>3.1816964E8</v>
      </c>
    </row>
    <row r="987">
      <c r="A987" s="73" t="s">
        <v>1590</v>
      </c>
      <c r="B987" s="72">
        <v>7.9878599E7</v>
      </c>
      <c r="C987" s="74">
        <v>46222.419251597225</v>
      </c>
      <c r="D987" s="2" t="s">
        <v>653</v>
      </c>
      <c r="F987" s="2" t="s">
        <v>1593</v>
      </c>
      <c r="G987" s="72">
        <v>3.24148424E8</v>
      </c>
    </row>
    <row r="988">
      <c r="A988" s="73" t="s">
        <v>1590</v>
      </c>
      <c r="B988" s="72">
        <v>7.9878599E7</v>
      </c>
      <c r="C988" s="74">
        <v>46213.88414864583</v>
      </c>
      <c r="D988" s="2" t="s">
        <v>705</v>
      </c>
      <c r="F988" s="2" t="s">
        <v>1597</v>
      </c>
      <c r="G988" s="72">
        <v>3.18335828E8</v>
      </c>
    </row>
    <row r="989">
      <c r="A989" s="73" t="s">
        <v>1590</v>
      </c>
      <c r="B989" s="72">
        <v>7.9878599E7</v>
      </c>
      <c r="C989" s="74">
        <v>46222.419247847225</v>
      </c>
      <c r="D989" s="2" t="s">
        <v>653</v>
      </c>
      <c r="F989" s="2" t="s">
        <v>1598</v>
      </c>
      <c r="G989" s="72">
        <v>3.24148419E8</v>
      </c>
    </row>
    <row r="990">
      <c r="A990" s="73" t="s">
        <v>1590</v>
      </c>
      <c r="B990" s="72">
        <v>7.9878599E7</v>
      </c>
      <c r="C990" s="74">
        <v>46222.41925910879</v>
      </c>
      <c r="D990" s="2" t="s">
        <v>653</v>
      </c>
      <c r="F990" s="2" t="s">
        <v>1599</v>
      </c>
      <c r="G990" s="72">
        <v>3.24148436E8</v>
      </c>
    </row>
    <row r="991">
      <c r="A991" s="73" t="s">
        <v>1590</v>
      </c>
      <c r="B991" s="72">
        <v>7.9878599E7</v>
      </c>
      <c r="C991" s="74">
        <v>46215.96025883102</v>
      </c>
      <c r="D991" s="2" t="s">
        <v>628</v>
      </c>
      <c r="F991" s="2" t="s">
        <v>1600</v>
      </c>
      <c r="G991" s="72">
        <v>3.19859074E8</v>
      </c>
    </row>
    <row r="992">
      <c r="A992" s="73" t="s">
        <v>1590</v>
      </c>
      <c r="B992" s="72">
        <v>7.9878599E7</v>
      </c>
      <c r="C992" s="74">
        <v>46222.41926633102</v>
      </c>
      <c r="D992" s="2" t="s">
        <v>653</v>
      </c>
      <c r="F992" s="2" t="s">
        <v>1601</v>
      </c>
      <c r="G992" s="72">
        <v>3.24148443E8</v>
      </c>
    </row>
    <row r="993">
      <c r="A993" s="73" t="s">
        <v>1602</v>
      </c>
      <c r="B993" s="72">
        <v>7.8319179E7</v>
      </c>
      <c r="C993" s="74">
        <v>46204.960269166666</v>
      </c>
      <c r="D993" s="2" t="s">
        <v>628</v>
      </c>
      <c r="F993" s="2" t="s">
        <v>1603</v>
      </c>
      <c r="G993" s="72">
        <v>3.12382135E8</v>
      </c>
    </row>
    <row r="994">
      <c r="A994" s="73" t="s">
        <v>1604</v>
      </c>
      <c r="B994" s="72">
        <v>8.2381505E7</v>
      </c>
      <c r="C994" s="74">
        <v>46229.959617939814</v>
      </c>
      <c r="D994" s="2" t="s">
        <v>628</v>
      </c>
      <c r="F994" s="2" t="s">
        <v>1146</v>
      </c>
      <c r="G994" s="72">
        <v>3.2960856E8</v>
      </c>
    </row>
    <row r="995">
      <c r="A995" s="73" t="s">
        <v>1604</v>
      </c>
      <c r="B995" s="72">
        <v>8.2381505E7</v>
      </c>
      <c r="C995" s="74">
        <v>46228.75120774306</v>
      </c>
      <c r="D995" s="2" t="s">
        <v>628</v>
      </c>
      <c r="F995" s="2" t="s">
        <v>1143</v>
      </c>
      <c r="G995" s="72">
        <v>3.28636587E8</v>
      </c>
    </row>
    <row r="996">
      <c r="A996" s="73" t="s">
        <v>1605</v>
      </c>
      <c r="B996" s="72">
        <v>8.2387136E7</v>
      </c>
      <c r="C996" s="74">
        <v>46228.75343334491</v>
      </c>
      <c r="D996" s="2" t="s">
        <v>628</v>
      </c>
      <c r="F996" s="2" t="s">
        <v>1606</v>
      </c>
      <c r="G996" s="72">
        <v>3.28652034E8</v>
      </c>
    </row>
    <row r="997">
      <c r="A997" s="73" t="s">
        <v>1605</v>
      </c>
      <c r="B997" s="72">
        <v>8.2387136E7</v>
      </c>
      <c r="C997" s="74">
        <v>46228.797548703704</v>
      </c>
      <c r="D997" s="2" t="s">
        <v>653</v>
      </c>
      <c r="F997" s="2" t="s">
        <v>1607</v>
      </c>
      <c r="G997" s="72">
        <v>3.28702825E8</v>
      </c>
    </row>
    <row r="998">
      <c r="A998" s="73" t="s">
        <v>1605</v>
      </c>
      <c r="B998" s="72">
        <v>8.2387136E7</v>
      </c>
      <c r="C998" s="74">
        <v>46230.546029108795</v>
      </c>
      <c r="D998" s="2" t="s">
        <v>628</v>
      </c>
      <c r="F998" s="2" t="s">
        <v>630</v>
      </c>
      <c r="G998" s="72">
        <v>3.2988274E8</v>
      </c>
    </row>
    <row r="999">
      <c r="A999" s="73" t="s">
        <v>1605</v>
      </c>
      <c r="B999" s="72">
        <v>8.2387136E7</v>
      </c>
      <c r="C999" s="74">
        <v>46230.96182060185</v>
      </c>
      <c r="D999" s="2" t="s">
        <v>628</v>
      </c>
      <c r="F999" s="2" t="s">
        <v>1608</v>
      </c>
      <c r="G999" s="72">
        <v>3.30273437E8</v>
      </c>
    </row>
    <row r="1000">
      <c r="A1000" s="73" t="s">
        <v>1605</v>
      </c>
      <c r="B1000" s="72">
        <v>8.2387136E7</v>
      </c>
      <c r="C1000" s="74">
        <v>46228.797544560184</v>
      </c>
      <c r="D1000" s="2" t="s">
        <v>653</v>
      </c>
      <c r="F1000" s="2" t="s">
        <v>1609</v>
      </c>
      <c r="G1000" s="72">
        <v>3.28702822E8</v>
      </c>
    </row>
    <row r="1001">
      <c r="A1001" s="73" t="s">
        <v>1610</v>
      </c>
      <c r="B1001" s="72">
        <v>8.1839591E7</v>
      </c>
      <c r="C1001" s="74">
        <v>46225.7546597801</v>
      </c>
      <c r="D1001" s="2" t="s">
        <v>653</v>
      </c>
      <c r="F1001" s="2" t="s">
        <v>753</v>
      </c>
      <c r="G1001" s="72">
        <v>3.26445903E8</v>
      </c>
    </row>
    <row r="1002">
      <c r="A1002" s="73" t="s">
        <v>1610</v>
      </c>
      <c r="B1002" s="72">
        <v>8.1839591E7</v>
      </c>
      <c r="C1002" s="74">
        <v>46225.753790347226</v>
      </c>
      <c r="D1002" s="2" t="s">
        <v>628</v>
      </c>
      <c r="F1002" s="2" t="s">
        <v>1611</v>
      </c>
      <c r="G1002" s="72">
        <v>3.26443792E8</v>
      </c>
    </row>
    <row r="1003">
      <c r="A1003" s="73" t="s">
        <v>1610</v>
      </c>
      <c r="B1003" s="72">
        <v>8.1839591E7</v>
      </c>
      <c r="C1003" s="74">
        <v>46226.961704236106</v>
      </c>
      <c r="D1003" s="2" t="s">
        <v>628</v>
      </c>
      <c r="F1003" s="2" t="s">
        <v>1612</v>
      </c>
      <c r="G1003" s="72">
        <v>3.27342995E8</v>
      </c>
    </row>
    <row r="1004">
      <c r="A1004" s="73" t="s">
        <v>1610</v>
      </c>
      <c r="B1004" s="72">
        <v>8.1839591E7</v>
      </c>
      <c r="C1004" s="74">
        <v>46225.754664513894</v>
      </c>
      <c r="D1004" s="2" t="s">
        <v>653</v>
      </c>
      <c r="F1004" s="2" t="s">
        <v>1613</v>
      </c>
      <c r="G1004" s="72">
        <v>3.26445909E8</v>
      </c>
    </row>
    <row r="1005">
      <c r="A1005" s="73" t="s">
        <v>1614</v>
      </c>
      <c r="B1005" s="72">
        <v>7.8973899E7</v>
      </c>
      <c r="C1005" s="74">
        <v>46207.7518708912</v>
      </c>
      <c r="D1005" s="2" t="s">
        <v>628</v>
      </c>
      <c r="F1005" s="2" t="s">
        <v>1615</v>
      </c>
      <c r="G1005" s="72">
        <v>3.14284553E8</v>
      </c>
    </row>
    <row r="1006">
      <c r="A1006" s="73" t="s">
        <v>1614</v>
      </c>
      <c r="B1006" s="72">
        <v>7.8973899E7</v>
      </c>
      <c r="C1006" s="74">
        <v>46209.543907141204</v>
      </c>
      <c r="D1006" s="2" t="s">
        <v>628</v>
      </c>
      <c r="F1006" s="2" t="s">
        <v>630</v>
      </c>
      <c r="G1006" s="72">
        <v>3.15394703E8</v>
      </c>
    </row>
    <row r="1007">
      <c r="A1007" s="73" t="s">
        <v>1616</v>
      </c>
      <c r="B1007" s="72">
        <v>7.8409482E7</v>
      </c>
      <c r="C1007" s="74">
        <v>46204.461934618055</v>
      </c>
      <c r="D1007" s="2" t="s">
        <v>628</v>
      </c>
      <c r="F1007" s="2" t="s">
        <v>1617</v>
      </c>
      <c r="G1007" s="72">
        <v>3.11928186E8</v>
      </c>
    </row>
    <row r="1008">
      <c r="A1008" s="73" t="s">
        <v>1616</v>
      </c>
      <c r="B1008" s="72">
        <v>7.8409482E7</v>
      </c>
      <c r="C1008" s="74">
        <v>46204.961286377315</v>
      </c>
      <c r="D1008" s="2" t="s">
        <v>628</v>
      </c>
      <c r="F1008" s="2" t="s">
        <v>1618</v>
      </c>
      <c r="G1008" s="72">
        <v>3.12385773E8</v>
      </c>
    </row>
    <row r="1009">
      <c r="A1009" s="73" t="s">
        <v>1619</v>
      </c>
      <c r="B1009" s="72">
        <v>8.047565E7</v>
      </c>
      <c r="C1009" s="74">
        <v>46217.543841481485</v>
      </c>
      <c r="D1009" s="2" t="s">
        <v>628</v>
      </c>
      <c r="F1009" s="2" t="s">
        <v>630</v>
      </c>
      <c r="G1009" s="72">
        <v>3.20731217E8</v>
      </c>
    </row>
    <row r="1010">
      <c r="A1010" s="73" t="s">
        <v>1619</v>
      </c>
      <c r="B1010" s="72">
        <v>8.047565E7</v>
      </c>
      <c r="C1010" s="74">
        <v>46219.96023994213</v>
      </c>
      <c r="D1010" s="2" t="s">
        <v>628</v>
      </c>
      <c r="F1010" s="2" t="s">
        <v>1238</v>
      </c>
      <c r="G1010" s="72">
        <v>3.22475751E8</v>
      </c>
    </row>
    <row r="1011">
      <c r="A1011" s="73" t="s">
        <v>1619</v>
      </c>
      <c r="C1011" s="74">
        <v>46215.75183246528</v>
      </c>
      <c r="D1011" s="2" t="s">
        <v>628</v>
      </c>
      <c r="F1011" s="2" t="s">
        <v>1237</v>
      </c>
      <c r="G1011" s="72">
        <v>3.19672658E8</v>
      </c>
    </row>
    <row r="1012">
      <c r="A1012" s="73" t="s">
        <v>1620</v>
      </c>
      <c r="B1012" s="72">
        <v>6.6135621E7</v>
      </c>
      <c r="C1012" s="74">
        <v>46230.54489240741</v>
      </c>
      <c r="D1012" s="2" t="s">
        <v>628</v>
      </c>
      <c r="F1012" s="2" t="s">
        <v>630</v>
      </c>
      <c r="G1012" s="72">
        <v>3.29864798E8</v>
      </c>
    </row>
    <row r="1013">
      <c r="A1013" s="73" t="s">
        <v>1620</v>
      </c>
      <c r="B1013" s="72">
        <v>6.6135621E7</v>
      </c>
      <c r="C1013" s="74">
        <v>46230.96116947917</v>
      </c>
      <c r="D1013" s="2" t="s">
        <v>628</v>
      </c>
      <c r="F1013" s="2" t="s">
        <v>1621</v>
      </c>
      <c r="G1013" s="72">
        <v>3.30271609E8</v>
      </c>
    </row>
    <row r="1014">
      <c r="A1014" s="73" t="s">
        <v>1620</v>
      </c>
      <c r="B1014" s="72">
        <v>6.6135621E7</v>
      </c>
      <c r="C1014" s="74">
        <v>46228.752695462965</v>
      </c>
      <c r="D1014" s="2" t="s">
        <v>628</v>
      </c>
      <c r="F1014" s="2" t="s">
        <v>1622</v>
      </c>
      <c r="G1014" s="72">
        <v>3.28646733E8</v>
      </c>
    </row>
    <row r="1015">
      <c r="A1015" s="73" t="s">
        <v>1623</v>
      </c>
      <c r="B1015" s="72">
        <v>8.2221959E7</v>
      </c>
      <c r="C1015" s="74">
        <v>46230.57694381944</v>
      </c>
      <c r="D1015" s="2" t="s">
        <v>653</v>
      </c>
      <c r="F1015" s="2" t="s">
        <v>1624</v>
      </c>
      <c r="G1015" s="72">
        <v>3.2989906E8</v>
      </c>
    </row>
    <row r="1016">
      <c r="A1016" s="73" t="s">
        <v>1623</v>
      </c>
      <c r="B1016" s="72">
        <v>8.2221959E7</v>
      </c>
      <c r="C1016" s="74">
        <v>46232.47283096064</v>
      </c>
      <c r="D1016" s="2" t="s">
        <v>653</v>
      </c>
      <c r="F1016" s="2" t="s">
        <v>1625</v>
      </c>
      <c r="G1016" s="72">
        <v>3.31096065E8</v>
      </c>
    </row>
    <row r="1017">
      <c r="A1017" s="73" t="s">
        <v>1623</v>
      </c>
      <c r="B1017" s="72">
        <v>8.2221959E7</v>
      </c>
      <c r="C1017" s="74">
        <v>46227.818434953704</v>
      </c>
      <c r="D1017" s="2" t="s">
        <v>653</v>
      </c>
      <c r="F1017" s="2" t="s">
        <v>919</v>
      </c>
      <c r="G1017" s="72">
        <v>3.27959938E8</v>
      </c>
    </row>
    <row r="1018">
      <c r="A1018" s="73" t="s">
        <v>1623</v>
      </c>
      <c r="B1018" s="72">
        <v>8.2221959E7</v>
      </c>
      <c r="C1018" s="74">
        <v>46228.75175673611</v>
      </c>
      <c r="D1018" s="2" t="s">
        <v>628</v>
      </c>
      <c r="F1018" s="2" t="s">
        <v>1059</v>
      </c>
      <c r="G1018" s="72">
        <v>3.28640591E8</v>
      </c>
    </row>
    <row r="1019">
      <c r="A1019" s="73" t="s">
        <v>1623</v>
      </c>
      <c r="B1019" s="72">
        <v>8.2221959E7</v>
      </c>
      <c r="C1019" s="74">
        <v>46227.81842996528</v>
      </c>
      <c r="D1019" s="2" t="s">
        <v>705</v>
      </c>
      <c r="F1019" s="2" t="s">
        <v>918</v>
      </c>
      <c r="G1019" s="72">
        <v>3.27959935E8</v>
      </c>
    </row>
    <row r="1020">
      <c r="A1020" s="73" t="s">
        <v>1623</v>
      </c>
      <c r="B1020" s="72">
        <v>8.2221959E7</v>
      </c>
      <c r="C1020" s="74">
        <v>46228.797386122686</v>
      </c>
      <c r="D1020" s="2" t="s">
        <v>653</v>
      </c>
      <c r="F1020" s="2" t="s">
        <v>1626</v>
      </c>
      <c r="G1020" s="72">
        <v>3.28702669E8</v>
      </c>
    </row>
    <row r="1021">
      <c r="A1021" s="73" t="s">
        <v>1623</v>
      </c>
      <c r="B1021" s="72">
        <v>8.2221959E7</v>
      </c>
      <c r="C1021" s="74">
        <v>46229.96017099537</v>
      </c>
      <c r="D1021" s="2" t="s">
        <v>628</v>
      </c>
      <c r="F1021" s="2" t="s">
        <v>1627</v>
      </c>
      <c r="G1021" s="72">
        <v>3.29610259E8</v>
      </c>
    </row>
    <row r="1022">
      <c r="A1022" s="73" t="s">
        <v>1628</v>
      </c>
      <c r="B1022" s="72">
        <v>8.1108715E7</v>
      </c>
      <c r="C1022" s="74">
        <v>46220.96104256944</v>
      </c>
      <c r="D1022" s="2" t="s">
        <v>628</v>
      </c>
      <c r="F1022" s="2" t="s">
        <v>838</v>
      </c>
      <c r="G1022" s="72">
        <v>3.23247178E8</v>
      </c>
    </row>
    <row r="1023">
      <c r="A1023" s="73" t="s">
        <v>1628</v>
      </c>
      <c r="B1023" s="72">
        <v>8.1108715E7</v>
      </c>
      <c r="C1023" s="74">
        <v>46219.80666699074</v>
      </c>
      <c r="D1023" s="2" t="s">
        <v>653</v>
      </c>
      <c r="F1023" s="2" t="s">
        <v>1629</v>
      </c>
      <c r="G1023" s="72">
        <v>3.22327923E8</v>
      </c>
    </row>
    <row r="1024">
      <c r="A1024" s="73" t="s">
        <v>1628</v>
      </c>
      <c r="B1024" s="72">
        <v>8.1108715E7</v>
      </c>
      <c r="C1024" s="74">
        <v>46220.96992913194</v>
      </c>
      <c r="D1024" s="2" t="s">
        <v>653</v>
      </c>
      <c r="F1024" s="2" t="s">
        <v>1630</v>
      </c>
      <c r="G1024" s="72">
        <v>3.2325742E8</v>
      </c>
    </row>
    <row r="1025">
      <c r="A1025" s="73" t="s">
        <v>1628</v>
      </c>
      <c r="B1025" s="72">
        <v>8.1108715E7</v>
      </c>
      <c r="C1025" s="74">
        <v>46219.806670000005</v>
      </c>
      <c r="D1025" s="2" t="s">
        <v>653</v>
      </c>
      <c r="F1025" s="2" t="s">
        <v>1630</v>
      </c>
      <c r="G1025" s="72">
        <v>3.22327924E8</v>
      </c>
    </row>
    <row r="1026">
      <c r="A1026" s="73" t="s">
        <v>1631</v>
      </c>
      <c r="B1026" s="72">
        <v>7.9821585E7</v>
      </c>
      <c r="C1026" s="74">
        <v>46213.47500494213</v>
      </c>
      <c r="D1026" s="2" t="s">
        <v>628</v>
      </c>
      <c r="F1026" s="2" t="s">
        <v>1632</v>
      </c>
      <c r="G1026" s="72">
        <v>3.17861888E8</v>
      </c>
    </row>
    <row r="1027">
      <c r="A1027" s="73" t="s">
        <v>1631</v>
      </c>
      <c r="B1027" s="72">
        <v>7.9821585E7</v>
      </c>
      <c r="C1027" s="74">
        <v>46213.96072728009</v>
      </c>
      <c r="D1027" s="2" t="s">
        <v>628</v>
      </c>
      <c r="F1027" s="2" t="s">
        <v>1633</v>
      </c>
      <c r="G1027" s="72">
        <v>3.1840935E8</v>
      </c>
    </row>
    <row r="1028">
      <c r="A1028" s="73" t="s">
        <v>1634</v>
      </c>
      <c r="B1028" s="72">
        <v>8.1991691E7</v>
      </c>
      <c r="C1028" s="74">
        <v>46227.96053003472</v>
      </c>
      <c r="D1028" s="2" t="s">
        <v>628</v>
      </c>
      <c r="F1028" s="2" t="s">
        <v>1635</v>
      </c>
      <c r="G1028" s="72">
        <v>3.28117603E8</v>
      </c>
    </row>
    <row r="1029">
      <c r="A1029" s="73" t="s">
        <v>1634</v>
      </c>
      <c r="B1029" s="72">
        <v>8.1991691E7</v>
      </c>
      <c r="C1029" s="74">
        <v>46226.732619166665</v>
      </c>
      <c r="D1029" s="2" t="s">
        <v>705</v>
      </c>
      <c r="F1029" s="2" t="s">
        <v>872</v>
      </c>
      <c r="G1029" s="72">
        <v>3.27085075E8</v>
      </c>
    </row>
    <row r="1030">
      <c r="A1030" s="73" t="s">
        <v>1634</v>
      </c>
      <c r="B1030" s="72">
        <v>8.1991691E7</v>
      </c>
      <c r="C1030" s="74">
        <v>46226.73688548611</v>
      </c>
      <c r="D1030" s="2" t="s">
        <v>667</v>
      </c>
      <c r="E1030" s="2" t="s">
        <v>829</v>
      </c>
      <c r="F1030" s="2" t="s">
        <v>1636</v>
      </c>
      <c r="G1030" s="72">
        <v>3.27086916E8</v>
      </c>
    </row>
    <row r="1031">
      <c r="A1031" s="73" t="s">
        <v>1634</v>
      </c>
      <c r="B1031" s="72">
        <v>8.1991691E7</v>
      </c>
      <c r="C1031" s="74">
        <v>46226.75202167824</v>
      </c>
      <c r="D1031" s="2" t="s">
        <v>628</v>
      </c>
      <c r="F1031" s="2" t="s">
        <v>1637</v>
      </c>
      <c r="G1031" s="72">
        <v>3.27104098E8</v>
      </c>
    </row>
    <row r="1032">
      <c r="A1032" s="73" t="s">
        <v>1638</v>
      </c>
      <c r="C1032" s="74">
        <v>46219.75397039352</v>
      </c>
      <c r="D1032" s="2" t="s">
        <v>628</v>
      </c>
      <c r="F1032" s="2" t="s">
        <v>1639</v>
      </c>
      <c r="G1032" s="72">
        <v>3.22255814E8</v>
      </c>
    </row>
    <row r="1033">
      <c r="A1033" s="73" t="s">
        <v>1638</v>
      </c>
      <c r="B1033" s="72">
        <v>8.1174021E7</v>
      </c>
      <c r="C1033" s="74">
        <v>46221.5434966551</v>
      </c>
      <c r="D1033" s="2" t="s">
        <v>628</v>
      </c>
      <c r="F1033" s="2" t="s">
        <v>630</v>
      </c>
      <c r="G1033" s="72">
        <v>3.23537482E8</v>
      </c>
    </row>
    <row r="1034">
      <c r="A1034" s="73" t="s">
        <v>1638</v>
      </c>
      <c r="B1034" s="72">
        <v>8.1174021E7</v>
      </c>
      <c r="C1034" s="74">
        <v>46221.96029040509</v>
      </c>
      <c r="D1034" s="2" t="s">
        <v>628</v>
      </c>
      <c r="F1034" s="2" t="s">
        <v>1640</v>
      </c>
      <c r="G1034" s="72">
        <v>3.23994403E8</v>
      </c>
    </row>
    <row r="1035">
      <c r="A1035" s="73" t="s">
        <v>1641</v>
      </c>
      <c r="B1035" s="72">
        <v>8.1216313E7</v>
      </c>
      <c r="C1035" s="74">
        <v>46221.757892650465</v>
      </c>
      <c r="D1035" s="2" t="s">
        <v>705</v>
      </c>
      <c r="F1035" s="2" t="s">
        <v>1642</v>
      </c>
      <c r="G1035" s="72">
        <v>3.23787547E8</v>
      </c>
    </row>
    <row r="1036">
      <c r="A1036" s="73" t="s">
        <v>1641</v>
      </c>
      <c r="B1036" s="72">
        <v>8.1216313E7</v>
      </c>
      <c r="C1036" s="74">
        <v>46221.75156962963</v>
      </c>
      <c r="D1036" s="2" t="s">
        <v>628</v>
      </c>
      <c r="F1036" s="2" t="s">
        <v>927</v>
      </c>
      <c r="G1036" s="72">
        <v>3.2376893E8</v>
      </c>
    </row>
    <row r="1037">
      <c r="A1037" s="73" t="s">
        <v>1643</v>
      </c>
      <c r="B1037" s="72">
        <v>8.2387682E7</v>
      </c>
      <c r="C1037" s="74">
        <v>46230.54572303241</v>
      </c>
      <c r="D1037" s="2" t="s">
        <v>628</v>
      </c>
      <c r="F1037" s="2" t="s">
        <v>630</v>
      </c>
      <c r="G1037" s="72">
        <v>3.29878235E8</v>
      </c>
    </row>
    <row r="1038">
      <c r="A1038" s="73" t="s">
        <v>1643</v>
      </c>
      <c r="B1038" s="72">
        <v>8.2387682E7</v>
      </c>
      <c r="C1038" s="74">
        <v>46228.75367133102</v>
      </c>
      <c r="D1038" s="2" t="s">
        <v>628</v>
      </c>
      <c r="F1038" s="2" t="s">
        <v>1644</v>
      </c>
      <c r="G1038" s="72">
        <v>3.28653466E8</v>
      </c>
    </row>
    <row r="1039">
      <c r="A1039" s="73" t="s">
        <v>1643</v>
      </c>
      <c r="B1039" s="72">
        <v>8.2387682E7</v>
      </c>
      <c r="C1039" s="74">
        <v>46230.9614784375</v>
      </c>
      <c r="D1039" s="2" t="s">
        <v>628</v>
      </c>
      <c r="F1039" s="2" t="s">
        <v>1645</v>
      </c>
      <c r="G1039" s="72">
        <v>3.3027251E8</v>
      </c>
    </row>
    <row r="1040">
      <c r="A1040" s="73" t="s">
        <v>1646</v>
      </c>
      <c r="B1040" s="72">
        <v>8.0789583E7</v>
      </c>
      <c r="C1040" s="74">
        <v>46219.97715549769</v>
      </c>
      <c r="D1040" s="2" t="s">
        <v>653</v>
      </c>
      <c r="F1040" s="2" t="s">
        <v>1647</v>
      </c>
      <c r="G1040" s="72">
        <v>3.22492541E8</v>
      </c>
    </row>
    <row r="1041">
      <c r="A1041" s="73" t="s">
        <v>1646</v>
      </c>
      <c r="B1041" s="72">
        <v>8.0789583E7</v>
      </c>
      <c r="C1041" s="74">
        <v>46219.959978425926</v>
      </c>
      <c r="D1041" s="2" t="s">
        <v>628</v>
      </c>
      <c r="F1041" s="2" t="s">
        <v>1648</v>
      </c>
      <c r="G1041" s="72">
        <v>3.22474696E8</v>
      </c>
    </row>
    <row r="1042">
      <c r="A1042" s="73" t="s">
        <v>1646</v>
      </c>
      <c r="B1042" s="72">
        <v>8.0789583E7</v>
      </c>
      <c r="C1042" s="74">
        <v>46219.51431695602</v>
      </c>
      <c r="D1042" s="2" t="s">
        <v>628</v>
      </c>
      <c r="F1042" s="2" t="s">
        <v>1649</v>
      </c>
      <c r="G1042" s="72">
        <v>3.22009891E8</v>
      </c>
    </row>
    <row r="1043">
      <c r="A1043" s="73" t="s">
        <v>1646</v>
      </c>
      <c r="B1043" s="72">
        <v>8.0789583E7</v>
      </c>
      <c r="C1043" s="74">
        <v>46219.977161689814</v>
      </c>
      <c r="D1043" s="2" t="s">
        <v>653</v>
      </c>
      <c r="F1043" s="2" t="s">
        <v>1650</v>
      </c>
      <c r="G1043" s="72">
        <v>3.22492546E8</v>
      </c>
    </row>
    <row r="1044">
      <c r="A1044" s="73" t="s">
        <v>1646</v>
      </c>
      <c r="B1044" s="72">
        <v>8.0789583E7</v>
      </c>
      <c r="C1044" s="74">
        <v>46219.97715875</v>
      </c>
      <c r="D1044" s="2" t="s">
        <v>653</v>
      </c>
      <c r="F1044" s="2" t="s">
        <v>1651</v>
      </c>
      <c r="G1044" s="72">
        <v>3.22492545E8</v>
      </c>
    </row>
    <row r="1045">
      <c r="A1045" s="73" t="s">
        <v>1652</v>
      </c>
      <c r="B1045" s="72">
        <v>8.2760951E7</v>
      </c>
      <c r="C1045" s="74">
        <v>46230.9616603125</v>
      </c>
      <c r="D1045" s="2" t="s">
        <v>628</v>
      </c>
      <c r="F1045" s="2" t="s">
        <v>1600</v>
      </c>
      <c r="G1045" s="72">
        <v>3.30273003E8</v>
      </c>
    </row>
    <row r="1046">
      <c r="A1046" s="73" t="s">
        <v>1652</v>
      </c>
      <c r="C1046" s="74">
        <v>46229.753576944444</v>
      </c>
      <c r="D1046" s="2" t="s">
        <v>628</v>
      </c>
      <c r="F1046" s="2" t="s">
        <v>1253</v>
      </c>
      <c r="G1046" s="72">
        <v>3.29432995E8</v>
      </c>
    </row>
    <row r="1047">
      <c r="A1047" s="73" t="s">
        <v>1653</v>
      </c>
      <c r="B1047" s="72">
        <v>7.9703013E7</v>
      </c>
      <c r="C1047" s="74">
        <v>46212.75488320602</v>
      </c>
      <c r="D1047" s="2" t="s">
        <v>628</v>
      </c>
      <c r="F1047" s="2" t="s">
        <v>1654</v>
      </c>
      <c r="G1047" s="72">
        <v>3.17448107E8</v>
      </c>
    </row>
    <row r="1048">
      <c r="A1048" s="73" t="s">
        <v>1653</v>
      </c>
      <c r="B1048" s="72">
        <v>7.9703013E7</v>
      </c>
      <c r="C1048" s="74">
        <v>46214.96157784722</v>
      </c>
      <c r="D1048" s="2" t="s">
        <v>628</v>
      </c>
      <c r="F1048" s="2" t="s">
        <v>1655</v>
      </c>
      <c r="G1048" s="72">
        <v>3.19140919E8</v>
      </c>
    </row>
    <row r="1049">
      <c r="A1049" s="73" t="s">
        <v>1653</v>
      </c>
      <c r="B1049" s="72">
        <v>7.9703013E7</v>
      </c>
      <c r="C1049" s="74">
        <v>46214.5451479051</v>
      </c>
      <c r="D1049" s="2" t="s">
        <v>628</v>
      </c>
      <c r="F1049" s="2" t="s">
        <v>630</v>
      </c>
      <c r="G1049" s="72">
        <v>3.1872309E8</v>
      </c>
    </row>
    <row r="1050">
      <c r="A1050" s="73" t="s">
        <v>1656</v>
      </c>
      <c r="B1050" s="72">
        <v>3.4868103E7</v>
      </c>
      <c r="C1050" s="74">
        <v>46204.95984496528</v>
      </c>
      <c r="D1050" s="2" t="s">
        <v>628</v>
      </c>
      <c r="F1050" s="2" t="s">
        <v>1240</v>
      </c>
      <c r="G1050" s="72">
        <v>3.12380324E8</v>
      </c>
    </row>
    <row r="1051">
      <c r="A1051" s="73" t="s">
        <v>1657</v>
      </c>
      <c r="B1051" s="72">
        <v>7.9885166E7</v>
      </c>
      <c r="C1051" s="74">
        <v>46213.75323891204</v>
      </c>
      <c r="D1051" s="2" t="s">
        <v>628</v>
      </c>
      <c r="F1051" s="2" t="s">
        <v>632</v>
      </c>
      <c r="G1051" s="72">
        <v>3.18183548E8</v>
      </c>
    </row>
    <row r="1052">
      <c r="A1052" s="73" t="s">
        <v>1657</v>
      </c>
      <c r="B1052" s="72">
        <v>7.9885166E7</v>
      </c>
      <c r="C1052" s="74">
        <v>46214.960833888894</v>
      </c>
      <c r="D1052" s="2" t="s">
        <v>628</v>
      </c>
      <c r="F1052" s="2" t="s">
        <v>633</v>
      </c>
      <c r="G1052" s="72">
        <v>3.19137391E8</v>
      </c>
    </row>
    <row r="1053">
      <c r="A1053" s="73" t="s">
        <v>1658</v>
      </c>
      <c r="B1053" s="72">
        <v>8.1034706E7</v>
      </c>
      <c r="C1053" s="74">
        <v>46220.75367712963</v>
      </c>
      <c r="D1053" s="2" t="s">
        <v>628</v>
      </c>
      <c r="F1053" s="2" t="s">
        <v>1368</v>
      </c>
      <c r="G1053" s="72">
        <v>3.2301232E8</v>
      </c>
    </row>
    <row r="1054">
      <c r="A1054" s="73" t="s">
        <v>1658</v>
      </c>
      <c r="B1054" s="72">
        <v>8.1034706E7</v>
      </c>
      <c r="C1054" s="74">
        <v>46220.81095579861</v>
      </c>
      <c r="D1054" s="2" t="s">
        <v>653</v>
      </c>
      <c r="F1054" s="2" t="s">
        <v>1659</v>
      </c>
      <c r="G1054" s="72">
        <v>3.23079834E8</v>
      </c>
    </row>
    <row r="1055">
      <c r="A1055" s="73" t="s">
        <v>1658</v>
      </c>
      <c r="B1055" s="72">
        <v>8.1034706E7</v>
      </c>
      <c r="C1055" s="74">
        <v>46221.96109253472</v>
      </c>
      <c r="D1055" s="2" t="s">
        <v>628</v>
      </c>
      <c r="F1055" s="2" t="s">
        <v>1509</v>
      </c>
      <c r="G1055" s="72">
        <v>3.23999189E8</v>
      </c>
    </row>
    <row r="1056">
      <c r="A1056" s="73" t="s">
        <v>1658</v>
      </c>
      <c r="B1056" s="72">
        <v>8.1034706E7</v>
      </c>
      <c r="C1056" s="74">
        <v>46220.756394490745</v>
      </c>
      <c r="D1056" s="2" t="s">
        <v>653</v>
      </c>
      <c r="F1056" s="2" t="s">
        <v>1660</v>
      </c>
      <c r="G1056" s="72">
        <v>3.23017126E8</v>
      </c>
    </row>
    <row r="1057">
      <c r="A1057" s="73" t="s">
        <v>1661</v>
      </c>
      <c r="B1057" s="72">
        <v>8.21977E7</v>
      </c>
      <c r="C1057" s="74">
        <v>46228.96131780093</v>
      </c>
      <c r="D1057" s="2" t="s">
        <v>628</v>
      </c>
      <c r="F1057" s="2" t="s">
        <v>1662</v>
      </c>
      <c r="G1057" s="72">
        <v>3.28867973E8</v>
      </c>
    </row>
    <row r="1058">
      <c r="A1058" s="73" t="s">
        <v>1661</v>
      </c>
      <c r="B1058" s="72">
        <v>8.21977E7</v>
      </c>
      <c r="C1058" s="74">
        <v>46227.753893182875</v>
      </c>
      <c r="D1058" s="2" t="s">
        <v>628</v>
      </c>
      <c r="F1058" s="2" t="s">
        <v>1663</v>
      </c>
      <c r="G1058" s="72">
        <v>3.27885125E8</v>
      </c>
    </row>
    <row r="1059">
      <c r="A1059" s="73" t="s">
        <v>1664</v>
      </c>
      <c r="B1059" s="72">
        <v>7.9389194E7</v>
      </c>
      <c r="C1059" s="74">
        <v>46211.959720914354</v>
      </c>
      <c r="D1059" s="2" t="s">
        <v>628</v>
      </c>
      <c r="F1059" s="2" t="s">
        <v>1665</v>
      </c>
      <c r="G1059" s="72">
        <v>3.1698386E8</v>
      </c>
    </row>
    <row r="1060">
      <c r="A1060" s="73" t="s">
        <v>1664</v>
      </c>
      <c r="B1060" s="72">
        <v>7.9389194E7</v>
      </c>
      <c r="C1060" s="74">
        <v>46210.752005</v>
      </c>
      <c r="D1060" s="2" t="s">
        <v>628</v>
      </c>
      <c r="F1060" s="2" t="s">
        <v>1666</v>
      </c>
      <c r="G1060" s="72">
        <v>3.16188416E8</v>
      </c>
    </row>
    <row r="1061">
      <c r="A1061" s="73" t="s">
        <v>1667</v>
      </c>
      <c r="B1061" s="72">
        <v>7.8626172E7</v>
      </c>
      <c r="C1061" s="74">
        <v>46207.5444021875</v>
      </c>
      <c r="D1061" s="2" t="s">
        <v>628</v>
      </c>
      <c r="F1061" s="2" t="s">
        <v>630</v>
      </c>
      <c r="G1061" s="72">
        <v>3.14083986E8</v>
      </c>
    </row>
    <row r="1062">
      <c r="A1062" s="73" t="s">
        <v>1667</v>
      </c>
      <c r="B1062" s="72">
        <v>7.8626172E7</v>
      </c>
      <c r="C1062" s="74">
        <v>46207.96102017361</v>
      </c>
      <c r="D1062" s="2" t="s">
        <v>628</v>
      </c>
      <c r="F1062" s="2" t="s">
        <v>1668</v>
      </c>
      <c r="G1062" s="72">
        <v>3.14486319E8</v>
      </c>
    </row>
    <row r="1063">
      <c r="A1063" s="73" t="s">
        <v>1667</v>
      </c>
      <c r="B1063" s="72">
        <v>7.8626172E7</v>
      </c>
      <c r="C1063" s="74">
        <v>46205.7532108912</v>
      </c>
      <c r="D1063" s="2" t="s">
        <v>628</v>
      </c>
      <c r="F1063" s="2" t="s">
        <v>1346</v>
      </c>
      <c r="G1063" s="72">
        <v>3.12838098E8</v>
      </c>
    </row>
    <row r="1064">
      <c r="A1064" s="73" t="s">
        <v>1669</v>
      </c>
      <c r="B1064" s="72">
        <v>8.0840261E7</v>
      </c>
      <c r="C1064" s="74">
        <v>46219.752500856484</v>
      </c>
      <c r="D1064" s="2" t="s">
        <v>628</v>
      </c>
      <c r="F1064" s="2" t="s">
        <v>1181</v>
      </c>
      <c r="G1064" s="72">
        <v>3.22243306E8</v>
      </c>
    </row>
    <row r="1065">
      <c r="A1065" s="73" t="s">
        <v>1669</v>
      </c>
      <c r="B1065" s="72">
        <v>8.0840261E7</v>
      </c>
      <c r="C1065" s="74">
        <v>46220.96004951389</v>
      </c>
      <c r="D1065" s="2" t="s">
        <v>628</v>
      </c>
      <c r="F1065" s="2" t="s">
        <v>1180</v>
      </c>
      <c r="G1065" s="72">
        <v>3.23243374E8</v>
      </c>
    </row>
    <row r="1066">
      <c r="A1066" s="73" t="s">
        <v>1670</v>
      </c>
      <c r="B1066" s="72">
        <v>8.1555753E7</v>
      </c>
      <c r="C1066" s="74">
        <v>46224.00471703704</v>
      </c>
      <c r="D1066" s="2" t="s">
        <v>628</v>
      </c>
      <c r="F1066" s="2" t="s">
        <v>1671</v>
      </c>
      <c r="G1066" s="72">
        <v>3.25403995E8</v>
      </c>
    </row>
    <row r="1067">
      <c r="A1067" s="73" t="s">
        <v>1670</v>
      </c>
      <c r="B1067" s="72">
        <v>8.1555753E7</v>
      </c>
      <c r="C1067" s="74">
        <v>46223.852153831016</v>
      </c>
      <c r="D1067" s="2" t="s">
        <v>653</v>
      </c>
      <c r="F1067" s="2" t="s">
        <v>919</v>
      </c>
      <c r="G1067" s="72">
        <v>3.25266127E8</v>
      </c>
    </row>
    <row r="1068">
      <c r="A1068" s="73" t="s">
        <v>1670</v>
      </c>
      <c r="B1068" s="72">
        <v>8.1555753E7</v>
      </c>
      <c r="C1068" s="74">
        <v>46223.852143807875</v>
      </c>
      <c r="D1068" s="2" t="s">
        <v>705</v>
      </c>
      <c r="F1068" s="2" t="s">
        <v>1225</v>
      </c>
      <c r="G1068" s="72">
        <v>3.2526612E8</v>
      </c>
    </row>
    <row r="1069">
      <c r="A1069" s="73" t="s">
        <v>1672</v>
      </c>
      <c r="B1069" s="72">
        <v>7.8973807E7</v>
      </c>
      <c r="C1069" s="74">
        <v>46208.95931040509</v>
      </c>
      <c r="D1069" s="2" t="s">
        <v>628</v>
      </c>
      <c r="F1069" s="2" t="s">
        <v>1673</v>
      </c>
      <c r="G1069" s="72">
        <v>3.15161581E8</v>
      </c>
    </row>
    <row r="1070">
      <c r="A1070" s="73" t="s">
        <v>1672</v>
      </c>
      <c r="B1070" s="72">
        <v>7.8973807E7</v>
      </c>
      <c r="C1070" s="74">
        <v>46207.75184013889</v>
      </c>
      <c r="D1070" s="2" t="s">
        <v>628</v>
      </c>
      <c r="F1070" s="2" t="s">
        <v>1674</v>
      </c>
      <c r="G1070" s="72">
        <v>3.14284279E8</v>
      </c>
    </row>
    <row r="1071">
      <c r="A1071" s="73" t="s">
        <v>1675</v>
      </c>
      <c r="B1071" s="72">
        <v>8.2186657E7</v>
      </c>
      <c r="C1071" s="74">
        <v>46229.542888310185</v>
      </c>
      <c r="D1071" s="2" t="s">
        <v>628</v>
      </c>
      <c r="F1071" s="2" t="s">
        <v>630</v>
      </c>
      <c r="G1071" s="72">
        <v>3.29187818E8</v>
      </c>
    </row>
    <row r="1072">
      <c r="A1072" s="73" t="s">
        <v>1675</v>
      </c>
      <c r="B1072" s="72">
        <v>8.2186657E7</v>
      </c>
      <c r="C1072" s="74">
        <v>46227.750987754625</v>
      </c>
      <c r="D1072" s="2" t="s">
        <v>628</v>
      </c>
      <c r="F1072" s="2" t="s">
        <v>1579</v>
      </c>
      <c r="G1072" s="72">
        <v>3.27862207E8</v>
      </c>
    </row>
    <row r="1073">
      <c r="A1073" s="73" t="s">
        <v>1675</v>
      </c>
      <c r="B1073" s="72">
        <v>8.2186657E7</v>
      </c>
      <c r="C1073" s="74">
        <v>46230.95940409722</v>
      </c>
      <c r="D1073" s="2" t="s">
        <v>628</v>
      </c>
      <c r="F1073" s="2" t="s">
        <v>1676</v>
      </c>
      <c r="G1073" s="72">
        <v>3.30266538E8</v>
      </c>
    </row>
    <row r="1074">
      <c r="A1074" s="73" t="s">
        <v>1677</v>
      </c>
      <c r="B1074" s="72">
        <v>7.9536791E7</v>
      </c>
      <c r="C1074" s="74">
        <v>46214.96005318287</v>
      </c>
      <c r="D1074" s="2" t="s">
        <v>628</v>
      </c>
      <c r="F1074" s="2" t="s">
        <v>1678</v>
      </c>
      <c r="G1074" s="72">
        <v>3.19133046E8</v>
      </c>
    </row>
    <row r="1075">
      <c r="A1075" s="73" t="s">
        <v>1677</v>
      </c>
      <c r="B1075" s="72">
        <v>7.9536791E7</v>
      </c>
      <c r="C1075" s="74">
        <v>46211.75210916667</v>
      </c>
      <c r="D1075" s="2" t="s">
        <v>628</v>
      </c>
      <c r="F1075" s="2" t="s">
        <v>1679</v>
      </c>
      <c r="G1075" s="72">
        <v>3.16791192E8</v>
      </c>
    </row>
    <row r="1076">
      <c r="A1076" s="73" t="s">
        <v>1677</v>
      </c>
      <c r="B1076" s="72">
        <v>7.9536791E7</v>
      </c>
      <c r="C1076" s="74">
        <v>46213.54437986111</v>
      </c>
      <c r="D1076" s="2" t="s">
        <v>628</v>
      </c>
      <c r="F1076" s="2" t="s">
        <v>630</v>
      </c>
      <c r="G1076" s="72">
        <v>3.17944263E8</v>
      </c>
    </row>
    <row r="1077">
      <c r="A1077" s="73" t="s">
        <v>1680</v>
      </c>
      <c r="B1077" s="72">
        <v>8.1225469E7</v>
      </c>
      <c r="C1077" s="74">
        <v>46223.54371537037</v>
      </c>
      <c r="D1077" s="2" t="s">
        <v>628</v>
      </c>
      <c r="F1077" s="2" t="s">
        <v>630</v>
      </c>
      <c r="G1077" s="72">
        <v>3.24969862E8</v>
      </c>
    </row>
    <row r="1078">
      <c r="A1078" s="73" t="s">
        <v>1680</v>
      </c>
      <c r="B1078" s="72">
        <v>8.1225469E7</v>
      </c>
      <c r="C1078" s="74">
        <v>46221.771441122684</v>
      </c>
      <c r="D1078" s="2" t="s">
        <v>628</v>
      </c>
      <c r="F1078" s="2" t="s">
        <v>1681</v>
      </c>
      <c r="G1078" s="72">
        <v>3.23797589E8</v>
      </c>
    </row>
    <row r="1079">
      <c r="A1079" s="73" t="s">
        <v>1680</v>
      </c>
      <c r="B1079" s="72">
        <v>8.1225469E7</v>
      </c>
      <c r="C1079" s="74">
        <v>46223.96005282407</v>
      </c>
      <c r="D1079" s="2" t="s">
        <v>628</v>
      </c>
      <c r="F1079" s="2" t="s">
        <v>1682</v>
      </c>
      <c r="G1079" s="72">
        <v>3.25364583E8</v>
      </c>
    </row>
    <row r="1080">
      <c r="A1080" s="73" t="s">
        <v>1683</v>
      </c>
      <c r="B1080" s="72">
        <v>8.3390258E7</v>
      </c>
      <c r="C1080" s="74">
        <v>46234.75427893519</v>
      </c>
      <c r="D1080" s="2" t="s">
        <v>628</v>
      </c>
      <c r="F1080" s="2" t="s">
        <v>1684</v>
      </c>
      <c r="G1080" s="72">
        <v>3.32857845E8</v>
      </c>
    </row>
    <row r="1081">
      <c r="A1081" s="73" t="s">
        <v>1683</v>
      </c>
      <c r="B1081" s="72">
        <v>8.3390258E7</v>
      </c>
      <c r="C1081" s="74">
        <v>46234.8290608449</v>
      </c>
      <c r="D1081" s="2" t="s">
        <v>705</v>
      </c>
      <c r="F1081" s="2" t="s">
        <v>1685</v>
      </c>
      <c r="G1081" s="72">
        <v>3.32945215E8</v>
      </c>
    </row>
    <row r="1082">
      <c r="A1082" s="73" t="s">
        <v>1683</v>
      </c>
      <c r="B1082" s="72">
        <v>8.3390258E7</v>
      </c>
      <c r="C1082" s="74">
        <v>46234.80293381945</v>
      </c>
      <c r="D1082" s="2" t="s">
        <v>653</v>
      </c>
      <c r="F1082" s="2" t="s">
        <v>1686</v>
      </c>
      <c r="G1082" s="72">
        <v>3.32922839E8</v>
      </c>
    </row>
    <row r="1083">
      <c r="A1083" s="73" t="s">
        <v>1683</v>
      </c>
      <c r="B1083" s="72">
        <v>8.3390258E7</v>
      </c>
      <c r="C1083" s="74">
        <v>46234.8029364699</v>
      </c>
      <c r="D1083" s="2" t="s">
        <v>653</v>
      </c>
      <c r="F1083" s="2" t="s">
        <v>1687</v>
      </c>
      <c r="G1083" s="72">
        <v>3.32922841E8</v>
      </c>
    </row>
    <row r="1084">
      <c r="A1084" s="73" t="s">
        <v>1688</v>
      </c>
      <c r="B1084" s="72">
        <v>8.1523069E7</v>
      </c>
      <c r="C1084" s="74">
        <v>46223.75166956018</v>
      </c>
      <c r="D1084" s="2" t="s">
        <v>628</v>
      </c>
      <c r="F1084" s="2" t="s">
        <v>743</v>
      </c>
      <c r="G1084" s="72">
        <v>3.25165075E8</v>
      </c>
    </row>
    <row r="1085">
      <c r="A1085" s="73" t="s">
        <v>1688</v>
      </c>
      <c r="B1085" s="72">
        <v>8.1523069E7</v>
      </c>
      <c r="C1085" s="74">
        <v>46227.958819120366</v>
      </c>
      <c r="D1085" s="2" t="s">
        <v>628</v>
      </c>
      <c r="F1085" s="2" t="s">
        <v>744</v>
      </c>
      <c r="G1085" s="72">
        <v>3.28112831E8</v>
      </c>
    </row>
    <row r="1086">
      <c r="A1086" s="73" t="s">
        <v>1688</v>
      </c>
      <c r="B1086" s="72">
        <v>8.1523069E7</v>
      </c>
      <c r="C1086" s="74">
        <v>46225.54246030093</v>
      </c>
      <c r="D1086" s="2" t="s">
        <v>628</v>
      </c>
      <c r="F1086" s="2" t="s">
        <v>630</v>
      </c>
      <c r="G1086" s="72">
        <v>3.26215185E8</v>
      </c>
    </row>
    <row r="1087">
      <c r="A1087" s="73" t="s">
        <v>1689</v>
      </c>
      <c r="B1087" s="72">
        <v>7.9856529E7</v>
      </c>
      <c r="C1087" s="74">
        <v>46213.95893958333</v>
      </c>
      <c r="D1087" s="2" t="s">
        <v>628</v>
      </c>
      <c r="F1087" s="2" t="s">
        <v>1690</v>
      </c>
      <c r="G1087" s="72">
        <v>3.18403481E8</v>
      </c>
    </row>
    <row r="1088">
      <c r="A1088" s="73" t="s">
        <v>1689</v>
      </c>
      <c r="B1088" s="72">
        <v>7.9856529E7</v>
      </c>
      <c r="C1088" s="74">
        <v>46213.63319216435</v>
      </c>
      <c r="D1088" s="2" t="s">
        <v>628</v>
      </c>
      <c r="F1088" s="2" t="s">
        <v>1691</v>
      </c>
      <c r="G1088" s="72">
        <v>3.18075063E8</v>
      </c>
    </row>
    <row r="1089">
      <c r="A1089" s="73" t="s">
        <v>1692</v>
      </c>
      <c r="B1089" s="72">
        <v>8.2596761E7</v>
      </c>
      <c r="C1089" s="74">
        <v>46229.92173476852</v>
      </c>
      <c r="D1089" s="2" t="s">
        <v>705</v>
      </c>
      <c r="F1089" s="2" t="s">
        <v>1150</v>
      </c>
      <c r="G1089" s="72">
        <v>3.29584209E8</v>
      </c>
    </row>
    <row r="1090">
      <c r="A1090" s="73" t="s">
        <v>1692</v>
      </c>
      <c r="B1090" s="72">
        <v>8.2596761E7</v>
      </c>
      <c r="C1090" s="74">
        <v>46229.993688055554</v>
      </c>
      <c r="D1090" s="2" t="s">
        <v>667</v>
      </c>
      <c r="E1090" s="2" t="s">
        <v>886</v>
      </c>
      <c r="F1090" s="2" t="s">
        <v>1693</v>
      </c>
      <c r="G1090" s="72">
        <v>3.29635663E8</v>
      </c>
    </row>
    <row r="1091">
      <c r="A1091" s="73" t="s">
        <v>1694</v>
      </c>
      <c r="B1091" s="72">
        <v>8.2191355E7</v>
      </c>
      <c r="C1091" s="74">
        <v>46230.96007960648</v>
      </c>
      <c r="D1091" s="2" t="s">
        <v>628</v>
      </c>
      <c r="F1091" s="2" t="s">
        <v>1695</v>
      </c>
      <c r="G1091" s="72">
        <v>3.3026837E8</v>
      </c>
    </row>
    <row r="1092">
      <c r="A1092" s="73" t="s">
        <v>1694</v>
      </c>
      <c r="B1092" s="72">
        <v>8.2191355E7</v>
      </c>
      <c r="C1092" s="74">
        <v>46229.54490625</v>
      </c>
      <c r="D1092" s="2" t="s">
        <v>628</v>
      </c>
      <c r="F1092" s="2" t="s">
        <v>630</v>
      </c>
      <c r="G1092" s="72">
        <v>3.2920394E8</v>
      </c>
    </row>
    <row r="1093">
      <c r="A1093" s="73" t="s">
        <v>1694</v>
      </c>
      <c r="B1093" s="72">
        <v>8.2191355E7</v>
      </c>
      <c r="C1093" s="74">
        <v>46227.752573819445</v>
      </c>
      <c r="D1093" s="2" t="s">
        <v>628</v>
      </c>
      <c r="F1093" s="2" t="s">
        <v>1696</v>
      </c>
      <c r="G1093" s="72">
        <v>3.2787212E8</v>
      </c>
    </row>
    <row r="1094">
      <c r="A1094" s="73" t="s">
        <v>1697</v>
      </c>
      <c r="B1094" s="72">
        <v>8.2698961E7</v>
      </c>
      <c r="C1094" s="74">
        <v>46230.75397575232</v>
      </c>
      <c r="D1094" s="2" t="s">
        <v>628</v>
      </c>
      <c r="F1094" s="2" t="s">
        <v>1698</v>
      </c>
      <c r="G1094" s="72">
        <v>3.30070112E8</v>
      </c>
    </row>
    <row r="1095">
      <c r="A1095" s="73" t="s">
        <v>1699</v>
      </c>
      <c r="B1095" s="72">
        <v>8.0064173E7</v>
      </c>
      <c r="C1095" s="74">
        <v>46214.75168402778</v>
      </c>
      <c r="D1095" s="2" t="s">
        <v>628</v>
      </c>
      <c r="F1095" s="2" t="s">
        <v>1055</v>
      </c>
      <c r="G1095" s="72">
        <v>3.18912581E8</v>
      </c>
    </row>
    <row r="1096">
      <c r="A1096" s="73" t="s">
        <v>1699</v>
      </c>
      <c r="B1096" s="72">
        <v>8.0064173E7</v>
      </c>
      <c r="C1096" s="74">
        <v>46214.75882585648</v>
      </c>
      <c r="D1096" s="2" t="s">
        <v>705</v>
      </c>
      <c r="F1096" s="2" t="s">
        <v>1700</v>
      </c>
      <c r="G1096" s="72">
        <v>3.18932909E8</v>
      </c>
    </row>
    <row r="1097">
      <c r="A1097" s="73" t="s">
        <v>1699</v>
      </c>
      <c r="B1097" s="72">
        <v>8.0064173E7</v>
      </c>
      <c r="C1097" s="74">
        <v>46215.95996605324</v>
      </c>
      <c r="D1097" s="2" t="s">
        <v>628</v>
      </c>
      <c r="F1097" s="2" t="s">
        <v>1056</v>
      </c>
      <c r="G1097" s="72">
        <v>3.19858073E8</v>
      </c>
    </row>
    <row r="1098">
      <c r="A1098" s="73" t="s">
        <v>1701</v>
      </c>
      <c r="B1098" s="72">
        <v>8.1108548E7</v>
      </c>
      <c r="C1098" s="74">
        <v>46220.960727453705</v>
      </c>
      <c r="D1098" s="2" t="s">
        <v>628</v>
      </c>
      <c r="F1098" s="2" t="s">
        <v>1146</v>
      </c>
      <c r="G1098" s="72">
        <v>3.23245982E8</v>
      </c>
    </row>
    <row r="1099">
      <c r="A1099" s="73" t="s">
        <v>1702</v>
      </c>
      <c r="B1099" s="72">
        <v>2.8249488E7</v>
      </c>
      <c r="C1099" s="74">
        <v>46208.54446399305</v>
      </c>
      <c r="D1099" s="2" t="s">
        <v>628</v>
      </c>
      <c r="F1099" s="2" t="s">
        <v>630</v>
      </c>
      <c r="G1099" s="72">
        <v>3.14799348E8</v>
      </c>
    </row>
    <row r="1100">
      <c r="A1100" s="73" t="s">
        <v>1702</v>
      </c>
      <c r="B1100" s="72">
        <v>2.8249488E7</v>
      </c>
      <c r="C1100" s="74">
        <v>46209.96083564815</v>
      </c>
      <c r="D1100" s="2" t="s">
        <v>628</v>
      </c>
      <c r="F1100" s="2" t="s">
        <v>1703</v>
      </c>
      <c r="G1100" s="72">
        <v>3.15781298E8</v>
      </c>
    </row>
    <row r="1101">
      <c r="A1101" s="73" t="s">
        <v>1702</v>
      </c>
      <c r="B1101" s="72">
        <v>2.8249488E7</v>
      </c>
      <c r="C1101" s="74">
        <v>46206.75276128472</v>
      </c>
      <c r="D1101" s="2" t="s">
        <v>628</v>
      </c>
      <c r="F1101" s="2" t="s">
        <v>1704</v>
      </c>
      <c r="G1101" s="72">
        <v>3.13565539E8</v>
      </c>
    </row>
    <row r="1102">
      <c r="A1102" s="73" t="s">
        <v>1705</v>
      </c>
      <c r="B1102" s="72">
        <v>7.8973782E7</v>
      </c>
      <c r="C1102" s="74">
        <v>46209.543674699074</v>
      </c>
      <c r="D1102" s="2" t="s">
        <v>628</v>
      </c>
      <c r="F1102" s="2" t="s">
        <v>630</v>
      </c>
      <c r="G1102" s="72">
        <v>3.15393748E8</v>
      </c>
    </row>
    <row r="1103">
      <c r="A1103" s="73" t="s">
        <v>1705</v>
      </c>
      <c r="B1103" s="72">
        <v>7.8973782E7</v>
      </c>
      <c r="C1103" s="74">
        <v>46207.751832222224</v>
      </c>
      <c r="D1103" s="2" t="s">
        <v>628</v>
      </c>
      <c r="F1103" s="2" t="s">
        <v>1266</v>
      </c>
      <c r="G1103" s="72">
        <v>3.14284217E8</v>
      </c>
    </row>
    <row r="1104">
      <c r="A1104" s="73" t="s">
        <v>1706</v>
      </c>
      <c r="B1104" s="72">
        <v>7.9697938E7</v>
      </c>
      <c r="C1104" s="74">
        <v>46214.54428967593</v>
      </c>
      <c r="D1104" s="2" t="s">
        <v>628</v>
      </c>
      <c r="F1104" s="2" t="s">
        <v>630</v>
      </c>
      <c r="G1104" s="72">
        <v>3.18709015E8</v>
      </c>
    </row>
    <row r="1105">
      <c r="A1105" s="73" t="s">
        <v>1706</v>
      </c>
      <c r="B1105" s="72">
        <v>7.9697938E7</v>
      </c>
      <c r="C1105" s="74">
        <v>46214.96091381944</v>
      </c>
      <c r="D1105" s="2" t="s">
        <v>628</v>
      </c>
      <c r="F1105" s="2" t="s">
        <v>1417</v>
      </c>
      <c r="G1105" s="72">
        <v>3.1913777E8</v>
      </c>
    </row>
    <row r="1106">
      <c r="A1106" s="73" t="s">
        <v>1706</v>
      </c>
      <c r="B1106" s="72">
        <v>7.9697938E7</v>
      </c>
      <c r="C1106" s="74">
        <v>46212.75243688657</v>
      </c>
      <c r="D1106" s="2" t="s">
        <v>628</v>
      </c>
      <c r="F1106" s="2" t="s">
        <v>1416</v>
      </c>
      <c r="G1106" s="72">
        <v>3.17437988E8</v>
      </c>
    </row>
    <row r="1107">
      <c r="A1107" s="73" t="s">
        <v>1707</v>
      </c>
      <c r="B1107" s="72">
        <v>8.1035453E7</v>
      </c>
      <c r="C1107" s="74">
        <v>46220.753886701394</v>
      </c>
      <c r="D1107" s="2" t="s">
        <v>628</v>
      </c>
      <c r="F1107" s="2" t="s">
        <v>1708</v>
      </c>
      <c r="G1107" s="72">
        <v>3.23013903E8</v>
      </c>
    </row>
    <row r="1108">
      <c r="A1108" s="73" t="s">
        <v>1707</v>
      </c>
      <c r="B1108" s="72">
        <v>8.1035453E7</v>
      </c>
      <c r="C1108" s="74">
        <v>46221.96207741898</v>
      </c>
      <c r="D1108" s="2" t="s">
        <v>628</v>
      </c>
      <c r="F1108" s="2" t="s">
        <v>1709</v>
      </c>
      <c r="G1108" s="72">
        <v>3.24003622E8</v>
      </c>
    </row>
    <row r="1109">
      <c r="A1109" s="73" t="s">
        <v>1710</v>
      </c>
      <c r="B1109" s="72">
        <v>8.0674387E7</v>
      </c>
      <c r="C1109" s="74">
        <v>46218.7525755324</v>
      </c>
      <c r="D1109" s="2" t="s">
        <v>628</v>
      </c>
      <c r="F1109" s="2" t="s">
        <v>770</v>
      </c>
      <c r="G1109" s="72">
        <v>3.215717E8</v>
      </c>
    </row>
    <row r="1110">
      <c r="A1110" s="73" t="s">
        <v>1710</v>
      </c>
      <c r="B1110" s="72">
        <v>8.0674387E7</v>
      </c>
      <c r="C1110" s="74">
        <v>46219.96055358797</v>
      </c>
      <c r="D1110" s="2" t="s">
        <v>628</v>
      </c>
      <c r="F1110" s="2" t="s">
        <v>769</v>
      </c>
      <c r="G1110" s="72">
        <v>3.22477085E8</v>
      </c>
    </row>
    <row r="1111">
      <c r="A1111" s="73" t="s">
        <v>1711</v>
      </c>
      <c r="B1111" s="72">
        <v>8.1675797E7</v>
      </c>
      <c r="C1111" s="74">
        <v>46224.75147412037</v>
      </c>
      <c r="D1111" s="2" t="s">
        <v>628</v>
      </c>
      <c r="F1111" s="2" t="s">
        <v>1712</v>
      </c>
      <c r="G1111" s="72">
        <v>3.25790008E8</v>
      </c>
    </row>
    <row r="1112">
      <c r="A1112" s="73" t="s">
        <v>1711</v>
      </c>
      <c r="B1112" s="72">
        <v>8.1675797E7</v>
      </c>
      <c r="C1112" s="74">
        <v>46226.543479733795</v>
      </c>
      <c r="D1112" s="2" t="s">
        <v>628</v>
      </c>
      <c r="F1112" s="2" t="s">
        <v>630</v>
      </c>
      <c r="G1112" s="72">
        <v>3.26886871E8</v>
      </c>
    </row>
    <row r="1113">
      <c r="A1113" s="73" t="s">
        <v>1711</v>
      </c>
      <c r="B1113" s="72">
        <v>8.1675797E7</v>
      </c>
      <c r="C1113" s="74">
        <v>46226.958932291665</v>
      </c>
      <c r="D1113" s="2" t="s">
        <v>628</v>
      </c>
      <c r="F1113" s="2" t="s">
        <v>1713</v>
      </c>
      <c r="G1113" s="72">
        <v>3.27333447E8</v>
      </c>
    </row>
    <row r="1114">
      <c r="A1114" s="73" t="s">
        <v>1714</v>
      </c>
      <c r="B1114" s="72">
        <v>8.2547513E7</v>
      </c>
      <c r="C1114" s="74">
        <v>46231.54469333333</v>
      </c>
      <c r="D1114" s="2" t="s">
        <v>628</v>
      </c>
      <c r="F1114" s="2" t="s">
        <v>630</v>
      </c>
      <c r="G1114" s="72">
        <v>3.30533774E8</v>
      </c>
    </row>
    <row r="1115">
      <c r="A1115" s="73" t="s">
        <v>1714</v>
      </c>
      <c r="B1115" s="72">
        <v>8.2547513E7</v>
      </c>
      <c r="C1115" s="74">
        <v>46229.75199603009</v>
      </c>
      <c r="D1115" s="2" t="s">
        <v>628</v>
      </c>
      <c r="F1115" s="2" t="s">
        <v>1715</v>
      </c>
      <c r="G1115" s="72">
        <v>3.29422587E8</v>
      </c>
    </row>
    <row r="1116">
      <c r="A1116" s="73" t="s">
        <v>1716</v>
      </c>
      <c r="B1116" s="72">
        <v>8.1283065E7</v>
      </c>
      <c r="C1116" s="74">
        <v>46221.95922336806</v>
      </c>
      <c r="D1116" s="2" t="s">
        <v>628</v>
      </c>
      <c r="F1116" s="2" t="s">
        <v>1717</v>
      </c>
      <c r="G1116" s="72">
        <v>3.23988568E8</v>
      </c>
    </row>
    <row r="1117">
      <c r="A1117" s="73" t="s">
        <v>1718</v>
      </c>
      <c r="B1117" s="72">
        <v>7.9533587E7</v>
      </c>
      <c r="C1117" s="74">
        <v>46213.542426342596</v>
      </c>
      <c r="D1117" s="2" t="s">
        <v>628</v>
      </c>
      <c r="F1117" s="2" t="s">
        <v>630</v>
      </c>
      <c r="G1117" s="72">
        <v>3.17931101E8</v>
      </c>
    </row>
    <row r="1118">
      <c r="A1118" s="73" t="s">
        <v>1718</v>
      </c>
      <c r="B1118" s="72">
        <v>7.9533587E7</v>
      </c>
      <c r="C1118" s="74">
        <v>46211.75083980324</v>
      </c>
      <c r="D1118" s="2" t="s">
        <v>628</v>
      </c>
      <c r="F1118" s="2" t="s">
        <v>1719</v>
      </c>
      <c r="G1118" s="72">
        <v>3.16784056E8</v>
      </c>
    </row>
    <row r="1119">
      <c r="A1119" s="73" t="s">
        <v>1718</v>
      </c>
      <c r="B1119" s="72">
        <v>7.9533587E7</v>
      </c>
      <c r="C1119" s="74">
        <v>46214.95942994213</v>
      </c>
      <c r="D1119" s="2" t="s">
        <v>628</v>
      </c>
      <c r="F1119" s="2" t="s">
        <v>1720</v>
      </c>
      <c r="G1119" s="72">
        <v>3.19129123E8</v>
      </c>
    </row>
    <row r="1120">
      <c r="A1120" s="73" t="s">
        <v>1721</v>
      </c>
      <c r="B1120" s="72">
        <v>8.318794E7</v>
      </c>
      <c r="C1120" s="74">
        <v>46233.751365289354</v>
      </c>
      <c r="D1120" s="2" t="s">
        <v>628</v>
      </c>
      <c r="F1120" s="2" t="s">
        <v>1722</v>
      </c>
      <c r="G1120" s="72">
        <v>3.32060272E8</v>
      </c>
    </row>
    <row r="1121">
      <c r="A1121" s="73" t="s">
        <v>1723</v>
      </c>
      <c r="B1121" s="72">
        <v>8.302169E7</v>
      </c>
      <c r="C1121" s="74">
        <v>46232.752650752314</v>
      </c>
      <c r="D1121" s="2" t="s">
        <v>628</v>
      </c>
      <c r="F1121" s="2" t="s">
        <v>1724</v>
      </c>
      <c r="G1121" s="72">
        <v>3.31382488E8</v>
      </c>
    </row>
    <row r="1122">
      <c r="A1122" s="73" t="s">
        <v>1723</v>
      </c>
      <c r="B1122" s="72">
        <v>8.302169E7</v>
      </c>
      <c r="C1122" s="74">
        <v>46233.95966206018</v>
      </c>
      <c r="D1122" s="2" t="s">
        <v>628</v>
      </c>
      <c r="F1122" s="2" t="s">
        <v>1725</v>
      </c>
      <c r="G1122" s="72">
        <v>3.3230181E8</v>
      </c>
    </row>
    <row r="1123">
      <c r="A1123" s="73" t="s">
        <v>1723</v>
      </c>
      <c r="B1123" s="72">
        <v>8.302169E7</v>
      </c>
      <c r="C1123" s="74">
        <v>46233.974071805555</v>
      </c>
      <c r="D1123" s="2" t="s">
        <v>653</v>
      </c>
      <c r="F1123" s="2" t="s">
        <v>1726</v>
      </c>
      <c r="G1123" s="72">
        <v>3.32321249E8</v>
      </c>
    </row>
    <row r="1124">
      <c r="A1124" s="73" t="s">
        <v>1723</v>
      </c>
      <c r="B1124" s="72">
        <v>8.302169E7</v>
      </c>
      <c r="C1124" s="74">
        <v>46233.97406810185</v>
      </c>
      <c r="D1124" s="2" t="s">
        <v>653</v>
      </c>
      <c r="F1124" s="2" t="s">
        <v>1727</v>
      </c>
      <c r="G1124" s="72">
        <v>3.32321243E8</v>
      </c>
    </row>
    <row r="1125">
      <c r="A1125" s="73" t="s">
        <v>1728</v>
      </c>
      <c r="B1125" s="72">
        <v>8.0845349E7</v>
      </c>
      <c r="C1125" s="74">
        <v>46220.9602137037</v>
      </c>
      <c r="D1125" s="2" t="s">
        <v>628</v>
      </c>
      <c r="F1125" s="2" t="s">
        <v>1729</v>
      </c>
      <c r="G1125" s="72">
        <v>3.23244031E8</v>
      </c>
    </row>
    <row r="1126">
      <c r="A1126" s="73" t="s">
        <v>1728</v>
      </c>
      <c r="B1126" s="72">
        <v>8.0845349E7</v>
      </c>
      <c r="C1126" s="74">
        <v>46219.753735694445</v>
      </c>
      <c r="D1126" s="2" t="s">
        <v>628</v>
      </c>
      <c r="F1126" s="2" t="s">
        <v>1730</v>
      </c>
      <c r="G1126" s="72">
        <v>3.2225317E8</v>
      </c>
    </row>
    <row r="1127">
      <c r="A1127" s="73" t="s">
        <v>1731</v>
      </c>
      <c r="B1127" s="72">
        <v>8.285859E7</v>
      </c>
      <c r="C1127" s="74">
        <v>46232.95995560185</v>
      </c>
      <c r="D1127" s="2" t="s">
        <v>628</v>
      </c>
      <c r="F1127" s="2" t="s">
        <v>892</v>
      </c>
      <c r="G1127" s="72">
        <v>3.31583837E8</v>
      </c>
    </row>
    <row r="1128">
      <c r="A1128" s="73" t="s">
        <v>1731</v>
      </c>
      <c r="B1128" s="72">
        <v>8.285859E7</v>
      </c>
      <c r="C1128" s="74">
        <v>46231.75197096065</v>
      </c>
      <c r="D1128" s="2" t="s">
        <v>628</v>
      </c>
      <c r="F1128" s="2" t="s">
        <v>893</v>
      </c>
      <c r="G1128" s="72">
        <v>3.30720777E8</v>
      </c>
    </row>
    <row r="1129">
      <c r="A1129" s="73" t="s">
        <v>1732</v>
      </c>
      <c r="B1129" s="72">
        <v>8.0185084E7</v>
      </c>
      <c r="C1129" s="74">
        <v>46222.41918577546</v>
      </c>
      <c r="D1129" s="2" t="s">
        <v>653</v>
      </c>
      <c r="F1129" s="2" t="s">
        <v>1733</v>
      </c>
      <c r="G1129" s="72">
        <v>3.24148329E8</v>
      </c>
    </row>
    <row r="1130">
      <c r="A1130" s="73" t="s">
        <v>1732</v>
      </c>
      <c r="B1130" s="72">
        <v>8.0185084E7</v>
      </c>
      <c r="C1130" s="74">
        <v>46215.95976481482</v>
      </c>
      <c r="D1130" s="2" t="s">
        <v>628</v>
      </c>
      <c r="F1130" s="2" t="s">
        <v>1734</v>
      </c>
      <c r="G1130" s="72">
        <v>3.19857321E8</v>
      </c>
    </row>
    <row r="1131">
      <c r="A1131" s="73" t="s">
        <v>1732</v>
      </c>
      <c r="B1131" s="72">
        <v>8.0185084E7</v>
      </c>
      <c r="C1131" s="74">
        <v>46222.41919871527</v>
      </c>
      <c r="D1131" s="2" t="s">
        <v>653</v>
      </c>
      <c r="F1131" s="2" t="s">
        <v>1735</v>
      </c>
      <c r="G1131" s="72">
        <v>3.2414835E8</v>
      </c>
    </row>
    <row r="1132">
      <c r="A1132" s="73" t="s">
        <v>1732</v>
      </c>
      <c r="B1132" s="72">
        <v>8.0185084E7</v>
      </c>
      <c r="C1132" s="74">
        <v>46222.41919019676</v>
      </c>
      <c r="D1132" s="2" t="s">
        <v>653</v>
      </c>
      <c r="F1132" s="2" t="s">
        <v>1736</v>
      </c>
      <c r="G1132" s="72">
        <v>3.2414834E8</v>
      </c>
    </row>
    <row r="1133">
      <c r="A1133" s="73" t="s">
        <v>1732</v>
      </c>
      <c r="B1133" s="72">
        <v>8.0185084E7</v>
      </c>
      <c r="C1133" s="74">
        <v>46222.419173622686</v>
      </c>
      <c r="D1133" s="2" t="s">
        <v>653</v>
      </c>
      <c r="F1133" s="2" t="s">
        <v>1737</v>
      </c>
      <c r="G1133" s="72">
        <v>3.24148312E8</v>
      </c>
    </row>
    <row r="1134">
      <c r="A1134" s="73" t="s">
        <v>1732</v>
      </c>
      <c r="B1134" s="72">
        <v>8.0185084E7</v>
      </c>
      <c r="C1134" s="74">
        <v>46222.41918152777</v>
      </c>
      <c r="D1134" s="2" t="s">
        <v>653</v>
      </c>
      <c r="F1134" s="2" t="s">
        <v>1738</v>
      </c>
      <c r="G1134" s="72">
        <v>3.24148323E8</v>
      </c>
    </row>
    <row r="1135">
      <c r="A1135" s="73" t="s">
        <v>1732</v>
      </c>
      <c r="B1135" s="72">
        <v>8.0185084E7</v>
      </c>
      <c r="C1135" s="74">
        <v>46222.419194490736</v>
      </c>
      <c r="D1135" s="2" t="s">
        <v>653</v>
      </c>
      <c r="F1135" s="2" t="s">
        <v>1739</v>
      </c>
      <c r="G1135" s="72">
        <v>3.24148344E8</v>
      </c>
    </row>
    <row r="1136">
      <c r="A1136" s="73" t="s">
        <v>1732</v>
      </c>
      <c r="B1136" s="72">
        <v>8.0185084E7</v>
      </c>
      <c r="C1136" s="74">
        <v>46215.62246615741</v>
      </c>
      <c r="D1136" s="2" t="s">
        <v>667</v>
      </c>
      <c r="E1136" s="2" t="s">
        <v>703</v>
      </c>
      <c r="F1136" s="2" t="s">
        <v>1740</v>
      </c>
      <c r="G1136" s="72">
        <v>3.19570876E8</v>
      </c>
    </row>
    <row r="1137">
      <c r="A1137" s="73" t="s">
        <v>1732</v>
      </c>
      <c r="B1137" s="72">
        <v>8.0185084E7</v>
      </c>
      <c r="C1137" s="74">
        <v>46215.54275666666</v>
      </c>
      <c r="D1137" s="2" t="s">
        <v>628</v>
      </c>
      <c r="F1137" s="2" t="s">
        <v>630</v>
      </c>
      <c r="G1137" s="72">
        <v>3.19449482E8</v>
      </c>
    </row>
    <row r="1138">
      <c r="A1138" s="73" t="s">
        <v>1732</v>
      </c>
      <c r="B1138" s="72">
        <v>8.0185084E7</v>
      </c>
      <c r="C1138" s="74">
        <v>46222.41917770833</v>
      </c>
      <c r="D1138" s="2" t="s">
        <v>653</v>
      </c>
      <c r="F1138" s="2" t="s">
        <v>1738</v>
      </c>
      <c r="G1138" s="72">
        <v>3.2414832E8</v>
      </c>
    </row>
    <row r="1139">
      <c r="A1139" s="73" t="s">
        <v>1741</v>
      </c>
      <c r="B1139" s="72">
        <v>8.0676953E7</v>
      </c>
      <c r="C1139" s="74">
        <v>46218.753388495374</v>
      </c>
      <c r="D1139" s="2" t="s">
        <v>628</v>
      </c>
      <c r="F1139" s="2" t="s">
        <v>866</v>
      </c>
      <c r="G1139" s="72">
        <v>3.21577409E8</v>
      </c>
    </row>
    <row r="1140">
      <c r="A1140" s="73" t="s">
        <v>1741</v>
      </c>
      <c r="B1140" s="72">
        <v>8.0676953E7</v>
      </c>
      <c r="C1140" s="74">
        <v>46219.9619916088</v>
      </c>
      <c r="D1140" s="2" t="s">
        <v>628</v>
      </c>
      <c r="F1140" s="2" t="s">
        <v>867</v>
      </c>
      <c r="G1140" s="72">
        <v>3.22482119E8</v>
      </c>
    </row>
    <row r="1141">
      <c r="A1141" s="73" t="s">
        <v>1742</v>
      </c>
      <c r="B1141" s="72">
        <v>7.8630146E7</v>
      </c>
      <c r="C1141" s="74">
        <v>46207.96131359954</v>
      </c>
      <c r="D1141" s="2" t="s">
        <v>628</v>
      </c>
      <c r="F1141" s="2" t="s">
        <v>1743</v>
      </c>
      <c r="G1141" s="72">
        <v>3.14487752E8</v>
      </c>
    </row>
    <row r="1142">
      <c r="A1142" s="73" t="s">
        <v>1742</v>
      </c>
      <c r="B1142" s="72">
        <v>7.8630146E7</v>
      </c>
      <c r="C1142" s="74">
        <v>46205.75394018518</v>
      </c>
      <c r="D1142" s="2" t="s">
        <v>628</v>
      </c>
      <c r="F1142" s="2" t="s">
        <v>1744</v>
      </c>
      <c r="G1142" s="72">
        <v>3.12846408E8</v>
      </c>
    </row>
    <row r="1143">
      <c r="A1143" s="73" t="s">
        <v>1742</v>
      </c>
      <c r="B1143" s="72">
        <v>7.8630146E7</v>
      </c>
      <c r="C1143" s="74">
        <v>46207.54474707176</v>
      </c>
      <c r="D1143" s="2" t="s">
        <v>628</v>
      </c>
      <c r="F1143" s="2" t="s">
        <v>630</v>
      </c>
      <c r="G1143" s="72">
        <v>3.14090426E8</v>
      </c>
    </row>
    <row r="1144">
      <c r="A1144" s="73" t="s">
        <v>1745</v>
      </c>
      <c r="B1144" s="72">
        <v>8.265642E7</v>
      </c>
      <c r="C1144" s="74">
        <v>46230.96201065972</v>
      </c>
      <c r="D1144" s="2" t="s">
        <v>628</v>
      </c>
      <c r="F1144" s="2" t="s">
        <v>762</v>
      </c>
      <c r="G1144" s="72">
        <v>3.30274032E8</v>
      </c>
    </row>
    <row r="1145">
      <c r="A1145" s="73" t="s">
        <v>1745</v>
      </c>
      <c r="B1145" s="72">
        <v>8.265642E7</v>
      </c>
      <c r="C1145" s="74">
        <v>46228.79750354167</v>
      </c>
      <c r="D1145" s="2" t="s">
        <v>653</v>
      </c>
      <c r="F1145" s="2" t="s">
        <v>1746</v>
      </c>
      <c r="G1145" s="72">
        <v>3.28702784E8</v>
      </c>
    </row>
    <row r="1146">
      <c r="A1146" s="73" t="s">
        <v>1745</v>
      </c>
      <c r="B1146" s="72">
        <v>8.265642E7</v>
      </c>
      <c r="C1146" s="74">
        <v>46233.4317145949</v>
      </c>
      <c r="D1146" s="2" t="s">
        <v>653</v>
      </c>
      <c r="F1146" s="2" t="s">
        <v>1747</v>
      </c>
      <c r="G1146" s="72">
        <v>3.31723891E8</v>
      </c>
    </row>
    <row r="1147">
      <c r="A1147" s="73" t="s">
        <v>1745</v>
      </c>
      <c r="B1147" s="72">
        <v>8.265642E7</v>
      </c>
      <c r="C1147" s="74">
        <v>46230.54560556713</v>
      </c>
      <c r="D1147" s="2" t="s">
        <v>628</v>
      </c>
      <c r="F1147" s="2" t="s">
        <v>630</v>
      </c>
      <c r="G1147" s="72">
        <v>3.29876101E8</v>
      </c>
    </row>
    <row r="1148">
      <c r="A1148" s="73" t="s">
        <v>1745</v>
      </c>
      <c r="B1148" s="72">
        <v>8.265642E7</v>
      </c>
      <c r="C1148" s="74">
        <v>46228.79750042824</v>
      </c>
      <c r="D1148" s="2" t="s">
        <v>653</v>
      </c>
      <c r="F1148" s="2" t="s">
        <v>1748</v>
      </c>
      <c r="G1148" s="72">
        <v>3.28702781E8</v>
      </c>
    </row>
    <row r="1149">
      <c r="A1149" s="73" t="s">
        <v>1745</v>
      </c>
      <c r="B1149" s="72">
        <v>8.265642E7</v>
      </c>
      <c r="C1149" s="74">
        <v>46230.97607452546</v>
      </c>
      <c r="D1149" s="2" t="s">
        <v>653</v>
      </c>
      <c r="F1149" s="2" t="s">
        <v>1746</v>
      </c>
      <c r="G1149" s="72">
        <v>3.30285339E8</v>
      </c>
    </row>
    <row r="1150">
      <c r="A1150" s="73" t="s">
        <v>1745</v>
      </c>
      <c r="B1150" s="72">
        <v>8.265642E7</v>
      </c>
      <c r="C1150" s="74">
        <v>46231.45044482639</v>
      </c>
      <c r="D1150" s="2" t="s">
        <v>653</v>
      </c>
      <c r="F1150" s="2" t="s">
        <v>1749</v>
      </c>
      <c r="G1150" s="72">
        <v>3.30414388E8</v>
      </c>
    </row>
    <row r="1151">
      <c r="A1151" s="73" t="s">
        <v>1750</v>
      </c>
      <c r="B1151" s="72">
        <v>7.9678154E7</v>
      </c>
      <c r="C1151" s="74">
        <v>46212.66830517361</v>
      </c>
      <c r="D1151" s="2" t="s">
        <v>628</v>
      </c>
      <c r="F1151" s="2" t="s">
        <v>647</v>
      </c>
      <c r="G1151" s="72">
        <v>3.17367744E8</v>
      </c>
    </row>
    <row r="1152">
      <c r="A1152" s="73" t="s">
        <v>1751</v>
      </c>
      <c r="B1152" s="72">
        <v>7.9775298E7</v>
      </c>
      <c r="C1152" s="74">
        <v>46212.96005219907</v>
      </c>
      <c r="D1152" s="2" t="s">
        <v>628</v>
      </c>
      <c r="F1152" s="2" t="s">
        <v>1752</v>
      </c>
      <c r="G1152" s="72">
        <v>3.17657898E8</v>
      </c>
    </row>
    <row r="1153">
      <c r="A1153" s="73" t="s">
        <v>1753</v>
      </c>
      <c r="B1153" s="72">
        <v>7.9885917E7</v>
      </c>
      <c r="C1153" s="74">
        <v>46214.961954502316</v>
      </c>
      <c r="D1153" s="2" t="s">
        <v>628</v>
      </c>
      <c r="F1153" s="2" t="s">
        <v>972</v>
      </c>
      <c r="G1153" s="72">
        <v>3.19142614E8</v>
      </c>
    </row>
    <row r="1154">
      <c r="A1154" s="73" t="s">
        <v>1753</v>
      </c>
      <c r="B1154" s="72">
        <v>7.9885917E7</v>
      </c>
      <c r="C1154" s="74">
        <v>46213.753412210644</v>
      </c>
      <c r="D1154" s="2" t="s">
        <v>628</v>
      </c>
      <c r="F1154" s="2" t="s">
        <v>971</v>
      </c>
      <c r="G1154" s="72">
        <v>3.18185094E8</v>
      </c>
    </row>
    <row r="1155">
      <c r="A1155" s="73" t="s">
        <v>1754</v>
      </c>
      <c r="B1155" s="72">
        <v>7.9880367E7</v>
      </c>
      <c r="C1155" s="74">
        <v>46213.75232237269</v>
      </c>
      <c r="D1155" s="2" t="s">
        <v>628</v>
      </c>
      <c r="F1155" s="2" t="s">
        <v>1562</v>
      </c>
      <c r="G1155" s="72">
        <v>3.18173381E8</v>
      </c>
    </row>
    <row r="1156">
      <c r="A1156" s="73" t="s">
        <v>1754</v>
      </c>
      <c r="B1156" s="72">
        <v>7.9880367E7</v>
      </c>
      <c r="C1156" s="74">
        <v>46215.54416721065</v>
      </c>
      <c r="D1156" s="2" t="s">
        <v>628</v>
      </c>
      <c r="F1156" s="2" t="s">
        <v>630</v>
      </c>
      <c r="G1156" s="72">
        <v>3.19468844E8</v>
      </c>
    </row>
    <row r="1157">
      <c r="A1157" s="73" t="s">
        <v>1754</v>
      </c>
      <c r="B1157" s="72">
        <v>7.9880367E7</v>
      </c>
      <c r="C1157" s="74">
        <v>46215.960672581015</v>
      </c>
      <c r="D1157" s="2" t="s">
        <v>628</v>
      </c>
      <c r="F1157" s="2" t="s">
        <v>1563</v>
      </c>
      <c r="G1157" s="72">
        <v>3.19860265E8</v>
      </c>
    </row>
    <row r="1158">
      <c r="A1158" s="73" t="s">
        <v>1755</v>
      </c>
      <c r="C1158" s="74">
        <v>46218.75159890046</v>
      </c>
      <c r="D1158" s="2" t="s">
        <v>628</v>
      </c>
      <c r="F1158" s="2" t="s">
        <v>1756</v>
      </c>
      <c r="G1158" s="72">
        <v>3.21563003E8</v>
      </c>
    </row>
    <row r="1159">
      <c r="A1159" s="73" t="s">
        <v>1755</v>
      </c>
      <c r="B1159" s="72">
        <v>8.0922895E7</v>
      </c>
      <c r="C1159" s="74">
        <v>46219.95941278935</v>
      </c>
      <c r="D1159" s="2" t="s">
        <v>628</v>
      </c>
      <c r="F1159" s="2" t="s">
        <v>1757</v>
      </c>
      <c r="G1159" s="72">
        <v>3.22473028E8</v>
      </c>
    </row>
    <row r="1160">
      <c r="A1160" s="73" t="s">
        <v>1758</v>
      </c>
      <c r="B1160" s="72">
        <v>8.2884749E7</v>
      </c>
      <c r="C1160" s="74">
        <v>46231.835218402775</v>
      </c>
      <c r="D1160" s="2" t="s">
        <v>628</v>
      </c>
      <c r="F1160" s="2" t="s">
        <v>1759</v>
      </c>
      <c r="G1160" s="72">
        <v>3.30800605E8</v>
      </c>
    </row>
    <row r="1161">
      <c r="A1161" s="73" t="s">
        <v>1758</v>
      </c>
      <c r="B1161" s="72">
        <v>8.2884749E7</v>
      </c>
      <c r="C1161" s="74">
        <v>46233.9604459375</v>
      </c>
      <c r="D1161" s="2" t="s">
        <v>628</v>
      </c>
      <c r="F1161" s="2" t="s">
        <v>1760</v>
      </c>
      <c r="G1161" s="72">
        <v>3.32305691E8</v>
      </c>
    </row>
    <row r="1162">
      <c r="A1162" s="73" t="s">
        <v>1758</v>
      </c>
      <c r="B1162" s="72">
        <v>8.2884749E7</v>
      </c>
      <c r="C1162" s="74">
        <v>46233.544934618054</v>
      </c>
      <c r="D1162" s="2" t="s">
        <v>628</v>
      </c>
      <c r="F1162" s="2" t="s">
        <v>630</v>
      </c>
      <c r="G1162" s="72">
        <v>3.31856117E8</v>
      </c>
    </row>
    <row r="1163">
      <c r="A1163" s="73" t="s">
        <v>1761</v>
      </c>
      <c r="B1163" s="72">
        <v>8.2638238E7</v>
      </c>
      <c r="C1163" s="74">
        <v>46230.43878473379</v>
      </c>
      <c r="D1163" s="2" t="s">
        <v>653</v>
      </c>
      <c r="F1163" s="2" t="s">
        <v>753</v>
      </c>
      <c r="G1163" s="72">
        <v>3.29743145E8</v>
      </c>
    </row>
    <row r="1164">
      <c r="A1164" s="73" t="s">
        <v>1761</v>
      </c>
      <c r="B1164" s="72">
        <v>8.2638238E7</v>
      </c>
      <c r="C1164" s="74">
        <v>46230.43880319444</v>
      </c>
      <c r="D1164" s="2" t="s">
        <v>705</v>
      </c>
      <c r="F1164" s="2" t="s">
        <v>1762</v>
      </c>
      <c r="G1164" s="72">
        <v>3.29743151E8</v>
      </c>
    </row>
    <row r="1165">
      <c r="A1165" s="73" t="s">
        <v>1761</v>
      </c>
      <c r="B1165" s="72">
        <v>8.2638238E7</v>
      </c>
      <c r="C1165" s="74">
        <v>46230.43879702546</v>
      </c>
      <c r="D1165" s="2" t="s">
        <v>653</v>
      </c>
      <c r="F1165" s="2" t="s">
        <v>1763</v>
      </c>
      <c r="G1165" s="72">
        <v>3.29743149E8</v>
      </c>
    </row>
    <row r="1166">
      <c r="A1166" s="73" t="s">
        <v>1761</v>
      </c>
      <c r="B1166" s="72">
        <v>8.2638238E7</v>
      </c>
      <c r="C1166" s="74">
        <v>46230.43879159722</v>
      </c>
      <c r="D1166" s="2" t="s">
        <v>705</v>
      </c>
      <c r="F1166" s="2" t="s">
        <v>1764</v>
      </c>
      <c r="G1166" s="72">
        <v>3.29743147E8</v>
      </c>
    </row>
    <row r="1167">
      <c r="A1167" s="73" t="s">
        <v>1765</v>
      </c>
      <c r="B1167" s="72">
        <v>7.9160419E7</v>
      </c>
      <c r="C1167" s="74">
        <v>46208.960247256946</v>
      </c>
      <c r="D1167" s="2" t="s">
        <v>628</v>
      </c>
      <c r="F1167" s="2" t="s">
        <v>1766</v>
      </c>
      <c r="G1167" s="72">
        <v>3.15164346E8</v>
      </c>
    </row>
    <row r="1168">
      <c r="A1168" s="73" t="s">
        <v>1767</v>
      </c>
      <c r="B1168" s="72">
        <v>7.9693957E7</v>
      </c>
      <c r="C1168" s="74">
        <v>46212.75141835648</v>
      </c>
      <c r="D1168" s="2" t="s">
        <v>628</v>
      </c>
      <c r="F1168" s="2" t="s">
        <v>1768</v>
      </c>
      <c r="G1168" s="72">
        <v>3.17430122E8</v>
      </c>
    </row>
    <row r="1169">
      <c r="A1169" s="73" t="s">
        <v>1767</v>
      </c>
      <c r="B1169" s="72">
        <v>7.9693957E7</v>
      </c>
      <c r="C1169" s="74">
        <v>46212.766652349535</v>
      </c>
      <c r="D1169" s="2" t="s">
        <v>705</v>
      </c>
      <c r="F1169" s="2" t="s">
        <v>1769</v>
      </c>
      <c r="G1169" s="72">
        <v>3.17464215E8</v>
      </c>
    </row>
    <row r="1170">
      <c r="A1170" s="73" t="s">
        <v>1770</v>
      </c>
      <c r="B1170" s="72">
        <v>7.9058852E7</v>
      </c>
      <c r="C1170" s="74">
        <v>46208.95913686343</v>
      </c>
      <c r="D1170" s="2" t="s">
        <v>628</v>
      </c>
      <c r="F1170" s="2" t="s">
        <v>1771</v>
      </c>
      <c r="G1170" s="72">
        <v>3.15161345E8</v>
      </c>
    </row>
    <row r="1171">
      <c r="A1171" s="73" t="s">
        <v>1770</v>
      </c>
      <c r="B1171" s="72">
        <v>7.9058852E7</v>
      </c>
      <c r="C1171" s="74">
        <v>46208.46020648148</v>
      </c>
      <c r="D1171" s="2" t="s">
        <v>628</v>
      </c>
      <c r="F1171" s="2" t="s">
        <v>785</v>
      </c>
      <c r="G1171" s="72">
        <v>3.14637381E8</v>
      </c>
    </row>
    <row r="1172">
      <c r="A1172" s="73" t="s">
        <v>1772</v>
      </c>
      <c r="C1172" s="74">
        <v>46219.75336756944</v>
      </c>
      <c r="D1172" s="2" t="s">
        <v>628</v>
      </c>
      <c r="F1172" s="2" t="s">
        <v>1773</v>
      </c>
      <c r="G1172" s="72">
        <v>3.22249801E8</v>
      </c>
    </row>
    <row r="1173">
      <c r="A1173" s="73" t="s">
        <v>1772</v>
      </c>
      <c r="B1173" s="72">
        <v>8.1108376E7</v>
      </c>
      <c r="C1173" s="74">
        <v>46220.96046541666</v>
      </c>
      <c r="D1173" s="2" t="s">
        <v>628</v>
      </c>
      <c r="F1173" s="2" t="s">
        <v>1774</v>
      </c>
      <c r="G1173" s="72">
        <v>3.23244934E8</v>
      </c>
    </row>
    <row r="1174">
      <c r="A1174" s="73" t="s">
        <v>1775</v>
      </c>
      <c r="B1174" s="72">
        <v>7.8614931E7</v>
      </c>
      <c r="C1174" s="74">
        <v>46205.7507744676</v>
      </c>
      <c r="D1174" s="2" t="s">
        <v>628</v>
      </c>
      <c r="F1174" s="2" t="s">
        <v>1776</v>
      </c>
      <c r="G1174" s="72">
        <v>3.12816032E8</v>
      </c>
    </row>
    <row r="1175">
      <c r="A1175" s="73" t="s">
        <v>1775</v>
      </c>
      <c r="B1175" s="72">
        <v>7.8614931E7</v>
      </c>
      <c r="C1175" s="74">
        <v>46206.95849981482</v>
      </c>
      <c r="D1175" s="2" t="s">
        <v>628</v>
      </c>
      <c r="F1175" s="2" t="s">
        <v>1777</v>
      </c>
      <c r="G1175" s="72">
        <v>3.137965E8</v>
      </c>
    </row>
    <row r="1176">
      <c r="A1176" s="73" t="s">
        <v>1778</v>
      </c>
      <c r="B1176" s="72">
        <v>7.8630129E7</v>
      </c>
      <c r="C1176" s="74">
        <v>46206.96168125</v>
      </c>
      <c r="D1176" s="2" t="s">
        <v>628</v>
      </c>
      <c r="F1176" s="2" t="s">
        <v>1536</v>
      </c>
      <c r="G1176" s="72">
        <v>3.13804951E8</v>
      </c>
    </row>
    <row r="1177">
      <c r="A1177" s="73" t="s">
        <v>1778</v>
      </c>
      <c r="B1177" s="72">
        <v>7.8630129E7</v>
      </c>
      <c r="C1177" s="74">
        <v>46205.75393472222</v>
      </c>
      <c r="D1177" s="2" t="s">
        <v>628</v>
      </c>
      <c r="F1177" s="2" t="s">
        <v>1535</v>
      </c>
      <c r="G1177" s="72">
        <v>3.12846368E8</v>
      </c>
    </row>
    <row r="1178">
      <c r="A1178" s="73" t="s">
        <v>1779</v>
      </c>
      <c r="B1178" s="72">
        <v>8.0595421E7</v>
      </c>
      <c r="C1178" s="74">
        <v>46218.70644692129</v>
      </c>
      <c r="D1178" s="2" t="s">
        <v>653</v>
      </c>
      <c r="F1178" s="2" t="s">
        <v>1780</v>
      </c>
      <c r="G1178" s="72">
        <v>3.21524343E8</v>
      </c>
    </row>
    <row r="1179">
      <c r="A1179" s="73" t="s">
        <v>1779</v>
      </c>
      <c r="B1179" s="72">
        <v>8.0595421E7</v>
      </c>
      <c r="C1179" s="74">
        <v>46218.048574444445</v>
      </c>
      <c r="D1179" s="2" t="s">
        <v>628</v>
      </c>
      <c r="F1179" s="2" t="s">
        <v>1781</v>
      </c>
      <c r="G1179" s="72">
        <v>3.21181163E8</v>
      </c>
    </row>
    <row r="1180">
      <c r="A1180" s="73" t="s">
        <v>1779</v>
      </c>
      <c r="B1180" s="72">
        <v>8.0595421E7</v>
      </c>
      <c r="C1180" s="74">
        <v>46218.706449907404</v>
      </c>
      <c r="D1180" s="2" t="s">
        <v>653</v>
      </c>
      <c r="F1180" s="2" t="s">
        <v>1782</v>
      </c>
      <c r="G1180" s="72">
        <v>3.21524344E8</v>
      </c>
    </row>
    <row r="1181">
      <c r="A1181" s="73" t="s">
        <v>1783</v>
      </c>
      <c r="B1181" s="72">
        <v>8.3191181E7</v>
      </c>
      <c r="C1181" s="74">
        <v>46233.75209434028</v>
      </c>
      <c r="D1181" s="2" t="s">
        <v>628</v>
      </c>
      <c r="F1181" s="2" t="s">
        <v>1784</v>
      </c>
      <c r="G1181" s="72">
        <v>3.32066904E8</v>
      </c>
    </row>
    <row r="1182">
      <c r="A1182" s="73" t="s">
        <v>1783</v>
      </c>
      <c r="B1182" s="72">
        <v>8.3191181E7</v>
      </c>
      <c r="C1182" s="74">
        <v>46234.95999570602</v>
      </c>
      <c r="D1182" s="2" t="s">
        <v>628</v>
      </c>
      <c r="F1182" s="2" t="s">
        <v>1785</v>
      </c>
      <c r="G1182" s="72">
        <v>3.33098013E8</v>
      </c>
    </row>
    <row r="1183">
      <c r="A1183" s="73" t="s">
        <v>1786</v>
      </c>
      <c r="B1183" s="72">
        <v>7.8805695E7</v>
      </c>
      <c r="C1183" s="74">
        <v>46206.75288384259</v>
      </c>
      <c r="D1183" s="2" t="s">
        <v>628</v>
      </c>
      <c r="F1183" s="2" t="s">
        <v>1787</v>
      </c>
      <c r="G1183" s="72">
        <v>3.13566554E8</v>
      </c>
    </row>
    <row r="1184">
      <c r="A1184" s="73" t="s">
        <v>1786</v>
      </c>
      <c r="B1184" s="72">
        <v>7.8805695E7</v>
      </c>
      <c r="C1184" s="74">
        <v>46207.96150797454</v>
      </c>
      <c r="D1184" s="2" t="s">
        <v>628</v>
      </c>
      <c r="F1184" s="2" t="s">
        <v>1788</v>
      </c>
      <c r="G1184" s="72">
        <v>3.14488683E8</v>
      </c>
    </row>
    <row r="1185">
      <c r="A1185" s="73" t="s">
        <v>1789</v>
      </c>
      <c r="B1185" s="72">
        <v>8.3272639E7</v>
      </c>
      <c r="C1185" s="74">
        <v>46233.95954655093</v>
      </c>
      <c r="D1185" s="2" t="s">
        <v>628</v>
      </c>
      <c r="F1185" s="2" t="s">
        <v>1790</v>
      </c>
      <c r="G1185" s="72">
        <v>3.32301311E8</v>
      </c>
    </row>
    <row r="1186">
      <c r="A1186" s="73" t="s">
        <v>1789</v>
      </c>
      <c r="B1186" s="72">
        <v>8.3272639E7</v>
      </c>
      <c r="C1186" s="74">
        <v>46233.97408197916</v>
      </c>
      <c r="D1186" s="2" t="s">
        <v>653</v>
      </c>
      <c r="F1186" s="2" t="s">
        <v>1791</v>
      </c>
      <c r="G1186" s="72">
        <v>3.32321257E8</v>
      </c>
    </row>
    <row r="1187">
      <c r="A1187" s="73" t="s">
        <v>1792</v>
      </c>
      <c r="B1187" s="72">
        <v>7.9876236E7</v>
      </c>
      <c r="C1187" s="74">
        <v>46221.45746295139</v>
      </c>
      <c r="D1187" s="2" t="s">
        <v>653</v>
      </c>
      <c r="F1187" s="2" t="s">
        <v>1793</v>
      </c>
      <c r="G1187" s="72">
        <v>3.23409864E8</v>
      </c>
    </row>
    <row r="1188">
      <c r="A1188" s="73" t="s">
        <v>1792</v>
      </c>
      <c r="B1188" s="72">
        <v>7.9876236E7</v>
      </c>
      <c r="C1188" s="74">
        <v>46221.457451932874</v>
      </c>
      <c r="D1188" s="2" t="s">
        <v>653</v>
      </c>
      <c r="F1188" s="2" t="s">
        <v>1794</v>
      </c>
      <c r="G1188" s="72">
        <v>3.23409858E8</v>
      </c>
    </row>
    <row r="1189">
      <c r="A1189" s="73" t="s">
        <v>1792</v>
      </c>
      <c r="B1189" s="72">
        <v>7.9876236E7</v>
      </c>
      <c r="C1189" s="74">
        <v>46221.45744831019</v>
      </c>
      <c r="D1189" s="2" t="s">
        <v>653</v>
      </c>
      <c r="F1189" s="2" t="s">
        <v>1795</v>
      </c>
      <c r="G1189" s="72">
        <v>3.23409857E8</v>
      </c>
    </row>
    <row r="1190">
      <c r="A1190" s="73" t="s">
        <v>1792</v>
      </c>
      <c r="B1190" s="72">
        <v>7.9876236E7</v>
      </c>
      <c r="C1190" s="74">
        <v>46221.4574668287</v>
      </c>
      <c r="D1190" s="2" t="s">
        <v>653</v>
      </c>
      <c r="F1190" s="2" t="s">
        <v>1796</v>
      </c>
      <c r="G1190" s="72">
        <v>3.23409865E8</v>
      </c>
    </row>
    <row r="1191">
      <c r="A1191" s="73" t="s">
        <v>1792</v>
      </c>
      <c r="B1191" s="72">
        <v>7.9876236E7</v>
      </c>
      <c r="C1191" s="74">
        <v>46221.45745553241</v>
      </c>
      <c r="D1191" s="2" t="s">
        <v>653</v>
      </c>
      <c r="F1191" s="2" t="s">
        <v>1794</v>
      </c>
      <c r="G1191" s="72">
        <v>3.23409859E8</v>
      </c>
    </row>
    <row r="1192">
      <c r="A1192" s="73" t="s">
        <v>1792</v>
      </c>
      <c r="B1192" s="72">
        <v>7.9876236E7</v>
      </c>
      <c r="C1192" s="74">
        <v>46221.45747055556</v>
      </c>
      <c r="D1192" s="2" t="s">
        <v>653</v>
      </c>
      <c r="F1192" s="2" t="s">
        <v>1797</v>
      </c>
      <c r="G1192" s="72">
        <v>3.23409867E8</v>
      </c>
    </row>
    <row r="1193">
      <c r="A1193" s="73" t="s">
        <v>1792</v>
      </c>
      <c r="B1193" s="72">
        <v>7.9876236E7</v>
      </c>
      <c r="C1193" s="74">
        <v>46215.07002505787</v>
      </c>
      <c r="D1193" s="2" t="s">
        <v>628</v>
      </c>
      <c r="F1193" s="2" t="s">
        <v>717</v>
      </c>
      <c r="G1193" s="72">
        <v>3.19224264E8</v>
      </c>
    </row>
    <row r="1194">
      <c r="A1194" s="73" t="s">
        <v>1792</v>
      </c>
      <c r="B1194" s="72">
        <v>7.9876236E7</v>
      </c>
      <c r="C1194" s="74">
        <v>46213.750886643524</v>
      </c>
      <c r="D1194" s="2" t="s">
        <v>628</v>
      </c>
      <c r="F1194" s="2" t="s">
        <v>683</v>
      </c>
      <c r="G1194" s="72">
        <v>3.18164823E8</v>
      </c>
    </row>
    <row r="1195">
      <c r="A1195" s="73" t="s">
        <v>1792</v>
      </c>
      <c r="B1195" s="72">
        <v>7.9876236E7</v>
      </c>
      <c r="C1195" s="74">
        <v>46221.45745912037</v>
      </c>
      <c r="D1195" s="2" t="s">
        <v>653</v>
      </c>
      <c r="F1195" s="2" t="s">
        <v>1798</v>
      </c>
      <c r="G1195" s="72">
        <v>3.23409862E8</v>
      </c>
    </row>
    <row r="1196">
      <c r="A1196" s="73" t="s">
        <v>1799</v>
      </c>
      <c r="B1196" s="72">
        <v>8.0670328E7</v>
      </c>
      <c r="C1196" s="74">
        <v>46219.95904023148</v>
      </c>
      <c r="D1196" s="2" t="s">
        <v>628</v>
      </c>
      <c r="F1196" s="2" t="s">
        <v>1300</v>
      </c>
      <c r="G1196" s="72">
        <v>3.2247219E8</v>
      </c>
    </row>
    <row r="1197">
      <c r="A1197" s="73" t="s">
        <v>1799</v>
      </c>
      <c r="B1197" s="72">
        <v>8.0670328E7</v>
      </c>
      <c r="C1197" s="74">
        <v>46218.75159148149</v>
      </c>
      <c r="D1197" s="2" t="s">
        <v>628</v>
      </c>
      <c r="F1197" s="2" t="s">
        <v>1299</v>
      </c>
      <c r="G1197" s="72">
        <v>3.21562944E8</v>
      </c>
    </row>
    <row r="1198">
      <c r="A1198" s="73" t="s">
        <v>1800</v>
      </c>
      <c r="B1198" s="72">
        <v>8.2006146E7</v>
      </c>
      <c r="C1198" s="74">
        <v>46228.544595127314</v>
      </c>
      <c r="D1198" s="2" t="s">
        <v>628</v>
      </c>
      <c r="F1198" s="2" t="s">
        <v>630</v>
      </c>
      <c r="G1198" s="72">
        <v>3.28427995E8</v>
      </c>
    </row>
    <row r="1199">
      <c r="A1199" s="73" t="s">
        <v>1800</v>
      </c>
      <c r="B1199" s="72">
        <v>8.2006146E7</v>
      </c>
      <c r="C1199" s="74">
        <v>46228.96078851852</v>
      </c>
      <c r="D1199" s="2" t="s">
        <v>628</v>
      </c>
      <c r="F1199" s="2" t="s">
        <v>1257</v>
      </c>
      <c r="G1199" s="72">
        <v>3.2886565E8</v>
      </c>
    </row>
    <row r="1200">
      <c r="A1200" s="73" t="s">
        <v>1800</v>
      </c>
      <c r="B1200" s="72">
        <v>8.2006146E7</v>
      </c>
      <c r="C1200" s="74">
        <v>46226.753931597224</v>
      </c>
      <c r="D1200" s="2" t="s">
        <v>628</v>
      </c>
      <c r="F1200" s="2" t="s">
        <v>1256</v>
      </c>
      <c r="G1200" s="72">
        <v>3.27117229E8</v>
      </c>
    </row>
    <row r="1201">
      <c r="A1201" s="73" t="s">
        <v>1801</v>
      </c>
      <c r="B1201" s="72">
        <v>8.0518773E7</v>
      </c>
      <c r="C1201" s="74">
        <v>46218.96153598379</v>
      </c>
      <c r="D1201" s="2" t="s">
        <v>628</v>
      </c>
      <c r="F1201" s="2" t="s">
        <v>1802</v>
      </c>
      <c r="G1201" s="72">
        <v>3.21773862E8</v>
      </c>
    </row>
    <row r="1202">
      <c r="A1202" s="73" t="s">
        <v>1801</v>
      </c>
      <c r="B1202" s="72">
        <v>8.0518773E7</v>
      </c>
      <c r="C1202" s="74">
        <v>46217.75343246528</v>
      </c>
      <c r="D1202" s="2" t="s">
        <v>628</v>
      </c>
      <c r="F1202" s="2" t="s">
        <v>1803</v>
      </c>
      <c r="G1202" s="72">
        <v>3.20929384E8</v>
      </c>
    </row>
    <row r="1203">
      <c r="A1203" s="73" t="s">
        <v>1804</v>
      </c>
      <c r="B1203" s="72">
        <v>8.103234E7</v>
      </c>
      <c r="C1203" s="74">
        <v>46220.753100312504</v>
      </c>
      <c r="D1203" s="2" t="s">
        <v>628</v>
      </c>
      <c r="F1203" s="2" t="s">
        <v>1805</v>
      </c>
      <c r="G1203" s="72">
        <v>3.23007185E8</v>
      </c>
    </row>
    <row r="1204">
      <c r="A1204" s="73" t="s">
        <v>1804</v>
      </c>
      <c r="B1204" s="72">
        <v>8.103234E7</v>
      </c>
      <c r="C1204" s="74">
        <v>46220.75649996528</v>
      </c>
      <c r="D1204" s="2" t="s">
        <v>705</v>
      </c>
      <c r="F1204" s="2" t="s">
        <v>1398</v>
      </c>
      <c r="G1204" s="72">
        <v>3.230172E8</v>
      </c>
    </row>
    <row r="1205">
      <c r="A1205" s="73" t="s">
        <v>1804</v>
      </c>
      <c r="B1205" s="72">
        <v>8.103234E7</v>
      </c>
      <c r="C1205" s="74">
        <v>46220.756505219906</v>
      </c>
      <c r="D1205" s="2" t="s">
        <v>653</v>
      </c>
      <c r="F1205" s="2" t="s">
        <v>1806</v>
      </c>
      <c r="G1205" s="72">
        <v>3.23017212E8</v>
      </c>
    </row>
    <row r="1206">
      <c r="A1206" s="73" t="s">
        <v>1807</v>
      </c>
      <c r="B1206" s="72">
        <v>7.8185724E7</v>
      </c>
      <c r="C1206" s="74">
        <v>46204.54540858796</v>
      </c>
      <c r="D1206" s="2" t="s">
        <v>628</v>
      </c>
      <c r="F1206" s="2" t="s">
        <v>630</v>
      </c>
      <c r="G1206" s="72">
        <v>3.12026114E8</v>
      </c>
    </row>
    <row r="1207">
      <c r="A1207" s="73" t="s">
        <v>1807</v>
      </c>
      <c r="B1207" s="72">
        <v>7.8185724E7</v>
      </c>
      <c r="C1207" s="74">
        <v>46204.96188993056</v>
      </c>
      <c r="D1207" s="2" t="s">
        <v>628</v>
      </c>
      <c r="F1207" s="2" t="s">
        <v>1808</v>
      </c>
      <c r="G1207" s="72">
        <v>3.12387464E8</v>
      </c>
    </row>
    <row r="1208">
      <c r="A1208" s="73" t="s">
        <v>1809</v>
      </c>
      <c r="B1208" s="72">
        <v>8.1523691E7</v>
      </c>
      <c r="C1208" s="74">
        <v>46223.75195421296</v>
      </c>
      <c r="D1208" s="2" t="s">
        <v>628</v>
      </c>
      <c r="F1208" s="2" t="s">
        <v>1810</v>
      </c>
      <c r="G1208" s="72">
        <v>3.25166698E8</v>
      </c>
    </row>
    <row r="1209">
      <c r="A1209" s="73" t="s">
        <v>1809</v>
      </c>
      <c r="B1209" s="72">
        <v>8.1523691E7</v>
      </c>
      <c r="C1209" s="74">
        <v>46225.960414085646</v>
      </c>
      <c r="D1209" s="2" t="s">
        <v>628</v>
      </c>
      <c r="F1209" s="2" t="s">
        <v>1811</v>
      </c>
      <c r="G1209" s="72">
        <v>3.26630472E8</v>
      </c>
    </row>
    <row r="1210">
      <c r="A1210" s="73" t="s">
        <v>1809</v>
      </c>
      <c r="B1210" s="72">
        <v>8.1523691E7</v>
      </c>
      <c r="C1210" s="74">
        <v>46225.544935682876</v>
      </c>
      <c r="D1210" s="2" t="s">
        <v>628</v>
      </c>
      <c r="F1210" s="2" t="s">
        <v>630</v>
      </c>
      <c r="G1210" s="72">
        <v>3.26236851E8</v>
      </c>
    </row>
    <row r="1211">
      <c r="A1211" s="73" t="s">
        <v>1812</v>
      </c>
      <c r="B1211" s="72">
        <v>7.924256E7</v>
      </c>
      <c r="C1211" s="74">
        <v>46212.9587006713</v>
      </c>
      <c r="D1211" s="2" t="s">
        <v>628</v>
      </c>
      <c r="F1211" s="2" t="s">
        <v>1813</v>
      </c>
      <c r="G1211" s="72">
        <v>3.17654128E8</v>
      </c>
    </row>
    <row r="1212">
      <c r="A1212" s="73" t="s">
        <v>1812</v>
      </c>
      <c r="B1212" s="72">
        <v>7.924256E7</v>
      </c>
      <c r="C1212" s="74">
        <v>46209.75050760417</v>
      </c>
      <c r="D1212" s="2" t="s">
        <v>628</v>
      </c>
      <c r="F1212" s="2" t="s">
        <v>1814</v>
      </c>
      <c r="G1212" s="72">
        <v>3.15580902E8</v>
      </c>
    </row>
    <row r="1213">
      <c r="A1213" s="73" t="s">
        <v>1812</v>
      </c>
      <c r="B1213" s="72">
        <v>7.924256E7</v>
      </c>
      <c r="C1213" s="74">
        <v>46211.54192375</v>
      </c>
      <c r="D1213" s="2" t="s">
        <v>628</v>
      </c>
      <c r="F1213" s="2" t="s">
        <v>630</v>
      </c>
      <c r="G1213" s="72">
        <v>3.16586391E8</v>
      </c>
    </row>
    <row r="1214">
      <c r="A1214" s="73" t="s">
        <v>1815</v>
      </c>
      <c r="B1214" s="72">
        <v>4741911.0</v>
      </c>
      <c r="C1214" s="74">
        <v>46208.54527710648</v>
      </c>
      <c r="D1214" s="2" t="s">
        <v>628</v>
      </c>
      <c r="F1214" s="2" t="s">
        <v>630</v>
      </c>
      <c r="G1214" s="72">
        <v>3.14813795E8</v>
      </c>
    </row>
    <row r="1215">
      <c r="A1215" s="73" t="s">
        <v>1815</v>
      </c>
      <c r="B1215" s="72">
        <v>4741911.0</v>
      </c>
      <c r="C1215" s="74">
        <v>46208.962005775466</v>
      </c>
      <c r="D1215" s="2" t="s">
        <v>628</v>
      </c>
      <c r="F1215" s="2" t="s">
        <v>1816</v>
      </c>
      <c r="G1215" s="72">
        <v>3.1517002E8</v>
      </c>
    </row>
    <row r="1216">
      <c r="A1216" s="73" t="s">
        <v>1815</v>
      </c>
      <c r="B1216" s="72">
        <v>4741911.0</v>
      </c>
      <c r="C1216" s="74">
        <v>46206.75371366898</v>
      </c>
      <c r="D1216" s="2" t="s">
        <v>628</v>
      </c>
      <c r="F1216" s="2" t="s">
        <v>1817</v>
      </c>
      <c r="G1216" s="72">
        <v>3.13572763E8</v>
      </c>
    </row>
    <row r="1217">
      <c r="A1217" s="73" t="s">
        <v>1818</v>
      </c>
      <c r="B1217" s="72">
        <v>7.8610902E7</v>
      </c>
      <c r="C1217" s="74">
        <v>46205.72104913194</v>
      </c>
      <c r="D1217" s="2" t="s">
        <v>628</v>
      </c>
      <c r="F1217" s="2" t="s">
        <v>1819</v>
      </c>
      <c r="G1217" s="72">
        <v>3.12801083E8</v>
      </c>
    </row>
    <row r="1218">
      <c r="A1218" s="73" t="s">
        <v>1818</v>
      </c>
      <c r="B1218" s="72">
        <v>7.8610902E7</v>
      </c>
      <c r="C1218" s="74">
        <v>46205.96331384259</v>
      </c>
      <c r="D1218" s="2" t="s">
        <v>628</v>
      </c>
      <c r="F1218" s="2" t="s">
        <v>1820</v>
      </c>
      <c r="G1218" s="72">
        <v>3.13061857E8</v>
      </c>
    </row>
    <row r="1219">
      <c r="A1219" s="73" t="s">
        <v>1821</v>
      </c>
      <c r="C1219" s="74">
        <v>46232.75164195602</v>
      </c>
      <c r="D1219" s="2" t="s">
        <v>628</v>
      </c>
      <c r="F1219" s="2" t="s">
        <v>1822</v>
      </c>
      <c r="G1219" s="72">
        <v>3.31375834E8</v>
      </c>
    </row>
    <row r="1220">
      <c r="A1220" s="73" t="s">
        <v>1821</v>
      </c>
      <c r="C1220" s="74">
        <v>46232.75434615741</v>
      </c>
      <c r="D1220" s="2" t="s">
        <v>628</v>
      </c>
      <c r="F1220" s="2" t="s">
        <v>1823</v>
      </c>
      <c r="G1220" s="72">
        <v>3.3139073E8</v>
      </c>
    </row>
    <row r="1221">
      <c r="A1221" s="73" t="s">
        <v>1821</v>
      </c>
      <c r="B1221" s="72">
        <v>8.3338598E7</v>
      </c>
      <c r="C1221" s="74">
        <v>46234.54550511574</v>
      </c>
      <c r="D1221" s="2" t="s">
        <v>628</v>
      </c>
      <c r="F1221" s="2" t="s">
        <v>630</v>
      </c>
      <c r="G1221" s="72">
        <v>3.32629219E8</v>
      </c>
    </row>
    <row r="1222">
      <c r="A1222" s="73" t="s">
        <v>1824</v>
      </c>
      <c r="B1222" s="72">
        <v>8.2006998E7</v>
      </c>
      <c r="C1222" s="74">
        <v>46226.754241145834</v>
      </c>
      <c r="D1222" s="2" t="s">
        <v>628</v>
      </c>
      <c r="F1222" s="2" t="s">
        <v>1825</v>
      </c>
      <c r="G1222" s="72">
        <v>3.2711898E8</v>
      </c>
    </row>
    <row r="1223">
      <c r="A1223" s="73" t="s">
        <v>1824</v>
      </c>
      <c r="B1223" s="72">
        <v>8.2006998E7</v>
      </c>
      <c r="C1223" s="74">
        <v>46228.96110881944</v>
      </c>
      <c r="D1223" s="2" t="s">
        <v>628</v>
      </c>
      <c r="F1223" s="2" t="s">
        <v>1826</v>
      </c>
      <c r="G1223" s="72">
        <v>3.28867127E8</v>
      </c>
    </row>
    <row r="1224">
      <c r="A1224" s="73" t="s">
        <v>1824</v>
      </c>
      <c r="B1224" s="72">
        <v>8.2006998E7</v>
      </c>
      <c r="C1224" s="74">
        <v>46228.545069722226</v>
      </c>
      <c r="D1224" s="2" t="s">
        <v>628</v>
      </c>
      <c r="F1224" s="2" t="s">
        <v>630</v>
      </c>
      <c r="G1224" s="72">
        <v>3.28436495E8</v>
      </c>
    </row>
    <row r="1225">
      <c r="A1225" s="73" t="s">
        <v>1827</v>
      </c>
      <c r="B1225" s="72">
        <v>8.2383286E7</v>
      </c>
      <c r="C1225" s="74">
        <v>46228.75186576389</v>
      </c>
      <c r="D1225" s="2" t="s">
        <v>628</v>
      </c>
      <c r="F1225" s="2" t="s">
        <v>1828</v>
      </c>
      <c r="G1225" s="72">
        <v>3.28641424E8</v>
      </c>
    </row>
    <row r="1226">
      <c r="A1226" s="73" t="s">
        <v>1827</v>
      </c>
      <c r="B1226" s="72">
        <v>8.2383286E7</v>
      </c>
      <c r="C1226" s="74">
        <v>46229.96038412037</v>
      </c>
      <c r="D1226" s="2" t="s">
        <v>628</v>
      </c>
      <c r="F1226" s="2" t="s">
        <v>1829</v>
      </c>
      <c r="G1226" s="72">
        <v>3.29611109E8</v>
      </c>
    </row>
    <row r="1227">
      <c r="A1227" s="73" t="s">
        <v>1830</v>
      </c>
      <c r="B1227" s="72">
        <v>8.1454505E7</v>
      </c>
      <c r="C1227" s="74">
        <v>46223.06472998843</v>
      </c>
      <c r="D1227" s="2" t="s">
        <v>628</v>
      </c>
      <c r="F1227" s="2" t="s">
        <v>648</v>
      </c>
      <c r="G1227" s="72">
        <v>3.24795539E8</v>
      </c>
    </row>
    <row r="1228">
      <c r="A1228" s="73" t="s">
        <v>1831</v>
      </c>
      <c r="B1228" s="72">
        <v>7.8623448E7</v>
      </c>
      <c r="C1228" s="74">
        <v>46205.752774513894</v>
      </c>
      <c r="D1228" s="2" t="s">
        <v>628</v>
      </c>
      <c r="F1228" s="2" t="s">
        <v>1832</v>
      </c>
      <c r="G1228" s="72">
        <v>3.12832592E8</v>
      </c>
    </row>
    <row r="1229">
      <c r="A1229" s="73" t="s">
        <v>1831</v>
      </c>
      <c r="B1229" s="72">
        <v>7.8623448E7</v>
      </c>
      <c r="C1229" s="74">
        <v>46206.960928796296</v>
      </c>
      <c r="D1229" s="2" t="s">
        <v>628</v>
      </c>
      <c r="F1229" s="2" t="s">
        <v>1833</v>
      </c>
      <c r="G1229" s="72">
        <v>3.13802816E8</v>
      </c>
    </row>
    <row r="1230">
      <c r="A1230" s="73" t="s">
        <v>1834</v>
      </c>
      <c r="B1230" s="72">
        <v>8.0923841E7</v>
      </c>
      <c r="C1230" s="74">
        <v>46219.96138232639</v>
      </c>
      <c r="D1230" s="2" t="s">
        <v>628</v>
      </c>
      <c r="F1230" s="2" t="s">
        <v>1608</v>
      </c>
      <c r="G1230" s="72">
        <v>3.22480144E8</v>
      </c>
    </row>
    <row r="1231">
      <c r="A1231" s="73" t="s">
        <v>1834</v>
      </c>
      <c r="C1231" s="74">
        <v>46218.75324445602</v>
      </c>
      <c r="D1231" s="2" t="s">
        <v>628</v>
      </c>
      <c r="F1231" s="2" t="s">
        <v>1606</v>
      </c>
      <c r="G1231" s="72">
        <v>3.21576415E8</v>
      </c>
    </row>
    <row r="1232">
      <c r="A1232" s="73" t="s">
        <v>1835</v>
      </c>
      <c r="B1232" s="72">
        <v>8.1525166E7</v>
      </c>
      <c r="C1232" s="74">
        <v>46226.96057549768</v>
      </c>
      <c r="D1232" s="2" t="s">
        <v>628</v>
      </c>
      <c r="F1232" s="2" t="s">
        <v>1836</v>
      </c>
      <c r="G1232" s="72">
        <v>3.2733867E8</v>
      </c>
    </row>
    <row r="1233">
      <c r="A1233" s="73" t="s">
        <v>1835</v>
      </c>
      <c r="B1233" s="72">
        <v>8.1525166E7</v>
      </c>
      <c r="C1233" s="74">
        <v>46223.75260885416</v>
      </c>
      <c r="D1233" s="2" t="s">
        <v>628</v>
      </c>
      <c r="F1233" s="2" t="s">
        <v>1837</v>
      </c>
      <c r="G1233" s="72">
        <v>3.2517025E8</v>
      </c>
    </row>
    <row r="1234">
      <c r="A1234" s="73" t="s">
        <v>1835</v>
      </c>
      <c r="B1234" s="72">
        <v>8.1525166E7</v>
      </c>
      <c r="C1234" s="74">
        <v>46225.545213923615</v>
      </c>
      <c r="D1234" s="2" t="s">
        <v>628</v>
      </c>
      <c r="F1234" s="2" t="s">
        <v>630</v>
      </c>
      <c r="G1234" s="72">
        <v>3.26240161E8</v>
      </c>
    </row>
    <row r="1235">
      <c r="A1235" s="73" t="s">
        <v>1838</v>
      </c>
      <c r="C1235" s="74">
        <v>46216.75195261574</v>
      </c>
      <c r="D1235" s="2" t="s">
        <v>628</v>
      </c>
      <c r="F1235" s="2" t="s">
        <v>656</v>
      </c>
      <c r="G1235" s="72">
        <v>3.20289484E8</v>
      </c>
    </row>
    <row r="1236">
      <c r="A1236" s="73" t="s">
        <v>1838</v>
      </c>
      <c r="B1236" s="72">
        <v>8.0627879E7</v>
      </c>
      <c r="C1236" s="74">
        <v>46218.95983046296</v>
      </c>
      <c r="D1236" s="2" t="s">
        <v>628</v>
      </c>
      <c r="F1236" s="2" t="s">
        <v>657</v>
      </c>
      <c r="G1236" s="72">
        <v>3.21767678E8</v>
      </c>
    </row>
    <row r="1237">
      <c r="A1237" s="73" t="s">
        <v>1838</v>
      </c>
      <c r="B1237" s="72">
        <v>8.0627879E7</v>
      </c>
      <c r="C1237" s="74">
        <v>46218.54358456019</v>
      </c>
      <c r="D1237" s="2" t="s">
        <v>628</v>
      </c>
      <c r="F1237" s="2" t="s">
        <v>630</v>
      </c>
      <c r="G1237" s="72">
        <v>3.21359394E8</v>
      </c>
    </row>
    <row r="1238">
      <c r="A1238" s="73" t="s">
        <v>1839</v>
      </c>
      <c r="C1238" s="74">
        <v>46219.751206064815</v>
      </c>
      <c r="D1238" s="2" t="s">
        <v>628</v>
      </c>
      <c r="F1238" s="2" t="s">
        <v>1840</v>
      </c>
      <c r="G1238" s="72">
        <v>3.222347E8</v>
      </c>
    </row>
    <row r="1239">
      <c r="A1239" s="73" t="s">
        <v>1839</v>
      </c>
      <c r="B1239" s="72">
        <v>8.1174159E7</v>
      </c>
      <c r="C1239" s="74">
        <v>46221.959319016205</v>
      </c>
      <c r="D1239" s="2" t="s">
        <v>628</v>
      </c>
      <c r="F1239" s="2" t="s">
        <v>1841</v>
      </c>
      <c r="G1239" s="72">
        <v>3.2398894E8</v>
      </c>
    </row>
    <row r="1240">
      <c r="A1240" s="73" t="s">
        <v>1839</v>
      </c>
      <c r="B1240" s="72">
        <v>8.1174159E7</v>
      </c>
      <c r="C1240" s="74">
        <v>46221.543536736106</v>
      </c>
      <c r="D1240" s="2" t="s">
        <v>628</v>
      </c>
      <c r="F1240" s="2" t="s">
        <v>630</v>
      </c>
      <c r="G1240" s="72">
        <v>3.23538063E8</v>
      </c>
    </row>
    <row r="1241">
      <c r="A1241" s="73" t="s">
        <v>1842</v>
      </c>
      <c r="B1241" s="72">
        <v>8.1381771E7</v>
      </c>
      <c r="C1241" s="74">
        <v>46223.96128361111</v>
      </c>
      <c r="D1241" s="2" t="s">
        <v>628</v>
      </c>
      <c r="F1241" s="2" t="s">
        <v>766</v>
      </c>
      <c r="G1241" s="72">
        <v>3.25367709E8</v>
      </c>
    </row>
    <row r="1242">
      <c r="A1242" s="73" t="s">
        <v>1842</v>
      </c>
      <c r="B1242" s="72">
        <v>8.1381771E7</v>
      </c>
      <c r="C1242" s="74">
        <v>46222.75279216435</v>
      </c>
      <c r="D1242" s="2" t="s">
        <v>628</v>
      </c>
      <c r="F1242" s="2" t="s">
        <v>767</v>
      </c>
      <c r="G1242" s="72">
        <v>3.24547149E8</v>
      </c>
    </row>
    <row r="1243">
      <c r="A1243" s="73" t="s">
        <v>1843</v>
      </c>
      <c r="B1243" s="72">
        <v>8.0513878E7</v>
      </c>
      <c r="C1243" s="74">
        <v>46218.95957864584</v>
      </c>
      <c r="D1243" s="2" t="s">
        <v>628</v>
      </c>
      <c r="F1243" s="2" t="s">
        <v>1844</v>
      </c>
      <c r="G1243" s="72">
        <v>3.21766933E8</v>
      </c>
    </row>
    <row r="1244">
      <c r="A1244" s="73" t="s">
        <v>1843</v>
      </c>
      <c r="B1244" s="72">
        <v>8.0513878E7</v>
      </c>
      <c r="C1244" s="74">
        <v>46217.75115592593</v>
      </c>
      <c r="D1244" s="2" t="s">
        <v>628</v>
      </c>
      <c r="F1244" s="2" t="s">
        <v>1845</v>
      </c>
      <c r="G1244" s="72">
        <v>3.20916853E8</v>
      </c>
    </row>
    <row r="1245">
      <c r="A1245" s="73" t="s">
        <v>1846</v>
      </c>
      <c r="B1245" s="72">
        <v>8.2883117E7</v>
      </c>
      <c r="C1245" s="74">
        <v>46231.83164101852</v>
      </c>
      <c r="D1245" s="2" t="s">
        <v>628</v>
      </c>
      <c r="F1245" s="2" t="s">
        <v>1847</v>
      </c>
      <c r="G1245" s="72">
        <v>3.30796124E8</v>
      </c>
    </row>
    <row r="1246">
      <c r="A1246" s="73" t="s">
        <v>1848</v>
      </c>
      <c r="B1246" s="72">
        <v>7.8053951E7</v>
      </c>
      <c r="C1246" s="74">
        <v>46217.950220659724</v>
      </c>
      <c r="D1246" s="2" t="s">
        <v>628</v>
      </c>
      <c r="F1246" s="2" t="s">
        <v>656</v>
      </c>
      <c r="G1246" s="72">
        <v>3.21104027E8</v>
      </c>
    </row>
    <row r="1247">
      <c r="A1247" s="73" t="s">
        <v>1848</v>
      </c>
      <c r="B1247" s="72">
        <v>7.8053951E7</v>
      </c>
      <c r="C1247" s="74">
        <v>46218.96066435185</v>
      </c>
      <c r="D1247" s="2" t="s">
        <v>628</v>
      </c>
      <c r="F1247" s="2" t="s">
        <v>657</v>
      </c>
      <c r="G1247" s="72">
        <v>3.21770904E8</v>
      </c>
    </row>
    <row r="1248">
      <c r="A1248" s="73" t="s">
        <v>1849</v>
      </c>
      <c r="B1248" s="72">
        <v>8.3200717E7</v>
      </c>
      <c r="C1248" s="74">
        <v>46233.75409402778</v>
      </c>
      <c r="D1248" s="2" t="s">
        <v>628</v>
      </c>
      <c r="F1248" s="2" t="s">
        <v>809</v>
      </c>
      <c r="G1248" s="72">
        <v>3.32086624E8</v>
      </c>
    </row>
    <row r="1249">
      <c r="A1249" s="73" t="s">
        <v>1850</v>
      </c>
      <c r="B1249" s="72">
        <v>7.8976947E7</v>
      </c>
      <c r="C1249" s="74">
        <v>46207.75284017361</v>
      </c>
      <c r="D1249" s="2" t="s">
        <v>628</v>
      </c>
      <c r="F1249" s="2" t="s">
        <v>764</v>
      </c>
      <c r="G1249" s="72">
        <v>3.14293018E8</v>
      </c>
    </row>
    <row r="1250">
      <c r="A1250" s="73" t="s">
        <v>1850</v>
      </c>
      <c r="B1250" s="72">
        <v>7.8976947E7</v>
      </c>
      <c r="C1250" s="74">
        <v>46207.75855732639</v>
      </c>
      <c r="D1250" s="2" t="s">
        <v>705</v>
      </c>
      <c r="F1250" s="2" t="s">
        <v>1851</v>
      </c>
      <c r="G1250" s="72">
        <v>3.14302005E8</v>
      </c>
    </row>
    <row r="1251">
      <c r="A1251" s="73" t="s">
        <v>1850</v>
      </c>
      <c r="B1251" s="72">
        <v>7.8976947E7</v>
      </c>
      <c r="C1251" s="74">
        <v>46208.96087928241</v>
      </c>
      <c r="D1251" s="2" t="s">
        <v>628</v>
      </c>
      <c r="F1251" s="2" t="s">
        <v>1852</v>
      </c>
      <c r="G1251" s="72">
        <v>3.15166993E8</v>
      </c>
    </row>
    <row r="1252">
      <c r="A1252" s="73" t="s">
        <v>1853</v>
      </c>
      <c r="C1252" s="74">
        <v>46232.54443355324</v>
      </c>
      <c r="D1252" s="2" t="s">
        <v>628</v>
      </c>
      <c r="F1252" s="2" t="s">
        <v>630</v>
      </c>
      <c r="G1252" s="72">
        <v>3.31173137E8</v>
      </c>
    </row>
    <row r="1253">
      <c r="A1253" s="73" t="s">
        <v>1853</v>
      </c>
      <c r="B1253" s="72">
        <v>8.2699167E7</v>
      </c>
      <c r="C1253" s="74">
        <v>46232.961915567124</v>
      </c>
      <c r="D1253" s="2" t="s">
        <v>628</v>
      </c>
      <c r="F1253" s="2" t="s">
        <v>1854</v>
      </c>
      <c r="G1253" s="72">
        <v>3.31590223E8</v>
      </c>
    </row>
    <row r="1254">
      <c r="A1254" s="73" t="s">
        <v>1853</v>
      </c>
      <c r="B1254" s="72">
        <v>8.2699167E7</v>
      </c>
      <c r="C1254" s="74">
        <v>46232.54571016204</v>
      </c>
      <c r="D1254" s="2" t="s">
        <v>628</v>
      </c>
      <c r="F1254" s="2" t="s">
        <v>630</v>
      </c>
      <c r="G1254" s="72">
        <v>3.31194909E8</v>
      </c>
    </row>
    <row r="1255">
      <c r="A1255" s="73" t="s">
        <v>1853</v>
      </c>
      <c r="C1255" s="74">
        <v>46230.753852187496</v>
      </c>
      <c r="D1255" s="2" t="s">
        <v>628</v>
      </c>
      <c r="F1255" s="2" t="s">
        <v>1855</v>
      </c>
      <c r="G1255" s="72">
        <v>3.30069139E8</v>
      </c>
    </row>
    <row r="1256">
      <c r="A1256" s="73" t="s">
        <v>1853</v>
      </c>
      <c r="B1256" s="72">
        <v>8.2699167E7</v>
      </c>
      <c r="C1256" s="74">
        <v>46230.754065960646</v>
      </c>
      <c r="D1256" s="2" t="s">
        <v>628</v>
      </c>
      <c r="F1256" s="2" t="s">
        <v>1856</v>
      </c>
      <c r="G1256" s="72">
        <v>3.30070766E8</v>
      </c>
    </row>
    <row r="1257">
      <c r="A1257" s="73" t="s">
        <v>1857</v>
      </c>
      <c r="C1257" s="74">
        <v>46210.751954548614</v>
      </c>
      <c r="D1257" s="2" t="s">
        <v>628</v>
      </c>
      <c r="F1257" s="2" t="s">
        <v>1654</v>
      </c>
      <c r="G1257" s="72">
        <v>3.16188106E8</v>
      </c>
    </row>
    <row r="1258">
      <c r="A1258" s="73" t="s">
        <v>1857</v>
      </c>
      <c r="B1258" s="72">
        <v>7.9653001E7</v>
      </c>
      <c r="C1258" s="74">
        <v>46212.54376678241</v>
      </c>
      <c r="D1258" s="2" t="s">
        <v>628</v>
      </c>
      <c r="F1258" s="2" t="s">
        <v>630</v>
      </c>
      <c r="G1258" s="72">
        <v>3.17236394E8</v>
      </c>
    </row>
    <row r="1259">
      <c r="A1259" s="73" t="s">
        <v>1857</v>
      </c>
      <c r="B1259" s="72">
        <v>7.9653001E7</v>
      </c>
      <c r="C1259" s="74">
        <v>46212.960351354166</v>
      </c>
      <c r="D1259" s="2" t="s">
        <v>628</v>
      </c>
      <c r="F1259" s="2" t="s">
        <v>1655</v>
      </c>
      <c r="G1259" s="72">
        <v>3.1765915E8</v>
      </c>
    </row>
    <row r="1260">
      <c r="A1260" s="73" t="s">
        <v>1858</v>
      </c>
      <c r="B1260" s="72">
        <v>8.3187973E7</v>
      </c>
      <c r="C1260" s="74">
        <v>46233.75137384259</v>
      </c>
      <c r="D1260" s="2" t="s">
        <v>628</v>
      </c>
      <c r="F1260" s="2" t="s">
        <v>1859</v>
      </c>
      <c r="G1260" s="72">
        <v>3.32060327E8</v>
      </c>
    </row>
    <row r="1261">
      <c r="A1261" s="73" t="s">
        <v>1858</v>
      </c>
      <c r="B1261" s="72">
        <v>8.3187973E7</v>
      </c>
      <c r="C1261" s="74">
        <v>46234.95960258102</v>
      </c>
      <c r="D1261" s="2" t="s">
        <v>628</v>
      </c>
      <c r="F1261" s="2" t="s">
        <v>1860</v>
      </c>
      <c r="G1261" s="72">
        <v>3.33096682E8</v>
      </c>
    </row>
    <row r="1262">
      <c r="A1262" s="73" t="s">
        <v>1861</v>
      </c>
      <c r="B1262" s="72">
        <v>8.0535185E7</v>
      </c>
      <c r="C1262" s="74">
        <v>46217.80611428241</v>
      </c>
      <c r="D1262" s="2" t="s">
        <v>628</v>
      </c>
      <c r="F1262" s="2" t="s">
        <v>1862</v>
      </c>
      <c r="G1262" s="72">
        <v>3.20981235E8</v>
      </c>
    </row>
    <row r="1263">
      <c r="A1263" s="73" t="s">
        <v>1861</v>
      </c>
      <c r="B1263" s="72">
        <v>8.0535185E7</v>
      </c>
      <c r="C1263" s="74">
        <v>46218.96152561343</v>
      </c>
      <c r="D1263" s="2" t="s">
        <v>628</v>
      </c>
      <c r="F1263" s="2" t="s">
        <v>1863</v>
      </c>
      <c r="G1263" s="72">
        <v>3.21773826E8</v>
      </c>
    </row>
    <row r="1264">
      <c r="A1264" s="73" t="s">
        <v>1864</v>
      </c>
      <c r="B1264" s="72">
        <v>8.0064743E7</v>
      </c>
      <c r="C1264" s="74">
        <v>46214.751917013884</v>
      </c>
      <c r="D1264" s="2" t="s">
        <v>628</v>
      </c>
      <c r="F1264" s="2" t="s">
        <v>1865</v>
      </c>
      <c r="G1264" s="72">
        <v>3.18914097E8</v>
      </c>
    </row>
    <row r="1265">
      <c r="A1265" s="73" t="s">
        <v>1864</v>
      </c>
      <c r="B1265" s="72">
        <v>8.0064743E7</v>
      </c>
      <c r="C1265" s="74">
        <v>46217.95943959491</v>
      </c>
      <c r="D1265" s="2" t="s">
        <v>628</v>
      </c>
      <c r="F1265" s="2" t="s">
        <v>1866</v>
      </c>
      <c r="G1265" s="72">
        <v>3.21110932E8</v>
      </c>
    </row>
    <row r="1266">
      <c r="A1266" s="73" t="s">
        <v>1864</v>
      </c>
      <c r="B1266" s="72">
        <v>8.0064743E7</v>
      </c>
      <c r="C1266" s="74">
        <v>46216.543822824075</v>
      </c>
      <c r="D1266" s="2" t="s">
        <v>628</v>
      </c>
      <c r="F1266" s="2" t="s">
        <v>630</v>
      </c>
      <c r="G1266" s="72">
        <v>3.20102682E8</v>
      </c>
    </row>
    <row r="1267">
      <c r="A1267" s="73" t="s">
        <v>1867</v>
      </c>
      <c r="B1267" s="72">
        <v>8.1029891E7</v>
      </c>
      <c r="C1267" s="74">
        <v>46220.75662303241</v>
      </c>
      <c r="D1267" s="2" t="s">
        <v>705</v>
      </c>
      <c r="F1267" s="2" t="s">
        <v>756</v>
      </c>
      <c r="G1267" s="72">
        <v>3.23017285E8</v>
      </c>
    </row>
    <row r="1268">
      <c r="A1268" s="73" t="s">
        <v>1867</v>
      </c>
      <c r="B1268" s="72">
        <v>8.1029891E7</v>
      </c>
      <c r="C1268" s="74">
        <v>46221.960109039355</v>
      </c>
      <c r="D1268" s="2" t="s">
        <v>628</v>
      </c>
      <c r="F1268" s="2" t="s">
        <v>1682</v>
      </c>
      <c r="G1268" s="72">
        <v>3.23993349E8</v>
      </c>
    </row>
    <row r="1269">
      <c r="A1269" s="73" t="s">
        <v>1867</v>
      </c>
      <c r="B1269" s="72">
        <v>8.1029891E7</v>
      </c>
      <c r="C1269" s="74">
        <v>46220.75662826389</v>
      </c>
      <c r="D1269" s="2" t="s">
        <v>653</v>
      </c>
      <c r="F1269" s="2" t="s">
        <v>1868</v>
      </c>
      <c r="G1269" s="72">
        <v>3.23017288E8</v>
      </c>
    </row>
    <row r="1270">
      <c r="A1270" s="73" t="s">
        <v>1867</v>
      </c>
      <c r="B1270" s="72">
        <v>8.1029891E7</v>
      </c>
      <c r="C1270" s="74">
        <v>46220.75259881944</v>
      </c>
      <c r="D1270" s="2" t="s">
        <v>628</v>
      </c>
      <c r="F1270" s="2" t="s">
        <v>1681</v>
      </c>
      <c r="G1270" s="72">
        <v>3.23002264E8</v>
      </c>
    </row>
    <row r="1271">
      <c r="A1271" s="73" t="s">
        <v>1869</v>
      </c>
      <c r="B1271" s="72">
        <v>7.8623802E7</v>
      </c>
      <c r="C1271" s="74">
        <v>46207.96100510417</v>
      </c>
      <c r="D1271" s="2" t="s">
        <v>628</v>
      </c>
      <c r="F1271" s="2" t="s">
        <v>1870</v>
      </c>
      <c r="G1271" s="72">
        <v>3.14486249E8</v>
      </c>
    </row>
    <row r="1272">
      <c r="A1272" s="73" t="s">
        <v>1869</v>
      </c>
      <c r="B1272" s="72">
        <v>7.8623802E7</v>
      </c>
      <c r="C1272" s="74">
        <v>46205.7528340625</v>
      </c>
      <c r="D1272" s="2" t="s">
        <v>628</v>
      </c>
      <c r="F1272" s="2" t="s">
        <v>1871</v>
      </c>
      <c r="G1272" s="72">
        <v>3.12833248E8</v>
      </c>
    </row>
    <row r="1273">
      <c r="A1273" s="73" t="s">
        <v>1869</v>
      </c>
      <c r="B1273" s="72">
        <v>7.8623802E7</v>
      </c>
      <c r="C1273" s="74">
        <v>46207.54429686343</v>
      </c>
      <c r="D1273" s="2" t="s">
        <v>628</v>
      </c>
      <c r="F1273" s="2" t="s">
        <v>630</v>
      </c>
      <c r="G1273" s="72">
        <v>3.14082042E8</v>
      </c>
    </row>
    <row r="1274">
      <c r="A1274" s="73" t="s">
        <v>1872</v>
      </c>
      <c r="B1274" s="72">
        <v>8.1175558E7</v>
      </c>
      <c r="C1274" s="74">
        <v>46222.96027258102</v>
      </c>
      <c r="D1274" s="2" t="s">
        <v>628</v>
      </c>
      <c r="F1274" s="2" t="s">
        <v>916</v>
      </c>
      <c r="G1274" s="72">
        <v>3.24724746E8</v>
      </c>
    </row>
    <row r="1275">
      <c r="A1275" s="73" t="s">
        <v>1872</v>
      </c>
      <c r="B1275" s="72">
        <v>8.1175558E7</v>
      </c>
      <c r="C1275" s="74">
        <v>46221.544126064815</v>
      </c>
      <c r="D1275" s="2" t="s">
        <v>628</v>
      </c>
      <c r="F1275" s="2" t="s">
        <v>630</v>
      </c>
      <c r="G1275" s="72">
        <v>3.23546068E8</v>
      </c>
    </row>
    <row r="1276">
      <c r="A1276" s="73" t="s">
        <v>1872</v>
      </c>
      <c r="C1276" s="74">
        <v>46219.753255578704</v>
      </c>
      <c r="D1276" s="2" t="s">
        <v>628</v>
      </c>
      <c r="F1276" s="2" t="s">
        <v>915</v>
      </c>
      <c r="G1276" s="72">
        <v>3.2224887E8</v>
      </c>
    </row>
    <row r="1277">
      <c r="A1277" s="73" t="s">
        <v>1873</v>
      </c>
      <c r="B1277" s="72">
        <v>8.1637576E7</v>
      </c>
      <c r="C1277" s="74">
        <v>46224.54347844908</v>
      </c>
      <c r="D1277" s="2" t="s">
        <v>628</v>
      </c>
      <c r="F1277" s="2" t="s">
        <v>630</v>
      </c>
      <c r="G1277" s="72">
        <v>3.25601116E8</v>
      </c>
    </row>
    <row r="1278">
      <c r="A1278" s="73" t="s">
        <v>1873</v>
      </c>
      <c r="B1278" s="72">
        <v>8.1637576E7</v>
      </c>
      <c r="C1278" s="74">
        <v>46224.95951047454</v>
      </c>
      <c r="D1278" s="2" t="s">
        <v>628</v>
      </c>
      <c r="F1278" s="2" t="s">
        <v>1874</v>
      </c>
      <c r="G1278" s="72">
        <v>3.25984827E8</v>
      </c>
    </row>
    <row r="1279">
      <c r="A1279" s="73" t="s">
        <v>1873</v>
      </c>
      <c r="C1279" s="74">
        <v>46222.751243611114</v>
      </c>
      <c r="D1279" s="2" t="s">
        <v>628</v>
      </c>
      <c r="F1279" s="2" t="s">
        <v>1875</v>
      </c>
      <c r="G1279" s="72">
        <v>3.2453554E8</v>
      </c>
    </row>
    <row r="1280">
      <c r="A1280" s="73" t="s">
        <v>1876</v>
      </c>
      <c r="B1280" s="72">
        <v>8.0959576E7</v>
      </c>
      <c r="C1280" s="74">
        <v>46220.42992521991</v>
      </c>
      <c r="D1280" s="2" t="s">
        <v>705</v>
      </c>
      <c r="F1280" s="2" t="s">
        <v>756</v>
      </c>
      <c r="G1280" s="72">
        <v>3.22622991E8</v>
      </c>
    </row>
    <row r="1281">
      <c r="A1281" s="73" t="s">
        <v>1876</v>
      </c>
      <c r="B1281" s="72">
        <v>8.0959576E7</v>
      </c>
      <c r="C1281" s="74">
        <v>46220.42992869213</v>
      </c>
      <c r="D1281" s="2" t="s">
        <v>653</v>
      </c>
      <c r="F1281" s="2" t="s">
        <v>1877</v>
      </c>
      <c r="G1281" s="72">
        <v>3.22622993E8</v>
      </c>
    </row>
    <row r="1282">
      <c r="A1282" s="73" t="s">
        <v>1876</v>
      </c>
      <c r="B1282" s="72">
        <v>8.0959576E7</v>
      </c>
      <c r="C1282" s="74">
        <v>46220.429932349536</v>
      </c>
      <c r="D1282" s="2" t="s">
        <v>653</v>
      </c>
      <c r="F1282" s="2" t="s">
        <v>753</v>
      </c>
      <c r="G1282" s="72">
        <v>3.22622994E8</v>
      </c>
    </row>
    <row r="1283">
      <c r="A1283" s="73" t="s">
        <v>1876</v>
      </c>
      <c r="B1283" s="72">
        <v>8.0959576E7</v>
      </c>
      <c r="C1283" s="74">
        <v>46220.490908402775</v>
      </c>
      <c r="D1283" s="2" t="s">
        <v>667</v>
      </c>
      <c r="E1283" s="2" t="s">
        <v>829</v>
      </c>
      <c r="F1283" s="2" t="s">
        <v>1878</v>
      </c>
      <c r="G1283" s="72">
        <v>3.22680936E8</v>
      </c>
    </row>
    <row r="1284">
      <c r="A1284" s="73" t="s">
        <v>1876</v>
      </c>
      <c r="B1284" s="72">
        <v>8.0959576E7</v>
      </c>
      <c r="C1284" s="74">
        <v>46220.42993666667</v>
      </c>
      <c r="D1284" s="2" t="s">
        <v>705</v>
      </c>
      <c r="F1284" s="2" t="s">
        <v>1879</v>
      </c>
      <c r="G1284" s="72">
        <v>3.22622995E8</v>
      </c>
    </row>
    <row r="1285">
      <c r="A1285" s="73" t="s">
        <v>1876</v>
      </c>
      <c r="B1285" s="72">
        <v>8.0959576E7</v>
      </c>
      <c r="C1285" s="74">
        <v>46220.57644804398</v>
      </c>
      <c r="D1285" s="2" t="s">
        <v>705</v>
      </c>
      <c r="F1285" s="2" t="s">
        <v>1880</v>
      </c>
      <c r="G1285" s="72">
        <v>3.22811552E8</v>
      </c>
    </row>
    <row r="1286">
      <c r="A1286" s="73" t="s">
        <v>1876</v>
      </c>
      <c r="B1286" s="72">
        <v>8.0959576E7</v>
      </c>
      <c r="C1286" s="74">
        <v>46220.42994074074</v>
      </c>
      <c r="D1286" s="2" t="s">
        <v>705</v>
      </c>
      <c r="F1286" s="2" t="s">
        <v>1881</v>
      </c>
      <c r="G1286" s="72">
        <v>3.22622996E8</v>
      </c>
    </row>
    <row r="1287">
      <c r="A1287" s="73" t="s">
        <v>1882</v>
      </c>
      <c r="B1287" s="72">
        <v>7.9694907E7</v>
      </c>
      <c r="C1287" s="74">
        <v>46215.95936934028</v>
      </c>
      <c r="D1287" s="2" t="s">
        <v>628</v>
      </c>
      <c r="F1287" s="2" t="s">
        <v>1883</v>
      </c>
      <c r="G1287" s="72">
        <v>3.19856069E8</v>
      </c>
    </row>
    <row r="1288">
      <c r="A1288" s="73" t="s">
        <v>1882</v>
      </c>
      <c r="B1288" s="72">
        <v>7.9694907E7</v>
      </c>
      <c r="C1288" s="74">
        <v>46214.54311009259</v>
      </c>
      <c r="D1288" s="2" t="s">
        <v>628</v>
      </c>
      <c r="F1288" s="2" t="s">
        <v>630</v>
      </c>
      <c r="G1288" s="72">
        <v>3.18690775E8</v>
      </c>
    </row>
    <row r="1289">
      <c r="A1289" s="73" t="s">
        <v>1882</v>
      </c>
      <c r="B1289" s="72">
        <v>7.9694907E7</v>
      </c>
      <c r="C1289" s="74">
        <v>46212.751684629635</v>
      </c>
      <c r="D1289" s="2" t="s">
        <v>628</v>
      </c>
      <c r="F1289" s="2" t="s">
        <v>1884</v>
      </c>
      <c r="G1289" s="72">
        <v>3.17431918E8</v>
      </c>
    </row>
    <row r="1290">
      <c r="A1290" s="73" t="s">
        <v>1885</v>
      </c>
      <c r="B1290" s="72">
        <v>7.9833297E7</v>
      </c>
      <c r="C1290" s="74">
        <v>46213.5444834838</v>
      </c>
      <c r="D1290" s="2" t="s">
        <v>628</v>
      </c>
      <c r="F1290" s="2" t="s">
        <v>630</v>
      </c>
      <c r="G1290" s="72">
        <v>3.17945475E8</v>
      </c>
    </row>
    <row r="1291">
      <c r="A1291" s="73" t="s">
        <v>1885</v>
      </c>
      <c r="B1291" s="72">
        <v>7.9833297E7</v>
      </c>
      <c r="C1291" s="74">
        <v>46213.95970467593</v>
      </c>
      <c r="D1291" s="2" t="s">
        <v>628</v>
      </c>
      <c r="F1291" s="2" t="s">
        <v>1417</v>
      </c>
      <c r="G1291" s="72">
        <v>3.18405578E8</v>
      </c>
    </row>
    <row r="1292">
      <c r="A1292" s="73" t="s">
        <v>1885</v>
      </c>
      <c r="C1292" s="74">
        <v>46211.752277824075</v>
      </c>
      <c r="D1292" s="2" t="s">
        <v>628</v>
      </c>
      <c r="F1292" s="2" t="s">
        <v>1416</v>
      </c>
      <c r="G1292" s="72">
        <v>3.16792754E8</v>
      </c>
    </row>
    <row r="1293">
      <c r="A1293" s="73" t="s">
        <v>1886</v>
      </c>
      <c r="B1293" s="72">
        <v>8.2388156E7</v>
      </c>
      <c r="C1293" s="74">
        <v>46230.546296932866</v>
      </c>
      <c r="D1293" s="2" t="s">
        <v>628</v>
      </c>
      <c r="F1293" s="2" t="s">
        <v>630</v>
      </c>
      <c r="G1293" s="72">
        <v>3.29885374E8</v>
      </c>
    </row>
    <row r="1294">
      <c r="A1294" s="73" t="s">
        <v>1886</v>
      </c>
      <c r="B1294" s="72">
        <v>8.2388156E7</v>
      </c>
      <c r="C1294" s="74">
        <v>46230.96212837963</v>
      </c>
      <c r="D1294" s="2" t="s">
        <v>628</v>
      </c>
      <c r="F1294" s="2" t="s">
        <v>766</v>
      </c>
      <c r="G1294" s="72">
        <v>3.30274374E8</v>
      </c>
    </row>
    <row r="1295">
      <c r="A1295" s="73" t="s">
        <v>1886</v>
      </c>
      <c r="B1295" s="72">
        <v>8.2388156E7</v>
      </c>
      <c r="C1295" s="74">
        <v>46228.75395920139</v>
      </c>
      <c r="D1295" s="2" t="s">
        <v>628</v>
      </c>
      <c r="F1295" s="2" t="s">
        <v>767</v>
      </c>
      <c r="G1295" s="72">
        <v>3.28654828E8</v>
      </c>
    </row>
    <row r="1296">
      <c r="A1296" s="73" t="s">
        <v>1887</v>
      </c>
      <c r="B1296" s="72">
        <v>8.2569318E7</v>
      </c>
      <c r="C1296" s="74">
        <v>46231.543460914356</v>
      </c>
      <c r="D1296" s="2" t="s">
        <v>628</v>
      </c>
      <c r="F1296" s="2" t="s">
        <v>630</v>
      </c>
      <c r="G1296" s="72">
        <v>3.30515902E8</v>
      </c>
    </row>
    <row r="1297">
      <c r="A1297" s="73" t="s">
        <v>1887</v>
      </c>
      <c r="B1297" s="72">
        <v>8.2569318E7</v>
      </c>
      <c r="C1297" s="74">
        <v>46231.95960997685</v>
      </c>
      <c r="D1297" s="2" t="s">
        <v>628</v>
      </c>
      <c r="F1297" s="2" t="s">
        <v>1888</v>
      </c>
      <c r="G1297" s="72">
        <v>3.30914135E8</v>
      </c>
    </row>
    <row r="1298">
      <c r="A1298" s="73" t="s">
        <v>1887</v>
      </c>
      <c r="B1298" s="72">
        <v>8.2569318E7</v>
      </c>
      <c r="C1298" s="74">
        <v>46229.82930481482</v>
      </c>
      <c r="D1298" s="2" t="s">
        <v>628</v>
      </c>
      <c r="F1298" s="2" t="s">
        <v>1889</v>
      </c>
      <c r="G1298" s="72">
        <v>3.29496745E8</v>
      </c>
    </row>
    <row r="1299">
      <c r="A1299" s="73" t="s">
        <v>1890</v>
      </c>
      <c r="B1299" s="72">
        <v>8.3389798E7</v>
      </c>
      <c r="C1299" s="74">
        <v>46234.75416240741</v>
      </c>
      <c r="D1299" s="2" t="s">
        <v>628</v>
      </c>
      <c r="F1299" s="2" t="s">
        <v>1891</v>
      </c>
      <c r="G1299" s="72">
        <v>3.32856807E8</v>
      </c>
    </row>
    <row r="1300">
      <c r="A1300" s="73" t="s">
        <v>1892</v>
      </c>
      <c r="B1300" s="72">
        <v>8.2694425E7</v>
      </c>
      <c r="C1300" s="74">
        <v>46232.54298215278</v>
      </c>
      <c r="D1300" s="2" t="s">
        <v>628</v>
      </c>
      <c r="F1300" s="2" t="s">
        <v>630</v>
      </c>
      <c r="G1300" s="72">
        <v>3.31161112E8</v>
      </c>
    </row>
    <row r="1301">
      <c r="A1301" s="73" t="s">
        <v>1892</v>
      </c>
      <c r="B1301" s="72">
        <v>8.2694425E7</v>
      </c>
      <c r="C1301" s="74">
        <v>46230.75153667824</v>
      </c>
      <c r="D1301" s="2" t="s">
        <v>628</v>
      </c>
      <c r="F1301" s="2" t="s">
        <v>1893</v>
      </c>
      <c r="G1301" s="72">
        <v>3.30058492E8</v>
      </c>
    </row>
    <row r="1302">
      <c r="A1302" s="73" t="s">
        <v>1892</v>
      </c>
      <c r="B1302" s="72">
        <v>8.2694425E7</v>
      </c>
      <c r="C1302" s="74">
        <v>46234.95971866898</v>
      </c>
      <c r="D1302" s="2" t="s">
        <v>628</v>
      </c>
      <c r="F1302" s="2" t="s">
        <v>1894</v>
      </c>
      <c r="G1302" s="72">
        <v>3.3309708E8</v>
      </c>
    </row>
    <row r="1303">
      <c r="A1303" s="73" t="s">
        <v>1895</v>
      </c>
      <c r="B1303" s="72">
        <v>8.3086868E7</v>
      </c>
      <c r="C1303" s="74">
        <v>46232.959495312505</v>
      </c>
      <c r="D1303" s="2" t="s">
        <v>628</v>
      </c>
      <c r="F1303" s="2" t="s">
        <v>1896</v>
      </c>
      <c r="G1303" s="72">
        <v>3.315823E8</v>
      </c>
    </row>
    <row r="1304">
      <c r="A1304" s="73" t="s">
        <v>1897</v>
      </c>
      <c r="B1304" s="72">
        <v>7.9536987E7</v>
      </c>
      <c r="C1304" s="74">
        <v>46211.75215936343</v>
      </c>
      <c r="D1304" s="2" t="s">
        <v>628</v>
      </c>
      <c r="F1304" s="2" t="s">
        <v>1898</v>
      </c>
      <c r="G1304" s="72">
        <v>3.16791629E8</v>
      </c>
    </row>
    <row r="1305">
      <c r="A1305" s="73" t="s">
        <v>1897</v>
      </c>
      <c r="B1305" s="72">
        <v>7.9536987E7</v>
      </c>
      <c r="C1305" s="74">
        <v>46213.666172557874</v>
      </c>
      <c r="D1305" s="2" t="s">
        <v>705</v>
      </c>
      <c r="F1305" s="2" t="s">
        <v>1899</v>
      </c>
      <c r="G1305" s="72">
        <v>3.18091137E8</v>
      </c>
    </row>
    <row r="1306">
      <c r="A1306" s="73" t="s">
        <v>1897</v>
      </c>
      <c r="B1306" s="72">
        <v>7.9536987E7</v>
      </c>
      <c r="C1306" s="74">
        <v>46213.544302581024</v>
      </c>
      <c r="D1306" s="2" t="s">
        <v>628</v>
      </c>
      <c r="F1306" s="2" t="s">
        <v>630</v>
      </c>
      <c r="G1306" s="72">
        <v>3.17943288E8</v>
      </c>
    </row>
    <row r="1307">
      <c r="A1307" s="73" t="s">
        <v>1897</v>
      </c>
      <c r="B1307" s="72">
        <v>7.9536987E7</v>
      </c>
      <c r="C1307" s="74">
        <v>46215.959603090276</v>
      </c>
      <c r="D1307" s="2" t="s">
        <v>628</v>
      </c>
      <c r="F1307" s="2" t="s">
        <v>1900</v>
      </c>
      <c r="G1307" s="72">
        <v>3.19856772E8</v>
      </c>
    </row>
    <row r="1308">
      <c r="A1308" s="73" t="s">
        <v>1901</v>
      </c>
      <c r="B1308" s="72">
        <v>8.0062882E7</v>
      </c>
      <c r="C1308" s="74">
        <v>46216.95910328704</v>
      </c>
      <c r="D1308" s="2" t="s">
        <v>628</v>
      </c>
      <c r="F1308" s="2" t="s">
        <v>1185</v>
      </c>
      <c r="G1308" s="72">
        <v>3.20481371E8</v>
      </c>
    </row>
    <row r="1309">
      <c r="A1309" s="73" t="s">
        <v>1901</v>
      </c>
      <c r="B1309" s="72">
        <v>8.0062882E7</v>
      </c>
      <c r="C1309" s="74">
        <v>46216.54272356481</v>
      </c>
      <c r="D1309" s="2" t="s">
        <v>628</v>
      </c>
      <c r="F1309" s="2" t="s">
        <v>630</v>
      </c>
      <c r="G1309" s="72">
        <v>3.20088262E8</v>
      </c>
    </row>
    <row r="1310">
      <c r="A1310" s="73" t="s">
        <v>1901</v>
      </c>
      <c r="B1310" s="72">
        <v>8.0062882E7</v>
      </c>
      <c r="C1310" s="74">
        <v>46214.75088451389</v>
      </c>
      <c r="D1310" s="2" t="s">
        <v>628</v>
      </c>
      <c r="F1310" s="2" t="s">
        <v>1186</v>
      </c>
      <c r="G1310" s="72">
        <v>3.18909035E8</v>
      </c>
    </row>
    <row r="1311">
      <c r="A1311" s="73" t="s">
        <v>1902</v>
      </c>
      <c r="B1311" s="72">
        <v>8.2384914E7</v>
      </c>
      <c r="C1311" s="74">
        <v>46228.752551875004</v>
      </c>
      <c r="D1311" s="2" t="s">
        <v>628</v>
      </c>
      <c r="F1311" s="2" t="s">
        <v>1903</v>
      </c>
      <c r="G1311" s="72">
        <v>3.28645922E8</v>
      </c>
    </row>
    <row r="1312">
      <c r="A1312" s="73" t="s">
        <v>1902</v>
      </c>
      <c r="B1312" s="72">
        <v>8.2384914E7</v>
      </c>
      <c r="C1312" s="74">
        <v>46229.9608833449</v>
      </c>
      <c r="D1312" s="2" t="s">
        <v>628</v>
      </c>
      <c r="F1312" s="2" t="s">
        <v>1904</v>
      </c>
      <c r="G1312" s="72">
        <v>3.2961271E8</v>
      </c>
    </row>
    <row r="1313">
      <c r="A1313" s="73" t="s">
        <v>1905</v>
      </c>
      <c r="B1313" s="72">
        <v>7.9887205E7</v>
      </c>
      <c r="C1313" s="74">
        <v>46214.96087892361</v>
      </c>
      <c r="D1313" s="2" t="s">
        <v>628</v>
      </c>
      <c r="F1313" s="2" t="s">
        <v>1781</v>
      </c>
      <c r="G1313" s="72">
        <v>3.19137605E8</v>
      </c>
    </row>
    <row r="1314">
      <c r="A1314" s="73" t="s">
        <v>1905</v>
      </c>
      <c r="B1314" s="72">
        <v>7.9887205E7</v>
      </c>
      <c r="C1314" s="74">
        <v>46213.75389818287</v>
      </c>
      <c r="D1314" s="2" t="s">
        <v>628</v>
      </c>
      <c r="F1314" s="2" t="s">
        <v>1906</v>
      </c>
      <c r="G1314" s="72">
        <v>3.18187813E8</v>
      </c>
    </row>
    <row r="1315">
      <c r="A1315" s="73" t="s">
        <v>1907</v>
      </c>
      <c r="B1315" s="72">
        <v>7.8616126E7</v>
      </c>
      <c r="C1315" s="74">
        <v>46205.75139143519</v>
      </c>
      <c r="D1315" s="2" t="s">
        <v>628</v>
      </c>
      <c r="F1315" s="2" t="s">
        <v>1566</v>
      </c>
      <c r="G1315" s="72">
        <v>3.12818406E8</v>
      </c>
    </row>
    <row r="1316">
      <c r="A1316" s="73" t="s">
        <v>1907</v>
      </c>
      <c r="B1316" s="72">
        <v>7.8616126E7</v>
      </c>
      <c r="C1316" s="74">
        <v>46207.95964011574</v>
      </c>
      <c r="D1316" s="2" t="s">
        <v>628</v>
      </c>
      <c r="F1316" s="2" t="s">
        <v>1908</v>
      </c>
      <c r="G1316" s="72">
        <v>3.14476585E8</v>
      </c>
    </row>
    <row r="1317">
      <c r="A1317" s="73" t="s">
        <v>1907</v>
      </c>
      <c r="B1317" s="72">
        <v>7.8616126E7</v>
      </c>
      <c r="C1317" s="74">
        <v>46207.54353649306</v>
      </c>
      <c r="D1317" s="2" t="s">
        <v>628</v>
      </c>
      <c r="F1317" s="2" t="s">
        <v>630</v>
      </c>
      <c r="G1317" s="72">
        <v>3.14069352E8</v>
      </c>
    </row>
    <row r="1318">
      <c r="A1318" s="73" t="s">
        <v>1909</v>
      </c>
      <c r="B1318" s="72">
        <v>8.2190714E7</v>
      </c>
      <c r="C1318" s="74">
        <v>46234.65469091435</v>
      </c>
      <c r="D1318" s="2" t="s">
        <v>653</v>
      </c>
      <c r="F1318" s="2" t="s">
        <v>1910</v>
      </c>
      <c r="G1318" s="72">
        <v>3.32750961E8</v>
      </c>
    </row>
    <row r="1319">
      <c r="A1319" s="73" t="s">
        <v>1909</v>
      </c>
      <c r="B1319" s="72">
        <v>8.2190714E7</v>
      </c>
      <c r="C1319" s="74">
        <v>46228.67512303241</v>
      </c>
      <c r="D1319" s="2" t="s">
        <v>653</v>
      </c>
      <c r="F1319" s="2" t="s">
        <v>1911</v>
      </c>
      <c r="G1319" s="72">
        <v>3.28582466E8</v>
      </c>
    </row>
    <row r="1320">
      <c r="A1320" s="73" t="s">
        <v>1909</v>
      </c>
      <c r="B1320" s="72">
        <v>8.2190714E7</v>
      </c>
      <c r="C1320" s="74">
        <v>46230.65989369213</v>
      </c>
      <c r="D1320" s="2" t="s">
        <v>653</v>
      </c>
      <c r="F1320" s="2" t="s">
        <v>1912</v>
      </c>
      <c r="G1320" s="72">
        <v>3.29989013E8</v>
      </c>
    </row>
    <row r="1321">
      <c r="A1321" s="73" t="s">
        <v>1909</v>
      </c>
      <c r="B1321" s="72">
        <v>8.2190714E7</v>
      </c>
      <c r="C1321" s="74">
        <v>46228.96022047454</v>
      </c>
      <c r="D1321" s="2" t="s">
        <v>628</v>
      </c>
      <c r="F1321" s="2" t="s">
        <v>1913</v>
      </c>
      <c r="G1321" s="72">
        <v>3.2886277E8</v>
      </c>
    </row>
    <row r="1322">
      <c r="A1322" s="73" t="s">
        <v>1909</v>
      </c>
      <c r="B1322" s="72">
        <v>8.2190714E7</v>
      </c>
      <c r="C1322" s="74">
        <v>46227.75239987268</v>
      </c>
      <c r="D1322" s="2" t="s">
        <v>628</v>
      </c>
      <c r="F1322" s="2" t="s">
        <v>1914</v>
      </c>
      <c r="G1322" s="72">
        <v>3.27870782E8</v>
      </c>
    </row>
    <row r="1323">
      <c r="A1323" s="73" t="s">
        <v>1909</v>
      </c>
      <c r="B1323" s="72">
        <v>8.2190714E7</v>
      </c>
      <c r="C1323" s="74">
        <v>46228.675114537036</v>
      </c>
      <c r="D1323" s="2" t="s">
        <v>653</v>
      </c>
      <c r="F1323" s="2" t="s">
        <v>1915</v>
      </c>
      <c r="G1323" s="72">
        <v>3.28582456E8</v>
      </c>
    </row>
    <row r="1324">
      <c r="A1324" s="73" t="s">
        <v>1909</v>
      </c>
      <c r="B1324" s="72">
        <v>8.2190714E7</v>
      </c>
      <c r="C1324" s="74">
        <v>46228.675118541665</v>
      </c>
      <c r="D1324" s="2" t="s">
        <v>653</v>
      </c>
      <c r="F1324" s="2" t="s">
        <v>1911</v>
      </c>
      <c r="G1324" s="72">
        <v>3.2858246E8</v>
      </c>
    </row>
    <row r="1325">
      <c r="A1325" s="73" t="s">
        <v>1909</v>
      </c>
      <c r="B1325" s="72">
        <v>8.2190714E7</v>
      </c>
      <c r="C1325" s="74">
        <v>46230.65989751158</v>
      </c>
      <c r="D1325" s="2" t="s">
        <v>653</v>
      </c>
      <c r="F1325" s="2" t="s">
        <v>1916</v>
      </c>
      <c r="G1325" s="72">
        <v>3.29989015E8</v>
      </c>
    </row>
    <row r="1326">
      <c r="A1326" s="73" t="s">
        <v>1917</v>
      </c>
      <c r="B1326" s="72">
        <v>8.0845508E7</v>
      </c>
      <c r="C1326" s="74">
        <v>46219.806680821755</v>
      </c>
      <c r="D1326" s="2" t="s">
        <v>653</v>
      </c>
      <c r="F1326" s="2" t="s">
        <v>753</v>
      </c>
      <c r="G1326" s="72">
        <v>3.22327932E8</v>
      </c>
    </row>
    <row r="1327">
      <c r="A1327" s="73" t="s">
        <v>1917</v>
      </c>
      <c r="B1327" s="72">
        <v>8.0845508E7</v>
      </c>
      <c r="C1327" s="74">
        <v>46219.753765208334</v>
      </c>
      <c r="D1327" s="2" t="s">
        <v>628</v>
      </c>
      <c r="F1327" s="2" t="s">
        <v>1918</v>
      </c>
      <c r="G1327" s="72">
        <v>3.22253497E8</v>
      </c>
    </row>
    <row r="1328">
      <c r="A1328" s="73" t="s">
        <v>1917</v>
      </c>
      <c r="B1328" s="72">
        <v>8.0845508E7</v>
      </c>
      <c r="C1328" s="74">
        <v>46219.806688993056</v>
      </c>
      <c r="D1328" s="2" t="s">
        <v>653</v>
      </c>
      <c r="F1328" s="2" t="s">
        <v>1919</v>
      </c>
      <c r="G1328" s="72">
        <v>3.22327943E8</v>
      </c>
    </row>
    <row r="1329">
      <c r="A1329" s="73" t="s">
        <v>1917</v>
      </c>
      <c r="B1329" s="72">
        <v>8.0845508E7</v>
      </c>
      <c r="C1329" s="74">
        <v>46221.54496300926</v>
      </c>
      <c r="D1329" s="2" t="s">
        <v>628</v>
      </c>
      <c r="F1329" s="2" t="s">
        <v>630</v>
      </c>
      <c r="G1329" s="72">
        <v>3.23556378E8</v>
      </c>
    </row>
    <row r="1330">
      <c r="A1330" s="73" t="s">
        <v>1917</v>
      </c>
      <c r="B1330" s="72">
        <v>8.0845508E7</v>
      </c>
      <c r="C1330" s="74">
        <v>46224.477541354165</v>
      </c>
      <c r="D1330" s="2" t="s">
        <v>653</v>
      </c>
      <c r="F1330" s="2" t="s">
        <v>1919</v>
      </c>
      <c r="G1330" s="72">
        <v>3.25536252E8</v>
      </c>
    </row>
    <row r="1331">
      <c r="A1331" s="73" t="s">
        <v>1917</v>
      </c>
      <c r="B1331" s="72">
        <v>8.0845508E7</v>
      </c>
      <c r="C1331" s="74">
        <v>46221.96095995371</v>
      </c>
      <c r="D1331" s="2" t="s">
        <v>628</v>
      </c>
      <c r="F1331" s="2" t="s">
        <v>1920</v>
      </c>
      <c r="G1331" s="72">
        <v>3.23998429E8</v>
      </c>
    </row>
    <row r="1332">
      <c r="A1332" s="73" t="s">
        <v>1917</v>
      </c>
      <c r="B1332" s="72">
        <v>8.0845508E7</v>
      </c>
      <c r="C1332" s="74">
        <v>46224.47754635417</v>
      </c>
      <c r="D1332" s="2" t="s">
        <v>653</v>
      </c>
      <c r="F1332" s="2" t="s">
        <v>1921</v>
      </c>
      <c r="G1332" s="72">
        <v>3.25536255E8</v>
      </c>
    </row>
    <row r="1333">
      <c r="A1333" s="73" t="s">
        <v>1917</v>
      </c>
      <c r="B1333" s="72">
        <v>8.0845508E7</v>
      </c>
      <c r="C1333" s="74">
        <v>46219.806685104166</v>
      </c>
      <c r="D1333" s="2" t="s">
        <v>653</v>
      </c>
      <c r="F1333" s="2" t="s">
        <v>1922</v>
      </c>
      <c r="G1333" s="72">
        <v>3.22327939E8</v>
      </c>
    </row>
    <row r="1334">
      <c r="A1334" s="73" t="s">
        <v>1923</v>
      </c>
      <c r="B1334" s="72">
        <v>8.1839045E7</v>
      </c>
      <c r="C1334" s="74">
        <v>46226.96176193287</v>
      </c>
      <c r="D1334" s="2" t="s">
        <v>628</v>
      </c>
      <c r="F1334" s="2" t="s">
        <v>1924</v>
      </c>
      <c r="G1334" s="72">
        <v>3.2734325E8</v>
      </c>
    </row>
    <row r="1335">
      <c r="A1335" s="73" t="s">
        <v>1923</v>
      </c>
      <c r="B1335" s="72">
        <v>8.1839045E7</v>
      </c>
      <c r="C1335" s="74">
        <v>46225.81336605324</v>
      </c>
      <c r="D1335" s="2" t="s">
        <v>705</v>
      </c>
      <c r="F1335" s="2" t="s">
        <v>1925</v>
      </c>
      <c r="G1335" s="72">
        <v>3.26498325E8</v>
      </c>
    </row>
    <row r="1336">
      <c r="A1336" s="73" t="s">
        <v>1923</v>
      </c>
      <c r="B1336" s="72">
        <v>8.1839045E7</v>
      </c>
      <c r="C1336" s="74">
        <v>46225.765139375</v>
      </c>
      <c r="D1336" s="2" t="s">
        <v>705</v>
      </c>
      <c r="F1336" s="2" t="s">
        <v>1926</v>
      </c>
      <c r="G1336" s="72">
        <v>3.2645238E8</v>
      </c>
    </row>
    <row r="1337">
      <c r="A1337" s="73" t="s">
        <v>1923</v>
      </c>
      <c r="B1337" s="72">
        <v>8.1839045E7</v>
      </c>
      <c r="C1337" s="74">
        <v>46225.75355333333</v>
      </c>
      <c r="D1337" s="2" t="s">
        <v>628</v>
      </c>
      <c r="F1337" s="2" t="s">
        <v>1927</v>
      </c>
      <c r="G1337" s="72">
        <v>3.26442529E8</v>
      </c>
    </row>
    <row r="1338">
      <c r="A1338" s="73" t="s">
        <v>1923</v>
      </c>
      <c r="B1338" s="72">
        <v>8.1839045E7</v>
      </c>
      <c r="C1338" s="74">
        <v>46226.54549309028</v>
      </c>
      <c r="D1338" s="2" t="s">
        <v>628</v>
      </c>
      <c r="F1338" s="2" t="s">
        <v>630</v>
      </c>
      <c r="G1338" s="72">
        <v>3.26912117E8</v>
      </c>
    </row>
    <row r="1339">
      <c r="A1339" s="73" t="s">
        <v>1923</v>
      </c>
      <c r="B1339" s="72">
        <v>8.1839045E7</v>
      </c>
      <c r="C1339" s="74">
        <v>46225.81116668982</v>
      </c>
      <c r="D1339" s="2" t="s">
        <v>667</v>
      </c>
      <c r="E1339" s="2" t="s">
        <v>886</v>
      </c>
      <c r="F1339" s="2" t="s">
        <v>1928</v>
      </c>
      <c r="G1339" s="72">
        <v>3.26497123E8</v>
      </c>
    </row>
    <row r="1340">
      <c r="A1340" s="73" t="s">
        <v>1923</v>
      </c>
      <c r="B1340" s="72">
        <v>8.1839045E7</v>
      </c>
      <c r="C1340" s="74">
        <v>46225.81129997685</v>
      </c>
      <c r="D1340" s="2" t="s">
        <v>667</v>
      </c>
      <c r="E1340" s="2" t="s">
        <v>886</v>
      </c>
      <c r="F1340" s="2" t="s">
        <v>1929</v>
      </c>
      <c r="G1340" s="72">
        <v>3.26497218E8</v>
      </c>
    </row>
    <row r="1341">
      <c r="A1341" s="73" t="s">
        <v>1923</v>
      </c>
      <c r="B1341" s="72">
        <v>8.1839045E7</v>
      </c>
      <c r="C1341" s="74">
        <v>46225.83420291667</v>
      </c>
      <c r="D1341" s="2" t="s">
        <v>705</v>
      </c>
      <c r="F1341" s="2" t="s">
        <v>1930</v>
      </c>
      <c r="G1341" s="72">
        <v>3.26511879E8</v>
      </c>
    </row>
    <row r="1342">
      <c r="A1342" s="73" t="s">
        <v>1931</v>
      </c>
      <c r="B1342" s="72">
        <v>8.1032386E7</v>
      </c>
      <c r="C1342" s="74">
        <v>46220.756538182875</v>
      </c>
      <c r="D1342" s="2" t="s">
        <v>653</v>
      </c>
      <c r="F1342" s="2" t="s">
        <v>1932</v>
      </c>
      <c r="G1342" s="72">
        <v>3.23017235E8</v>
      </c>
    </row>
    <row r="1343">
      <c r="A1343" s="73" t="s">
        <v>1931</v>
      </c>
      <c r="B1343" s="72">
        <v>8.1032386E7</v>
      </c>
      <c r="C1343" s="74">
        <v>46221.01394373842</v>
      </c>
      <c r="D1343" s="2" t="s">
        <v>705</v>
      </c>
      <c r="F1343" s="2" t="s">
        <v>1933</v>
      </c>
      <c r="G1343" s="72">
        <v>3.23295974E8</v>
      </c>
    </row>
    <row r="1344">
      <c r="A1344" s="73" t="s">
        <v>1931</v>
      </c>
      <c r="B1344" s="72">
        <v>8.1032386E7</v>
      </c>
      <c r="C1344" s="74">
        <v>46220.75311155093</v>
      </c>
      <c r="D1344" s="2" t="s">
        <v>628</v>
      </c>
      <c r="F1344" s="2" t="s">
        <v>1934</v>
      </c>
      <c r="G1344" s="72">
        <v>3.23007282E8</v>
      </c>
    </row>
    <row r="1345">
      <c r="A1345" s="73" t="s">
        <v>1931</v>
      </c>
      <c r="B1345" s="72">
        <v>8.1032386E7</v>
      </c>
      <c r="C1345" s="74">
        <v>46221.96094420139</v>
      </c>
      <c r="D1345" s="2" t="s">
        <v>628</v>
      </c>
      <c r="F1345" s="2" t="s">
        <v>1935</v>
      </c>
      <c r="G1345" s="72">
        <v>3.23998333E8</v>
      </c>
    </row>
    <row r="1346">
      <c r="A1346" s="73" t="s">
        <v>1931</v>
      </c>
      <c r="B1346" s="72">
        <v>8.1032386E7</v>
      </c>
      <c r="C1346" s="74">
        <v>46221.03109585648</v>
      </c>
      <c r="D1346" s="2" t="s">
        <v>667</v>
      </c>
      <c r="E1346" s="2" t="s">
        <v>1332</v>
      </c>
      <c r="F1346" s="2" t="s">
        <v>1936</v>
      </c>
      <c r="G1346" s="72">
        <v>3.23307352E8</v>
      </c>
    </row>
    <row r="1347">
      <c r="A1347" s="73" t="s">
        <v>1931</v>
      </c>
      <c r="B1347" s="72">
        <v>8.1032386E7</v>
      </c>
      <c r="C1347" s="74">
        <v>46220.75653277778</v>
      </c>
      <c r="D1347" s="2" t="s">
        <v>705</v>
      </c>
      <c r="F1347" s="2" t="s">
        <v>1937</v>
      </c>
      <c r="G1347" s="72">
        <v>3.23017231E8</v>
      </c>
    </row>
    <row r="1348">
      <c r="A1348" s="73" t="s">
        <v>1938</v>
      </c>
      <c r="B1348" s="72">
        <v>8.2551295E7</v>
      </c>
      <c r="C1348" s="74">
        <v>46229.753665173615</v>
      </c>
      <c r="D1348" s="2" t="s">
        <v>628</v>
      </c>
      <c r="F1348" s="2" t="s">
        <v>1939</v>
      </c>
      <c r="G1348" s="72">
        <v>3.29433531E8</v>
      </c>
    </row>
    <row r="1349">
      <c r="A1349" s="73" t="s">
        <v>1938</v>
      </c>
      <c r="B1349" s="72">
        <v>8.2551295E7</v>
      </c>
      <c r="C1349" s="74">
        <v>46230.96132482639</v>
      </c>
      <c r="D1349" s="2" t="s">
        <v>628</v>
      </c>
      <c r="F1349" s="2" t="s">
        <v>1940</v>
      </c>
      <c r="G1349" s="72">
        <v>3.30272115E8</v>
      </c>
    </row>
    <row r="1350">
      <c r="A1350" s="73" t="s">
        <v>1941</v>
      </c>
      <c r="B1350" s="72">
        <v>8.1675138E7</v>
      </c>
      <c r="C1350" s="74">
        <v>46225.960267835646</v>
      </c>
      <c r="D1350" s="2" t="s">
        <v>628</v>
      </c>
      <c r="F1350" s="2" t="s">
        <v>1942</v>
      </c>
      <c r="G1350" s="72">
        <v>3.26629957E8</v>
      </c>
    </row>
    <row r="1351">
      <c r="A1351" s="73" t="s">
        <v>1941</v>
      </c>
      <c r="B1351" s="72">
        <v>8.1675138E7</v>
      </c>
      <c r="C1351" s="74">
        <v>46224.75118989583</v>
      </c>
      <c r="D1351" s="2" t="s">
        <v>628</v>
      </c>
      <c r="F1351" s="2" t="s">
        <v>1943</v>
      </c>
      <c r="G1351" s="72">
        <v>3.25788453E8</v>
      </c>
    </row>
    <row r="1352">
      <c r="A1352" s="73" t="s">
        <v>1944</v>
      </c>
      <c r="B1352" s="72">
        <v>8.1383264E7</v>
      </c>
      <c r="C1352" s="74">
        <v>46224.96128200232</v>
      </c>
      <c r="D1352" s="2" t="s">
        <v>628</v>
      </c>
      <c r="F1352" s="2" t="s">
        <v>1417</v>
      </c>
      <c r="G1352" s="72">
        <v>3.25990008E8</v>
      </c>
    </row>
    <row r="1353">
      <c r="A1353" s="73" t="s">
        <v>1944</v>
      </c>
      <c r="B1353" s="72">
        <v>8.1383264E7</v>
      </c>
      <c r="C1353" s="74">
        <v>46224.54491643519</v>
      </c>
      <c r="D1353" s="2" t="s">
        <v>628</v>
      </c>
      <c r="F1353" s="2" t="s">
        <v>630</v>
      </c>
      <c r="G1353" s="72">
        <v>3.25620078E8</v>
      </c>
    </row>
    <row r="1354">
      <c r="A1354" s="73" t="s">
        <v>1944</v>
      </c>
      <c r="B1354" s="72">
        <v>8.1383264E7</v>
      </c>
      <c r="C1354" s="74">
        <v>46222.75347152777</v>
      </c>
      <c r="D1354" s="2" t="s">
        <v>628</v>
      </c>
      <c r="F1354" s="2" t="s">
        <v>1416</v>
      </c>
      <c r="G1354" s="72">
        <v>3.24551301E8</v>
      </c>
    </row>
    <row r="1355">
      <c r="A1355" s="73" t="s">
        <v>1945</v>
      </c>
      <c r="B1355" s="72">
        <v>8.0843931E7</v>
      </c>
      <c r="C1355" s="74">
        <v>46221.543279895835</v>
      </c>
      <c r="D1355" s="2" t="s">
        <v>628</v>
      </c>
      <c r="F1355" s="2" t="s">
        <v>630</v>
      </c>
      <c r="G1355" s="72">
        <v>3.23534432E8</v>
      </c>
    </row>
    <row r="1356">
      <c r="A1356" s="73" t="s">
        <v>1945</v>
      </c>
      <c r="B1356" s="72">
        <v>8.0843931E7</v>
      </c>
      <c r="C1356" s="74">
        <v>46219.806769456016</v>
      </c>
      <c r="D1356" s="2" t="s">
        <v>653</v>
      </c>
      <c r="F1356" s="2" t="s">
        <v>1946</v>
      </c>
      <c r="G1356" s="72">
        <v>3.22328002E8</v>
      </c>
    </row>
    <row r="1357">
      <c r="A1357" s="73" t="s">
        <v>1945</v>
      </c>
      <c r="B1357" s="72">
        <v>8.0843931E7</v>
      </c>
      <c r="C1357" s="74">
        <v>46219.8067655787</v>
      </c>
      <c r="D1357" s="2" t="s">
        <v>653</v>
      </c>
      <c r="F1357" s="2" t="s">
        <v>1947</v>
      </c>
      <c r="G1357" s="72">
        <v>3.22327999E8</v>
      </c>
    </row>
    <row r="1358">
      <c r="A1358" s="73" t="s">
        <v>1945</v>
      </c>
      <c r="B1358" s="72">
        <v>8.0843931E7</v>
      </c>
      <c r="C1358" s="74">
        <v>46219.80675685185</v>
      </c>
      <c r="D1358" s="2" t="s">
        <v>705</v>
      </c>
      <c r="F1358" s="2" t="s">
        <v>1948</v>
      </c>
      <c r="G1358" s="72">
        <v>3.22327993E8</v>
      </c>
    </row>
    <row r="1359">
      <c r="A1359" s="73" t="s">
        <v>1945</v>
      </c>
      <c r="B1359" s="72">
        <v>8.0843931E7</v>
      </c>
      <c r="C1359" s="74">
        <v>46219.80675253472</v>
      </c>
      <c r="D1359" s="2" t="s">
        <v>705</v>
      </c>
      <c r="F1359" s="2" t="s">
        <v>722</v>
      </c>
      <c r="G1359" s="72">
        <v>3.22327987E8</v>
      </c>
    </row>
    <row r="1360">
      <c r="A1360" s="73" t="s">
        <v>1945</v>
      </c>
      <c r="B1360" s="72">
        <v>8.0843931E7</v>
      </c>
      <c r="C1360" s="74">
        <v>46219.8067609375</v>
      </c>
      <c r="D1360" s="2" t="s">
        <v>653</v>
      </c>
      <c r="F1360" s="2" t="s">
        <v>753</v>
      </c>
      <c r="G1360" s="72">
        <v>3.22327996E8</v>
      </c>
    </row>
    <row r="1361">
      <c r="A1361" s="73" t="s">
        <v>1945</v>
      </c>
      <c r="B1361" s="72">
        <v>8.0843931E7</v>
      </c>
      <c r="C1361" s="74">
        <v>46219.75344277778</v>
      </c>
      <c r="D1361" s="2" t="s">
        <v>628</v>
      </c>
      <c r="F1361" s="2" t="s">
        <v>1949</v>
      </c>
      <c r="G1361" s="72">
        <v>3.22250458E8</v>
      </c>
    </row>
    <row r="1362">
      <c r="A1362" s="73" t="s">
        <v>1945</v>
      </c>
      <c r="B1362" s="72">
        <v>8.0843931E7</v>
      </c>
      <c r="C1362" s="74">
        <v>46221.95955438657</v>
      </c>
      <c r="D1362" s="2" t="s">
        <v>628</v>
      </c>
      <c r="F1362" s="2" t="s">
        <v>1950</v>
      </c>
      <c r="G1362" s="72">
        <v>3.23990023E8</v>
      </c>
    </row>
    <row r="1363">
      <c r="A1363" s="73" t="s">
        <v>1951</v>
      </c>
      <c r="B1363" s="72">
        <v>7.9835491E7</v>
      </c>
      <c r="C1363" s="74">
        <v>46213.54531717593</v>
      </c>
      <c r="D1363" s="2" t="s">
        <v>628</v>
      </c>
      <c r="F1363" s="2" t="s">
        <v>630</v>
      </c>
      <c r="G1363" s="72">
        <v>3.1795853E8</v>
      </c>
    </row>
    <row r="1364">
      <c r="A1364" s="73" t="s">
        <v>1951</v>
      </c>
      <c r="B1364" s="72">
        <v>7.9835491E7</v>
      </c>
      <c r="C1364" s="74">
        <v>46214.96064722222</v>
      </c>
      <c r="D1364" s="2" t="s">
        <v>628</v>
      </c>
      <c r="F1364" s="2" t="s">
        <v>1952</v>
      </c>
      <c r="G1364" s="72">
        <v>3.19136354E8</v>
      </c>
    </row>
    <row r="1365">
      <c r="A1365" s="73" t="s">
        <v>1951</v>
      </c>
      <c r="C1365" s="74">
        <v>46211.75233775463</v>
      </c>
      <c r="D1365" s="2" t="s">
        <v>628</v>
      </c>
      <c r="F1365" s="2" t="s">
        <v>1953</v>
      </c>
      <c r="G1365" s="72">
        <v>3.16793374E8</v>
      </c>
    </row>
    <row r="1366">
      <c r="A1366" s="73" t="s">
        <v>1954</v>
      </c>
      <c r="B1366" s="72">
        <v>8.2080605E7</v>
      </c>
      <c r="C1366" s="74">
        <v>46226.95963990741</v>
      </c>
      <c r="D1366" s="2" t="s">
        <v>628</v>
      </c>
      <c r="F1366" s="2" t="s">
        <v>1955</v>
      </c>
      <c r="G1366" s="72">
        <v>3.27335095E8</v>
      </c>
    </row>
    <row r="1367">
      <c r="A1367" s="73" t="s">
        <v>1956</v>
      </c>
      <c r="B1367" s="72">
        <v>8.1996957E7</v>
      </c>
      <c r="C1367" s="74">
        <v>46226.751537337965</v>
      </c>
      <c r="D1367" s="2" t="s">
        <v>628</v>
      </c>
      <c r="F1367" s="2" t="s">
        <v>1957</v>
      </c>
      <c r="G1367" s="72">
        <v>3.27099772E8</v>
      </c>
    </row>
    <row r="1368">
      <c r="A1368" s="73" t="s">
        <v>1956</v>
      </c>
      <c r="B1368" s="72">
        <v>8.1996957E7</v>
      </c>
      <c r="C1368" s="74">
        <v>46229.960287291666</v>
      </c>
      <c r="D1368" s="2" t="s">
        <v>628</v>
      </c>
      <c r="F1368" s="2" t="s">
        <v>1958</v>
      </c>
      <c r="G1368" s="72">
        <v>3.29610781E8</v>
      </c>
    </row>
    <row r="1369">
      <c r="A1369" s="73" t="s">
        <v>1956</v>
      </c>
      <c r="B1369" s="72">
        <v>8.1996957E7</v>
      </c>
      <c r="C1369" s="74">
        <v>46228.543635381946</v>
      </c>
      <c r="D1369" s="2" t="s">
        <v>628</v>
      </c>
      <c r="F1369" s="2" t="s">
        <v>630</v>
      </c>
      <c r="G1369" s="72">
        <v>3.28412969E8</v>
      </c>
    </row>
    <row r="1370">
      <c r="A1370" s="73" t="s">
        <v>1959</v>
      </c>
      <c r="B1370" s="72">
        <v>7.8756093E7</v>
      </c>
      <c r="C1370" s="74">
        <v>46207.95890866898</v>
      </c>
      <c r="D1370" s="2" t="s">
        <v>628</v>
      </c>
      <c r="F1370" s="2" t="s">
        <v>1960</v>
      </c>
      <c r="G1370" s="72">
        <v>3.14474217E8</v>
      </c>
    </row>
    <row r="1371">
      <c r="A1371" s="73" t="s">
        <v>1959</v>
      </c>
      <c r="C1371" s="74">
        <v>46204.75143512731</v>
      </c>
      <c r="D1371" s="2" t="s">
        <v>628</v>
      </c>
      <c r="F1371" s="2" t="s">
        <v>1961</v>
      </c>
      <c r="G1371" s="72">
        <v>3.12183406E8</v>
      </c>
    </row>
    <row r="1372">
      <c r="A1372" s="73" t="s">
        <v>1959</v>
      </c>
      <c r="B1372" s="72">
        <v>7.8756093E7</v>
      </c>
      <c r="C1372" s="74">
        <v>46206.54324633101</v>
      </c>
      <c r="D1372" s="2" t="s">
        <v>628</v>
      </c>
      <c r="F1372" s="2" t="s">
        <v>630</v>
      </c>
      <c r="G1372" s="72">
        <v>3.13326035E8</v>
      </c>
    </row>
    <row r="1373">
      <c r="A1373" s="73" t="s">
        <v>1962</v>
      </c>
      <c r="B1373" s="72">
        <v>8.0851294E7</v>
      </c>
      <c r="C1373" s="74">
        <v>46219.806611249995</v>
      </c>
      <c r="D1373" s="2" t="s">
        <v>653</v>
      </c>
      <c r="F1373" s="2" t="s">
        <v>1963</v>
      </c>
      <c r="G1373" s="72">
        <v>3.2232787E8</v>
      </c>
    </row>
    <row r="1374">
      <c r="A1374" s="73" t="s">
        <v>1962</v>
      </c>
      <c r="B1374" s="72">
        <v>8.0851294E7</v>
      </c>
      <c r="C1374" s="74">
        <v>46221.96200719908</v>
      </c>
      <c r="D1374" s="2" t="s">
        <v>628</v>
      </c>
      <c r="F1374" s="2" t="s">
        <v>1964</v>
      </c>
      <c r="G1374" s="72">
        <v>3.24003335E8</v>
      </c>
    </row>
    <row r="1375">
      <c r="A1375" s="73" t="s">
        <v>1962</v>
      </c>
      <c r="B1375" s="72">
        <v>8.0851294E7</v>
      </c>
      <c r="C1375" s="74">
        <v>46219.754766087965</v>
      </c>
      <c r="D1375" s="2" t="s">
        <v>628</v>
      </c>
      <c r="F1375" s="2" t="s">
        <v>1965</v>
      </c>
      <c r="G1375" s="72">
        <v>3.22264709E8</v>
      </c>
    </row>
    <row r="1376">
      <c r="A1376" s="73" t="s">
        <v>1962</v>
      </c>
      <c r="B1376" s="72">
        <v>8.0851294E7</v>
      </c>
      <c r="C1376" s="74">
        <v>46219.806602453704</v>
      </c>
      <c r="D1376" s="2" t="s">
        <v>705</v>
      </c>
      <c r="F1376" s="2" t="s">
        <v>756</v>
      </c>
      <c r="G1376" s="72">
        <v>3.22327861E8</v>
      </c>
    </row>
    <row r="1377">
      <c r="A1377" s="73" t="s">
        <v>1962</v>
      </c>
      <c r="B1377" s="72">
        <v>8.0851294E7</v>
      </c>
      <c r="C1377" s="74">
        <v>46221.54502725694</v>
      </c>
      <c r="D1377" s="2" t="s">
        <v>628</v>
      </c>
      <c r="F1377" s="2" t="s">
        <v>630</v>
      </c>
      <c r="G1377" s="72">
        <v>3.23557296E8</v>
      </c>
    </row>
    <row r="1378">
      <c r="A1378" s="73" t="s">
        <v>1962</v>
      </c>
      <c r="B1378" s="72">
        <v>8.0851294E7</v>
      </c>
      <c r="C1378" s="74">
        <v>46219.80660696759</v>
      </c>
      <c r="D1378" s="2" t="s">
        <v>653</v>
      </c>
      <c r="F1378" s="2" t="s">
        <v>1966</v>
      </c>
      <c r="G1378" s="72">
        <v>3.22327867E8</v>
      </c>
    </row>
    <row r="1379">
      <c r="A1379" s="73" t="s">
        <v>1967</v>
      </c>
      <c r="B1379" s="72">
        <v>8.0518204E7</v>
      </c>
      <c r="C1379" s="74">
        <v>46217.75325009259</v>
      </c>
      <c r="D1379" s="2" t="s">
        <v>628</v>
      </c>
      <c r="F1379" s="2" t="s">
        <v>1968</v>
      </c>
      <c r="G1379" s="72">
        <v>3.20927856E8</v>
      </c>
    </row>
    <row r="1380">
      <c r="A1380" s="73" t="s">
        <v>1967</v>
      </c>
      <c r="B1380" s="72">
        <v>8.0518204E7</v>
      </c>
      <c r="C1380" s="74">
        <v>46219.54423255787</v>
      </c>
      <c r="D1380" s="2" t="s">
        <v>628</v>
      </c>
      <c r="F1380" s="2" t="s">
        <v>630</v>
      </c>
      <c r="G1380" s="72">
        <v>3.22037057E8</v>
      </c>
    </row>
    <row r="1381">
      <c r="A1381" s="73" t="s">
        <v>1967</v>
      </c>
      <c r="B1381" s="72">
        <v>8.0518204E7</v>
      </c>
      <c r="C1381" s="74">
        <v>46219.960401944445</v>
      </c>
      <c r="D1381" s="2" t="s">
        <v>628</v>
      </c>
      <c r="F1381" s="2" t="s">
        <v>1969</v>
      </c>
      <c r="G1381" s="72">
        <v>3.22476515E8</v>
      </c>
    </row>
    <row r="1382">
      <c r="A1382" s="73" t="s">
        <v>1970</v>
      </c>
      <c r="B1382" s="72">
        <v>8.1033322E7</v>
      </c>
      <c r="C1382" s="74">
        <v>46220.753353796295</v>
      </c>
      <c r="D1382" s="2" t="s">
        <v>628</v>
      </c>
      <c r="F1382" s="2" t="s">
        <v>1971</v>
      </c>
      <c r="G1382" s="72">
        <v>3.23009418E8</v>
      </c>
    </row>
    <row r="1383">
      <c r="A1383" s="73" t="s">
        <v>1970</v>
      </c>
      <c r="B1383" s="72">
        <v>8.1033322E7</v>
      </c>
      <c r="C1383" s="74">
        <v>46220.7564065162</v>
      </c>
      <c r="D1383" s="2" t="s">
        <v>653</v>
      </c>
      <c r="F1383" s="2" t="s">
        <v>1972</v>
      </c>
      <c r="G1383" s="72">
        <v>3.23017134E8</v>
      </c>
    </row>
    <row r="1384">
      <c r="A1384" s="73" t="s">
        <v>1970</v>
      </c>
      <c r="B1384" s="72">
        <v>8.1033322E7</v>
      </c>
      <c r="C1384" s="74">
        <v>46220.81101827546</v>
      </c>
      <c r="D1384" s="2" t="s">
        <v>653</v>
      </c>
      <c r="F1384" s="2" t="s">
        <v>1973</v>
      </c>
      <c r="G1384" s="72">
        <v>3.2307987E8</v>
      </c>
    </row>
    <row r="1385">
      <c r="A1385" s="73" t="s">
        <v>1970</v>
      </c>
      <c r="B1385" s="72">
        <v>8.1033322E7</v>
      </c>
      <c r="C1385" s="74">
        <v>46221.96081528935</v>
      </c>
      <c r="D1385" s="2" t="s">
        <v>628</v>
      </c>
      <c r="F1385" s="2" t="s">
        <v>1974</v>
      </c>
      <c r="G1385" s="72">
        <v>3.23997458E8</v>
      </c>
    </row>
    <row r="1386">
      <c r="A1386" s="73" t="s">
        <v>1975</v>
      </c>
      <c r="B1386" s="72">
        <v>8.152784E7</v>
      </c>
      <c r="C1386" s="74">
        <v>46223.75406364583</v>
      </c>
      <c r="D1386" s="2" t="s">
        <v>628</v>
      </c>
      <c r="F1386" s="2" t="s">
        <v>1032</v>
      </c>
      <c r="G1386" s="72">
        <v>3.25176968E8</v>
      </c>
    </row>
    <row r="1387">
      <c r="A1387" s="73" t="s">
        <v>1975</v>
      </c>
      <c r="B1387" s="72">
        <v>8.152784E7</v>
      </c>
      <c r="C1387" s="74">
        <v>46225.961502673614</v>
      </c>
      <c r="D1387" s="2" t="s">
        <v>628</v>
      </c>
      <c r="F1387" s="2" t="s">
        <v>1033</v>
      </c>
      <c r="G1387" s="72">
        <v>3.26634684E8</v>
      </c>
    </row>
    <row r="1388">
      <c r="A1388" s="73" t="s">
        <v>1975</v>
      </c>
      <c r="B1388" s="72">
        <v>8.152784E7</v>
      </c>
      <c r="C1388" s="74">
        <v>46225.5457425</v>
      </c>
      <c r="D1388" s="2" t="s">
        <v>628</v>
      </c>
      <c r="F1388" s="2" t="s">
        <v>630</v>
      </c>
      <c r="G1388" s="72">
        <v>3.26244081E8</v>
      </c>
    </row>
    <row r="1389">
      <c r="A1389" s="73" t="s">
        <v>1976</v>
      </c>
      <c r="B1389" s="72">
        <v>8.254858E7</v>
      </c>
      <c r="C1389" s="74">
        <v>46232.750147175924</v>
      </c>
      <c r="D1389" s="2" t="s">
        <v>628</v>
      </c>
      <c r="F1389" s="2" t="s">
        <v>1617</v>
      </c>
      <c r="G1389" s="72">
        <v>3.31371124E8</v>
      </c>
    </row>
    <row r="1390">
      <c r="A1390" s="73" t="s">
        <v>1976</v>
      </c>
      <c r="B1390" s="72">
        <v>8.254858E7</v>
      </c>
      <c r="C1390" s="74">
        <v>46231.543880219906</v>
      </c>
      <c r="D1390" s="2" t="s">
        <v>628</v>
      </c>
      <c r="F1390" s="2" t="s">
        <v>630</v>
      </c>
      <c r="G1390" s="72">
        <v>3.30520505E8</v>
      </c>
    </row>
    <row r="1391">
      <c r="A1391" s="73" t="s">
        <v>1976</v>
      </c>
      <c r="B1391" s="72">
        <v>8.254858E7</v>
      </c>
      <c r="C1391" s="74">
        <v>46232.96041605324</v>
      </c>
      <c r="D1391" s="2" t="s">
        <v>628</v>
      </c>
      <c r="F1391" s="2" t="s">
        <v>1977</v>
      </c>
      <c r="G1391" s="72">
        <v>3.31585752E8</v>
      </c>
    </row>
    <row r="1392">
      <c r="A1392" s="73" t="s">
        <v>1976</v>
      </c>
      <c r="B1392" s="72">
        <v>8.254858E7</v>
      </c>
      <c r="C1392" s="74">
        <v>46229.75237265046</v>
      </c>
      <c r="D1392" s="2" t="s">
        <v>628</v>
      </c>
      <c r="F1392" s="2" t="s">
        <v>1617</v>
      </c>
      <c r="G1392" s="72">
        <v>3.29425643E8</v>
      </c>
    </row>
    <row r="1393">
      <c r="A1393" s="73" t="s">
        <v>1976</v>
      </c>
      <c r="B1393" s="72">
        <v>8.254858E7</v>
      </c>
      <c r="C1393" s="74">
        <v>46233.9588549537</v>
      </c>
      <c r="D1393" s="2" t="s">
        <v>628</v>
      </c>
      <c r="F1393" s="2" t="s">
        <v>1977</v>
      </c>
      <c r="G1393" s="72">
        <v>3.32299585E8</v>
      </c>
    </row>
    <row r="1394">
      <c r="A1394" s="73" t="s">
        <v>1978</v>
      </c>
      <c r="B1394" s="72">
        <v>8.063008E7</v>
      </c>
      <c r="C1394" s="74">
        <v>46218.96089869213</v>
      </c>
      <c r="D1394" s="2" t="s">
        <v>628</v>
      </c>
      <c r="F1394" s="2" t="s">
        <v>1979</v>
      </c>
      <c r="G1394" s="72">
        <v>3.21771901E8</v>
      </c>
    </row>
    <row r="1395">
      <c r="A1395" s="73" t="s">
        <v>1978</v>
      </c>
      <c r="B1395" s="72">
        <v>8.063008E7</v>
      </c>
      <c r="C1395" s="74">
        <v>46218.544417094905</v>
      </c>
      <c r="D1395" s="2" t="s">
        <v>628</v>
      </c>
      <c r="F1395" s="2" t="s">
        <v>630</v>
      </c>
      <c r="G1395" s="72">
        <v>3.21371154E8</v>
      </c>
    </row>
    <row r="1396">
      <c r="A1396" s="73" t="s">
        <v>1978</v>
      </c>
      <c r="C1396" s="74">
        <v>46216.75315278935</v>
      </c>
      <c r="D1396" s="2" t="s">
        <v>628</v>
      </c>
      <c r="F1396" s="2" t="s">
        <v>1980</v>
      </c>
      <c r="G1396" s="72">
        <v>3.20296515E8</v>
      </c>
    </row>
    <row r="1397">
      <c r="A1397" s="73" t="s">
        <v>1981</v>
      </c>
      <c r="B1397" s="72">
        <v>7.8466932E7</v>
      </c>
      <c r="C1397" s="74">
        <v>46206.95975850694</v>
      </c>
      <c r="D1397" s="2" t="s">
        <v>628</v>
      </c>
      <c r="F1397" s="2" t="s">
        <v>1982</v>
      </c>
      <c r="G1397" s="72">
        <v>3.13798595E8</v>
      </c>
    </row>
    <row r="1398">
      <c r="A1398" s="73" t="s">
        <v>1981</v>
      </c>
      <c r="B1398" s="72">
        <v>7.8466932E7</v>
      </c>
      <c r="C1398" s="74">
        <v>46204.7538143287</v>
      </c>
      <c r="D1398" s="2" t="s">
        <v>628</v>
      </c>
      <c r="F1398" s="2" t="s">
        <v>1983</v>
      </c>
      <c r="G1398" s="72">
        <v>3.12199526E8</v>
      </c>
    </row>
    <row r="1399">
      <c r="A1399" s="73" t="s">
        <v>1981</v>
      </c>
      <c r="B1399" s="72">
        <v>7.8466932E7</v>
      </c>
      <c r="C1399" s="74">
        <v>46206.543581192134</v>
      </c>
      <c r="D1399" s="2" t="s">
        <v>628</v>
      </c>
      <c r="F1399" s="2" t="s">
        <v>630</v>
      </c>
      <c r="G1399" s="72">
        <v>3.13329752E8</v>
      </c>
    </row>
    <row r="1400">
      <c r="A1400" s="73" t="s">
        <v>1984</v>
      </c>
      <c r="B1400" s="72">
        <v>8.2081E7</v>
      </c>
      <c r="C1400" s="74">
        <v>46225.75477975694</v>
      </c>
      <c r="D1400" s="2" t="s">
        <v>653</v>
      </c>
      <c r="F1400" s="2" t="s">
        <v>1985</v>
      </c>
      <c r="G1400" s="72">
        <v>3.26446004E8</v>
      </c>
    </row>
    <row r="1401">
      <c r="A1401" s="73" t="s">
        <v>1984</v>
      </c>
      <c r="B1401" s="72">
        <v>8.2081E7</v>
      </c>
      <c r="C1401" s="74">
        <v>46226.96043716435</v>
      </c>
      <c r="D1401" s="2" t="s">
        <v>628</v>
      </c>
      <c r="F1401" s="2" t="s">
        <v>849</v>
      </c>
      <c r="G1401" s="72">
        <v>3.2733805E8</v>
      </c>
    </row>
    <row r="1402">
      <c r="A1402" s="73" t="s">
        <v>1986</v>
      </c>
      <c r="B1402" s="72">
        <v>7.88006E7</v>
      </c>
      <c r="C1402" s="74">
        <v>46206.75138538194</v>
      </c>
      <c r="D1402" s="2" t="s">
        <v>628</v>
      </c>
      <c r="F1402" s="2" t="s">
        <v>1987</v>
      </c>
      <c r="G1402" s="72">
        <v>3.13554851E8</v>
      </c>
    </row>
    <row r="1403">
      <c r="A1403" s="73" t="s">
        <v>1986</v>
      </c>
      <c r="B1403" s="72">
        <v>7.88006E7</v>
      </c>
      <c r="C1403" s="74">
        <v>46207.95949011574</v>
      </c>
      <c r="D1403" s="2" t="s">
        <v>628</v>
      </c>
      <c r="F1403" s="2" t="s">
        <v>1988</v>
      </c>
      <c r="G1403" s="72">
        <v>3.14475757E8</v>
      </c>
    </row>
    <row r="1404">
      <c r="A1404" s="73" t="s">
        <v>1989</v>
      </c>
      <c r="B1404" s="72">
        <v>8.1029323E7</v>
      </c>
      <c r="C1404" s="74">
        <v>46220.75246905093</v>
      </c>
      <c r="D1404" s="2" t="s">
        <v>628</v>
      </c>
      <c r="F1404" s="2" t="s">
        <v>1990</v>
      </c>
      <c r="G1404" s="72">
        <v>3.2300089E8</v>
      </c>
    </row>
    <row r="1405">
      <c r="A1405" s="73" t="s">
        <v>1989</v>
      </c>
      <c r="B1405" s="72">
        <v>8.1029323E7</v>
      </c>
      <c r="C1405" s="74">
        <v>46222.959926701384</v>
      </c>
      <c r="D1405" s="2" t="s">
        <v>628</v>
      </c>
      <c r="F1405" s="2" t="s">
        <v>1991</v>
      </c>
      <c r="G1405" s="72">
        <v>3.24723333E8</v>
      </c>
    </row>
    <row r="1406">
      <c r="A1406" s="73" t="s">
        <v>1989</v>
      </c>
      <c r="B1406" s="72">
        <v>8.1029323E7</v>
      </c>
      <c r="C1406" s="74">
        <v>46222.54316678241</v>
      </c>
      <c r="D1406" s="2" t="s">
        <v>628</v>
      </c>
      <c r="F1406" s="2" t="s">
        <v>630</v>
      </c>
      <c r="G1406" s="72">
        <v>3.24317883E8</v>
      </c>
    </row>
    <row r="1407">
      <c r="A1407" s="73" t="s">
        <v>1992</v>
      </c>
      <c r="B1407" s="72">
        <v>8.2318214E7</v>
      </c>
      <c r="C1407" s="74">
        <v>46228.428215</v>
      </c>
      <c r="D1407" s="2" t="s">
        <v>705</v>
      </c>
      <c r="F1407" s="2" t="s">
        <v>1993</v>
      </c>
      <c r="G1407" s="72">
        <v>3.28280121E8</v>
      </c>
    </row>
    <row r="1408">
      <c r="A1408" s="73" t="s">
        <v>1994</v>
      </c>
      <c r="B1408" s="72">
        <v>8.2510943E7</v>
      </c>
      <c r="C1408" s="74">
        <v>46229.54517943287</v>
      </c>
      <c r="D1408" s="2" t="s">
        <v>628</v>
      </c>
      <c r="F1408" s="2" t="s">
        <v>630</v>
      </c>
      <c r="G1408" s="72">
        <v>3.29207644E8</v>
      </c>
    </row>
    <row r="1409">
      <c r="A1409" s="73" t="s">
        <v>1994</v>
      </c>
      <c r="C1409" s="74">
        <v>46227.75241934028</v>
      </c>
      <c r="D1409" s="2" t="s">
        <v>628</v>
      </c>
      <c r="F1409" s="2" t="s">
        <v>1055</v>
      </c>
      <c r="G1409" s="72">
        <v>3.27870951E8</v>
      </c>
    </row>
    <row r="1410">
      <c r="A1410" s="73" t="s">
        <v>1994</v>
      </c>
      <c r="B1410" s="72">
        <v>8.2510943E7</v>
      </c>
      <c r="C1410" s="74">
        <v>46230.96086739583</v>
      </c>
      <c r="D1410" s="2" t="s">
        <v>628</v>
      </c>
      <c r="F1410" s="2" t="s">
        <v>1056</v>
      </c>
      <c r="G1410" s="72">
        <v>3.30270709E8</v>
      </c>
    </row>
    <row r="1411">
      <c r="A1411" s="73" t="s">
        <v>1995</v>
      </c>
      <c r="B1411" s="72">
        <v>8.2271077E7</v>
      </c>
      <c r="C1411" s="74">
        <v>46226.797175115746</v>
      </c>
      <c r="D1411" s="2" t="s">
        <v>653</v>
      </c>
      <c r="F1411" s="2" t="s">
        <v>1996</v>
      </c>
      <c r="G1411" s="72">
        <v>3.27179854E8</v>
      </c>
    </row>
    <row r="1412">
      <c r="A1412" s="73" t="s">
        <v>1995</v>
      </c>
      <c r="B1412" s="72">
        <v>8.2271077E7</v>
      </c>
      <c r="C1412" s="74">
        <v>46226.797179155095</v>
      </c>
      <c r="D1412" s="2" t="s">
        <v>653</v>
      </c>
      <c r="F1412" s="2" t="s">
        <v>1997</v>
      </c>
      <c r="G1412" s="72">
        <v>3.27179857E8</v>
      </c>
    </row>
    <row r="1413">
      <c r="A1413" s="73" t="s">
        <v>1995</v>
      </c>
      <c r="B1413" s="72">
        <v>8.2271077E7</v>
      </c>
      <c r="C1413" s="74">
        <v>46227.666275069445</v>
      </c>
      <c r="D1413" s="2" t="s">
        <v>653</v>
      </c>
      <c r="F1413" s="2" t="s">
        <v>1997</v>
      </c>
      <c r="G1413" s="72">
        <v>3.27783577E8</v>
      </c>
    </row>
    <row r="1414">
      <c r="A1414" s="73" t="s">
        <v>1995</v>
      </c>
      <c r="B1414" s="72">
        <v>8.2271077E7</v>
      </c>
      <c r="C1414" s="74">
        <v>46227.95944899306</v>
      </c>
      <c r="D1414" s="2" t="s">
        <v>628</v>
      </c>
      <c r="F1414" s="2" t="s">
        <v>1998</v>
      </c>
      <c r="G1414" s="72">
        <v>3.28114264E8</v>
      </c>
    </row>
    <row r="1415">
      <c r="A1415" s="73" t="s">
        <v>1999</v>
      </c>
      <c r="B1415" s="72">
        <v>8.1026269E7</v>
      </c>
      <c r="C1415" s="74">
        <v>46221.67291981481</v>
      </c>
      <c r="D1415" s="2" t="s">
        <v>653</v>
      </c>
      <c r="F1415" s="2" t="s">
        <v>2000</v>
      </c>
      <c r="G1415" s="72">
        <v>3.23706102E8</v>
      </c>
    </row>
    <row r="1416">
      <c r="A1416" s="73" t="s">
        <v>1999</v>
      </c>
      <c r="B1416" s="72">
        <v>8.1026269E7</v>
      </c>
      <c r="C1416" s="74">
        <v>46224.47745121528</v>
      </c>
      <c r="D1416" s="2" t="s">
        <v>653</v>
      </c>
      <c r="F1416" s="2" t="s">
        <v>2001</v>
      </c>
      <c r="G1416" s="72">
        <v>3.25536227E8</v>
      </c>
    </row>
    <row r="1417">
      <c r="A1417" s="73" t="s">
        <v>1999</v>
      </c>
      <c r="B1417" s="72">
        <v>8.1026269E7</v>
      </c>
      <c r="C1417" s="74">
        <v>46221.960587152775</v>
      </c>
      <c r="D1417" s="2" t="s">
        <v>628</v>
      </c>
      <c r="F1417" s="2" t="s">
        <v>2002</v>
      </c>
      <c r="G1417" s="72">
        <v>3.23995934E8</v>
      </c>
    </row>
    <row r="1418">
      <c r="A1418" s="73" t="s">
        <v>1999</v>
      </c>
      <c r="B1418" s="72">
        <v>8.1026269E7</v>
      </c>
      <c r="C1418" s="74">
        <v>46220.751614583336</v>
      </c>
      <c r="D1418" s="2" t="s">
        <v>628</v>
      </c>
      <c r="F1418" s="2" t="s">
        <v>2003</v>
      </c>
      <c r="G1418" s="72">
        <v>3.22994564E8</v>
      </c>
    </row>
    <row r="1419">
      <c r="A1419" s="73" t="s">
        <v>1999</v>
      </c>
      <c r="B1419" s="72">
        <v>8.1026269E7</v>
      </c>
      <c r="C1419" s="74">
        <v>46220.75676668981</v>
      </c>
      <c r="D1419" s="2" t="s">
        <v>653</v>
      </c>
      <c r="F1419" s="2" t="s">
        <v>2004</v>
      </c>
      <c r="G1419" s="72">
        <v>3.23017389E8</v>
      </c>
    </row>
    <row r="1420">
      <c r="A1420" s="73" t="s">
        <v>1999</v>
      </c>
      <c r="B1420" s="72">
        <v>8.1026269E7</v>
      </c>
      <c r="C1420" s="74">
        <v>46220.756761111115</v>
      </c>
      <c r="D1420" s="2" t="s">
        <v>705</v>
      </c>
      <c r="F1420" s="2" t="s">
        <v>872</v>
      </c>
      <c r="G1420" s="72">
        <v>3.23017386E8</v>
      </c>
    </row>
    <row r="1421">
      <c r="A1421" s="73" t="s">
        <v>1999</v>
      </c>
      <c r="B1421" s="72">
        <v>8.1026269E7</v>
      </c>
      <c r="C1421" s="74">
        <v>46222.560165856485</v>
      </c>
      <c r="D1421" s="2" t="s">
        <v>653</v>
      </c>
      <c r="F1421" s="2" t="s">
        <v>2005</v>
      </c>
      <c r="G1421" s="72">
        <v>3.24367394E8</v>
      </c>
    </row>
    <row r="1422">
      <c r="A1422" s="73" t="s">
        <v>1999</v>
      </c>
      <c r="B1422" s="72">
        <v>8.1026269E7</v>
      </c>
      <c r="C1422" s="74">
        <v>46220.81103430556</v>
      </c>
      <c r="D1422" s="2" t="s">
        <v>653</v>
      </c>
      <c r="F1422" s="2" t="s">
        <v>2000</v>
      </c>
      <c r="G1422" s="72">
        <v>3.23079879E8</v>
      </c>
    </row>
    <row r="1423">
      <c r="A1423" s="73" t="s">
        <v>2006</v>
      </c>
      <c r="B1423" s="72">
        <v>8.0629715E7</v>
      </c>
      <c r="C1423" s="74">
        <v>46218.960795879626</v>
      </c>
      <c r="D1423" s="2" t="s">
        <v>628</v>
      </c>
      <c r="F1423" s="2" t="s">
        <v>2007</v>
      </c>
      <c r="G1423" s="72">
        <v>3.21771475E8</v>
      </c>
    </row>
    <row r="1424">
      <c r="A1424" s="73" t="s">
        <v>2006</v>
      </c>
      <c r="C1424" s="74">
        <v>46216.75246753472</v>
      </c>
      <c r="D1424" s="2" t="s">
        <v>628</v>
      </c>
      <c r="F1424" s="2" t="s">
        <v>2008</v>
      </c>
      <c r="G1424" s="72">
        <v>3.20292357E8</v>
      </c>
    </row>
    <row r="1425">
      <c r="A1425" s="73" t="s">
        <v>2006</v>
      </c>
      <c r="B1425" s="72">
        <v>8.0629715E7</v>
      </c>
      <c r="C1425" s="74">
        <v>46218.54429641204</v>
      </c>
      <c r="D1425" s="2" t="s">
        <v>628</v>
      </c>
      <c r="F1425" s="2" t="s">
        <v>630</v>
      </c>
      <c r="G1425" s="72">
        <v>3.21369191E8</v>
      </c>
    </row>
    <row r="1426">
      <c r="A1426" s="73" t="s">
        <v>2009</v>
      </c>
      <c r="B1426" s="72">
        <v>8.0840822E7</v>
      </c>
      <c r="C1426" s="74">
        <v>46219.75275747685</v>
      </c>
      <c r="D1426" s="2" t="s">
        <v>628</v>
      </c>
      <c r="F1426" s="2" t="s">
        <v>2010</v>
      </c>
      <c r="G1426" s="72">
        <v>3.22244464E8</v>
      </c>
    </row>
    <row r="1427">
      <c r="A1427" s="73" t="s">
        <v>2009</v>
      </c>
      <c r="B1427" s="72">
        <v>8.0840822E7</v>
      </c>
      <c r="C1427" s="74">
        <v>46220.96993840278</v>
      </c>
      <c r="D1427" s="2" t="s">
        <v>653</v>
      </c>
      <c r="F1427" s="2" t="s">
        <v>2011</v>
      </c>
      <c r="G1427" s="72">
        <v>3.23257425E8</v>
      </c>
    </row>
    <row r="1428">
      <c r="A1428" s="73" t="s">
        <v>2009</v>
      </c>
      <c r="B1428" s="72">
        <v>8.0840822E7</v>
      </c>
      <c r="C1428" s="74">
        <v>46220.96082032408</v>
      </c>
      <c r="D1428" s="2" t="s">
        <v>628</v>
      </c>
      <c r="F1428" s="2" t="s">
        <v>2012</v>
      </c>
      <c r="G1428" s="72">
        <v>3.2324634E8</v>
      </c>
    </row>
    <row r="1429">
      <c r="A1429" s="73" t="s">
        <v>2013</v>
      </c>
      <c r="B1429" s="72">
        <v>8.1218991E7</v>
      </c>
      <c r="C1429" s="74">
        <v>46221.753446041665</v>
      </c>
      <c r="D1429" s="2" t="s">
        <v>653</v>
      </c>
      <c r="F1429" s="2" t="s">
        <v>2014</v>
      </c>
      <c r="G1429" s="72">
        <v>3.23782278E8</v>
      </c>
    </row>
    <row r="1430">
      <c r="A1430" s="73" t="s">
        <v>2013</v>
      </c>
      <c r="B1430" s="72">
        <v>8.1218991E7</v>
      </c>
      <c r="C1430" s="74">
        <v>46221.75256333333</v>
      </c>
      <c r="D1430" s="2" t="s">
        <v>628</v>
      </c>
      <c r="F1430" s="2" t="s">
        <v>2015</v>
      </c>
      <c r="G1430" s="72">
        <v>3.23775774E8</v>
      </c>
    </row>
    <row r="1431">
      <c r="A1431" s="73" t="s">
        <v>2013</v>
      </c>
      <c r="B1431" s="72">
        <v>8.1218991E7</v>
      </c>
      <c r="C1431" s="74">
        <v>46223.6155278588</v>
      </c>
      <c r="D1431" s="2" t="s">
        <v>653</v>
      </c>
      <c r="F1431" s="2" t="s">
        <v>2016</v>
      </c>
      <c r="G1431" s="72">
        <v>3.25053949E8</v>
      </c>
    </row>
    <row r="1432">
      <c r="A1432" s="73" t="s">
        <v>2013</v>
      </c>
      <c r="B1432" s="72">
        <v>8.1218991E7</v>
      </c>
      <c r="C1432" s="74">
        <v>46222.967240694445</v>
      </c>
      <c r="D1432" s="2" t="s">
        <v>653</v>
      </c>
      <c r="F1432" s="2" t="s">
        <v>2017</v>
      </c>
      <c r="G1432" s="72">
        <v>3.24732623E8</v>
      </c>
    </row>
    <row r="1433">
      <c r="A1433" s="73" t="s">
        <v>2013</v>
      </c>
      <c r="B1433" s="72">
        <v>8.1218991E7</v>
      </c>
      <c r="C1433" s="74">
        <v>46225.45788667824</v>
      </c>
      <c r="D1433" s="2" t="s">
        <v>653</v>
      </c>
      <c r="F1433" s="2" t="s">
        <v>2018</v>
      </c>
      <c r="G1433" s="72">
        <v>3.26121497E8</v>
      </c>
    </row>
    <row r="1434">
      <c r="A1434" s="73" t="s">
        <v>2013</v>
      </c>
      <c r="B1434" s="72">
        <v>8.1218991E7</v>
      </c>
      <c r="C1434" s="74">
        <v>46222.96072556713</v>
      </c>
      <c r="D1434" s="2" t="s">
        <v>628</v>
      </c>
      <c r="F1434" s="2" t="s">
        <v>2019</v>
      </c>
      <c r="G1434" s="72">
        <v>3.24726106E8</v>
      </c>
    </row>
    <row r="1435">
      <c r="A1435" s="73" t="s">
        <v>2013</v>
      </c>
      <c r="B1435" s="72">
        <v>8.1218991E7</v>
      </c>
      <c r="C1435" s="74">
        <v>46222.96724376157</v>
      </c>
      <c r="D1435" s="2" t="s">
        <v>653</v>
      </c>
      <c r="F1435" s="2" t="s">
        <v>2017</v>
      </c>
      <c r="G1435" s="72">
        <v>3.24732624E8</v>
      </c>
    </row>
    <row r="1436">
      <c r="A1436" s="73" t="s">
        <v>2020</v>
      </c>
      <c r="B1436" s="72">
        <v>3.6331836E7</v>
      </c>
      <c r="C1436" s="74">
        <v>46224.75643496528</v>
      </c>
      <c r="D1436" s="2" t="s">
        <v>705</v>
      </c>
      <c r="F1436" s="2" t="s">
        <v>2021</v>
      </c>
      <c r="G1436" s="72">
        <v>3.2580696E8</v>
      </c>
    </row>
    <row r="1437">
      <c r="A1437" s="73" t="s">
        <v>2020</v>
      </c>
      <c r="B1437" s="72">
        <v>3.6331836E7</v>
      </c>
      <c r="C1437" s="74">
        <v>46224.752183379635</v>
      </c>
      <c r="D1437" s="2" t="s">
        <v>628</v>
      </c>
      <c r="F1437" s="2" t="s">
        <v>1416</v>
      </c>
      <c r="G1437" s="72">
        <v>3.25795353E8</v>
      </c>
    </row>
    <row r="1438">
      <c r="A1438" s="73" t="s">
        <v>2020</v>
      </c>
      <c r="B1438" s="72">
        <v>3.6331836E7</v>
      </c>
      <c r="C1438" s="74">
        <v>46226.960023657404</v>
      </c>
      <c r="D1438" s="2" t="s">
        <v>628</v>
      </c>
      <c r="F1438" s="2" t="s">
        <v>1417</v>
      </c>
      <c r="G1438" s="72">
        <v>3.2733634E8</v>
      </c>
    </row>
    <row r="1439">
      <c r="A1439" s="73" t="s">
        <v>2020</v>
      </c>
      <c r="B1439" s="72">
        <v>3.6331836E7</v>
      </c>
      <c r="C1439" s="74">
        <v>46226.54418416666</v>
      </c>
      <c r="D1439" s="2" t="s">
        <v>628</v>
      </c>
      <c r="F1439" s="2" t="s">
        <v>630</v>
      </c>
      <c r="G1439" s="72">
        <v>3.26896779E8</v>
      </c>
    </row>
    <row r="1440">
      <c r="A1440" s="73" t="s">
        <v>2022</v>
      </c>
      <c r="B1440" s="72">
        <v>8.3389843E7</v>
      </c>
      <c r="C1440" s="74">
        <v>46234.754173113426</v>
      </c>
      <c r="D1440" s="2" t="s">
        <v>628</v>
      </c>
      <c r="F1440" s="2" t="s">
        <v>2023</v>
      </c>
      <c r="G1440" s="72">
        <v>3.32856926E8</v>
      </c>
    </row>
    <row r="1441">
      <c r="A1441" s="73" t="s">
        <v>2024</v>
      </c>
      <c r="B1441" s="72">
        <v>8.3195462E7</v>
      </c>
      <c r="C1441" s="74">
        <v>46233.75300146991</v>
      </c>
      <c r="D1441" s="2" t="s">
        <v>628</v>
      </c>
      <c r="F1441" s="2" t="s">
        <v>1875</v>
      </c>
      <c r="G1441" s="72">
        <v>3.32075794E8</v>
      </c>
    </row>
    <row r="1442">
      <c r="A1442" s="73" t="s">
        <v>2024</v>
      </c>
      <c r="B1442" s="72">
        <v>8.3195462E7</v>
      </c>
      <c r="C1442" s="74">
        <v>46234.9614390625</v>
      </c>
      <c r="D1442" s="2" t="s">
        <v>628</v>
      </c>
      <c r="F1442" s="2" t="s">
        <v>1874</v>
      </c>
      <c r="G1442" s="72">
        <v>3.33103017E8</v>
      </c>
    </row>
    <row r="1443">
      <c r="A1443" s="73" t="s">
        <v>2025</v>
      </c>
      <c r="B1443" s="72">
        <v>8.2858323E7</v>
      </c>
      <c r="C1443" s="74">
        <v>46231.75186541666</v>
      </c>
      <c r="D1443" s="2" t="s">
        <v>628</v>
      </c>
      <c r="F1443" s="2" t="s">
        <v>1862</v>
      </c>
      <c r="G1443" s="72">
        <v>3.30720126E8</v>
      </c>
    </row>
    <row r="1444">
      <c r="A1444" s="73" t="s">
        <v>2025</v>
      </c>
      <c r="B1444" s="72">
        <v>8.2858323E7</v>
      </c>
      <c r="C1444" s="74">
        <v>46232.960519699074</v>
      </c>
      <c r="D1444" s="2" t="s">
        <v>628</v>
      </c>
      <c r="F1444" s="2" t="s">
        <v>1863</v>
      </c>
      <c r="G1444" s="72">
        <v>3.31586112E8</v>
      </c>
    </row>
    <row r="1445">
      <c r="A1445" s="73" t="s">
        <v>2026</v>
      </c>
      <c r="B1445" s="72">
        <v>7.8627954E7</v>
      </c>
      <c r="C1445" s="74">
        <v>46205.75351042824</v>
      </c>
      <c r="D1445" s="2" t="s">
        <v>628</v>
      </c>
      <c r="F1445" s="2" t="s">
        <v>2027</v>
      </c>
      <c r="G1445" s="72">
        <v>3.12841708E8</v>
      </c>
    </row>
    <row r="1446">
      <c r="A1446" s="73" t="s">
        <v>2026</v>
      </c>
      <c r="B1446" s="72">
        <v>7.8627954E7</v>
      </c>
      <c r="C1446" s="74">
        <v>46207.96141408564</v>
      </c>
      <c r="D1446" s="2" t="s">
        <v>628</v>
      </c>
      <c r="F1446" s="2" t="s">
        <v>2028</v>
      </c>
      <c r="G1446" s="72">
        <v>3.14488251E8</v>
      </c>
    </row>
    <row r="1447">
      <c r="A1447" s="73" t="s">
        <v>2026</v>
      </c>
      <c r="B1447" s="72">
        <v>7.8627954E7</v>
      </c>
      <c r="C1447" s="74">
        <v>46207.5446896875</v>
      </c>
      <c r="D1447" s="2" t="s">
        <v>628</v>
      </c>
      <c r="F1447" s="2" t="s">
        <v>630</v>
      </c>
      <c r="G1447" s="72">
        <v>3.14089349E8</v>
      </c>
    </row>
    <row r="1448">
      <c r="A1448" s="73" t="s">
        <v>2029</v>
      </c>
      <c r="B1448" s="72">
        <v>7.9704601E7</v>
      </c>
      <c r="C1448" s="74">
        <v>46212.75520358796</v>
      </c>
      <c r="D1448" s="2" t="s">
        <v>628</v>
      </c>
      <c r="F1448" s="2" t="s">
        <v>883</v>
      </c>
      <c r="G1448" s="72">
        <v>3.17451159E8</v>
      </c>
    </row>
    <row r="1449">
      <c r="A1449" s="73" t="s">
        <v>2029</v>
      </c>
      <c r="B1449" s="72">
        <v>7.9704601E7</v>
      </c>
      <c r="C1449" s="74">
        <v>46214.544654178244</v>
      </c>
      <c r="D1449" s="2" t="s">
        <v>628</v>
      </c>
      <c r="F1449" s="2" t="s">
        <v>630</v>
      </c>
      <c r="G1449" s="72">
        <v>3.1871565E8</v>
      </c>
    </row>
    <row r="1450">
      <c r="A1450" s="73" t="s">
        <v>2029</v>
      </c>
      <c r="B1450" s="72">
        <v>7.9704601E7</v>
      </c>
      <c r="C1450" s="74">
        <v>46214.960652662034</v>
      </c>
      <c r="D1450" s="2" t="s">
        <v>628</v>
      </c>
      <c r="F1450" s="2" t="s">
        <v>884</v>
      </c>
      <c r="G1450" s="72">
        <v>3.19136395E8</v>
      </c>
    </row>
    <row r="1451">
      <c r="A1451" s="73" t="s">
        <v>2030</v>
      </c>
      <c r="B1451" s="72">
        <v>8.0796161E7</v>
      </c>
      <c r="C1451" s="74">
        <v>46221.960767662036</v>
      </c>
      <c r="D1451" s="2" t="s">
        <v>628</v>
      </c>
      <c r="F1451" s="2" t="s">
        <v>2031</v>
      </c>
      <c r="G1451" s="72">
        <v>3.23997117E8</v>
      </c>
    </row>
    <row r="1452">
      <c r="A1452" s="73" t="s">
        <v>2030</v>
      </c>
      <c r="B1452" s="72">
        <v>8.0796161E7</v>
      </c>
      <c r="C1452" s="74">
        <v>46219.54476748843</v>
      </c>
      <c r="D1452" s="2" t="s">
        <v>628</v>
      </c>
      <c r="F1452" s="2" t="s">
        <v>630</v>
      </c>
      <c r="G1452" s="72">
        <v>3.22046867E8</v>
      </c>
    </row>
    <row r="1453">
      <c r="A1453" s="73" t="s">
        <v>2030</v>
      </c>
      <c r="C1453" s="74">
        <v>46217.7527165625</v>
      </c>
      <c r="D1453" s="2" t="s">
        <v>628</v>
      </c>
      <c r="F1453" s="2" t="s">
        <v>2032</v>
      </c>
      <c r="G1453" s="72">
        <v>3.20923506E8</v>
      </c>
    </row>
    <row r="1454">
      <c r="A1454" s="73" t="s">
        <v>2033</v>
      </c>
      <c r="B1454" s="72">
        <v>8.3193333E7</v>
      </c>
      <c r="C1454" s="74">
        <v>46233.75251356482</v>
      </c>
      <c r="D1454" s="2" t="s">
        <v>628</v>
      </c>
      <c r="F1454" s="2" t="s">
        <v>1535</v>
      </c>
      <c r="G1454" s="72">
        <v>3.32071352E8</v>
      </c>
    </row>
    <row r="1455">
      <c r="A1455" s="73" t="s">
        <v>2034</v>
      </c>
      <c r="B1455" s="72">
        <v>7.8322366E7</v>
      </c>
      <c r="C1455" s="74">
        <v>46204.752136828705</v>
      </c>
      <c r="D1455" s="2" t="s">
        <v>628</v>
      </c>
      <c r="F1455" s="2" t="s">
        <v>1266</v>
      </c>
      <c r="G1455" s="72">
        <v>3.12186373E8</v>
      </c>
    </row>
    <row r="1456">
      <c r="A1456" s="73" t="s">
        <v>2034</v>
      </c>
      <c r="B1456" s="72">
        <v>7.8322366E7</v>
      </c>
      <c r="C1456" s="74">
        <v>46204.960955347226</v>
      </c>
      <c r="D1456" s="2" t="s">
        <v>628</v>
      </c>
      <c r="F1456" s="2" t="s">
        <v>2035</v>
      </c>
      <c r="G1456" s="72">
        <v>3.12384882E8</v>
      </c>
    </row>
    <row r="1457">
      <c r="A1457" s="73" t="s">
        <v>2034</v>
      </c>
      <c r="B1457" s="72">
        <v>7.8322366E7</v>
      </c>
      <c r="C1457" s="74">
        <v>46206.54229550926</v>
      </c>
      <c r="D1457" s="2" t="s">
        <v>628</v>
      </c>
      <c r="F1457" s="2" t="s">
        <v>630</v>
      </c>
      <c r="G1457" s="72">
        <v>3.13319056E8</v>
      </c>
    </row>
    <row r="1458">
      <c r="A1458" s="73" t="s">
        <v>2036</v>
      </c>
      <c r="B1458" s="72">
        <v>8.2384272E7</v>
      </c>
      <c r="C1458" s="74">
        <v>46228.75226717592</v>
      </c>
      <c r="D1458" s="2" t="s">
        <v>628</v>
      </c>
      <c r="F1458" s="2" t="s">
        <v>647</v>
      </c>
      <c r="G1458" s="72">
        <v>3.28644141E8</v>
      </c>
    </row>
    <row r="1459">
      <c r="A1459" s="73" t="s">
        <v>2036</v>
      </c>
      <c r="B1459" s="72">
        <v>8.2384272E7</v>
      </c>
      <c r="C1459" s="74">
        <v>46229.960307800924</v>
      </c>
      <c r="D1459" s="2" t="s">
        <v>628</v>
      </c>
      <c r="F1459" s="2" t="s">
        <v>648</v>
      </c>
      <c r="G1459" s="72">
        <v>3.29610867E8</v>
      </c>
    </row>
    <row r="1460">
      <c r="A1460" s="73" t="s">
        <v>2037</v>
      </c>
      <c r="B1460" s="72">
        <v>8.3386659E7</v>
      </c>
      <c r="C1460" s="74">
        <v>46234.752832025464</v>
      </c>
      <c r="D1460" s="2" t="s">
        <v>628</v>
      </c>
      <c r="F1460" s="2" t="s">
        <v>1090</v>
      </c>
      <c r="G1460" s="72">
        <v>3.32849251E8</v>
      </c>
    </row>
    <row r="1461">
      <c r="A1461" s="73" t="s">
        <v>2038</v>
      </c>
      <c r="B1461" s="72">
        <v>7.84651E7</v>
      </c>
      <c r="C1461" s="74">
        <v>46207.96146099537</v>
      </c>
      <c r="D1461" s="2" t="s">
        <v>628</v>
      </c>
      <c r="F1461" s="2" t="s">
        <v>2039</v>
      </c>
      <c r="G1461" s="72">
        <v>3.14488471E8</v>
      </c>
    </row>
    <row r="1462">
      <c r="A1462" s="73" t="s">
        <v>2038</v>
      </c>
      <c r="B1462" s="72">
        <v>7.84651E7</v>
      </c>
      <c r="C1462" s="74">
        <v>46206.54517939815</v>
      </c>
      <c r="D1462" s="2" t="s">
        <v>628</v>
      </c>
      <c r="F1462" s="2" t="s">
        <v>630</v>
      </c>
      <c r="G1462" s="72">
        <v>3.13355721E8</v>
      </c>
    </row>
    <row r="1463">
      <c r="A1463" s="73" t="s">
        <v>2038</v>
      </c>
      <c r="B1463" s="72">
        <v>7.84651E7</v>
      </c>
      <c r="C1463" s="74">
        <v>46204.75333045139</v>
      </c>
      <c r="D1463" s="2" t="s">
        <v>628</v>
      </c>
      <c r="F1463" s="2" t="s">
        <v>2040</v>
      </c>
      <c r="G1463" s="72">
        <v>3.12195631E8</v>
      </c>
    </row>
    <row r="1464">
      <c r="A1464" s="73" t="s">
        <v>2041</v>
      </c>
      <c r="B1464" s="72">
        <v>8.0517728E7</v>
      </c>
      <c r="C1464" s="74">
        <v>46220.96048145833</v>
      </c>
      <c r="D1464" s="2" t="s">
        <v>628</v>
      </c>
      <c r="F1464" s="2" t="s">
        <v>2042</v>
      </c>
      <c r="G1464" s="72">
        <v>3.23245001E8</v>
      </c>
    </row>
    <row r="1465">
      <c r="A1465" s="73" t="s">
        <v>2041</v>
      </c>
      <c r="B1465" s="72">
        <v>8.0517728E7</v>
      </c>
      <c r="C1465" s="74">
        <v>46219.54464471065</v>
      </c>
      <c r="D1465" s="2" t="s">
        <v>628</v>
      </c>
      <c r="F1465" s="2" t="s">
        <v>630</v>
      </c>
      <c r="G1465" s="72">
        <v>3.22044588E8</v>
      </c>
    </row>
    <row r="1466">
      <c r="A1466" s="73" t="s">
        <v>2041</v>
      </c>
      <c r="B1466" s="72">
        <v>8.0517728E7</v>
      </c>
      <c r="C1466" s="74">
        <v>46217.753123194445</v>
      </c>
      <c r="D1466" s="2" t="s">
        <v>628</v>
      </c>
      <c r="F1466" s="2" t="s">
        <v>2043</v>
      </c>
      <c r="G1466" s="72">
        <v>3.20926683E8</v>
      </c>
    </row>
    <row r="1467">
      <c r="A1467" s="73" t="s">
        <v>2044</v>
      </c>
      <c r="B1467" s="72">
        <v>7.9356073E7</v>
      </c>
      <c r="C1467" s="74">
        <v>46210.545191550926</v>
      </c>
      <c r="D1467" s="2" t="s">
        <v>628</v>
      </c>
      <c r="F1467" s="2" t="s">
        <v>630</v>
      </c>
      <c r="G1467" s="72">
        <v>3.16032268E8</v>
      </c>
    </row>
    <row r="1468">
      <c r="A1468" s="73" t="s">
        <v>2044</v>
      </c>
      <c r="B1468" s="72">
        <v>7.9356073E7</v>
      </c>
      <c r="C1468" s="74">
        <v>46211.9619734375</v>
      </c>
      <c r="D1468" s="2" t="s">
        <v>628</v>
      </c>
      <c r="F1468" s="2" t="s">
        <v>1866</v>
      </c>
      <c r="G1468" s="72">
        <v>3.16991142E8</v>
      </c>
    </row>
    <row r="1469">
      <c r="A1469" s="73" t="s">
        <v>2044</v>
      </c>
      <c r="C1469" s="74">
        <v>46208.75327204861</v>
      </c>
      <c r="D1469" s="2" t="s">
        <v>628</v>
      </c>
      <c r="F1469" s="2" t="s">
        <v>1865</v>
      </c>
      <c r="G1469" s="72">
        <v>3.15000821E8</v>
      </c>
    </row>
    <row r="1470">
      <c r="A1470" s="73" t="s">
        <v>2045</v>
      </c>
      <c r="B1470" s="72">
        <v>8.2512374E7</v>
      </c>
      <c r="C1470" s="74">
        <v>46230.961372025464</v>
      </c>
      <c r="D1470" s="2" t="s">
        <v>628</v>
      </c>
      <c r="F1470" s="2" t="s">
        <v>2046</v>
      </c>
      <c r="G1470" s="72">
        <v>3.30272245E8</v>
      </c>
    </row>
    <row r="1471">
      <c r="A1471" s="73" t="s">
        <v>2045</v>
      </c>
      <c r="B1471" s="72">
        <v>8.2512374E7</v>
      </c>
      <c r="C1471" s="74">
        <v>46229.5458603125</v>
      </c>
      <c r="D1471" s="2" t="s">
        <v>628</v>
      </c>
      <c r="F1471" s="2" t="s">
        <v>630</v>
      </c>
      <c r="G1471" s="72">
        <v>3.29218139E8</v>
      </c>
    </row>
    <row r="1472">
      <c r="A1472" s="73" t="s">
        <v>2045</v>
      </c>
      <c r="C1472" s="74">
        <v>46227.752934027776</v>
      </c>
      <c r="D1472" s="2" t="s">
        <v>628</v>
      </c>
      <c r="F1472" s="2" t="s">
        <v>2047</v>
      </c>
      <c r="G1472" s="72">
        <v>3.27875396E8</v>
      </c>
    </row>
    <row r="1473">
      <c r="A1473" s="73" t="s">
        <v>2048</v>
      </c>
      <c r="B1473" s="72">
        <v>7.8805955E7</v>
      </c>
      <c r="C1473" s="74">
        <v>46221.69510540509</v>
      </c>
      <c r="D1473" s="2" t="s">
        <v>705</v>
      </c>
      <c r="F1473" s="2" t="s">
        <v>2049</v>
      </c>
      <c r="G1473" s="72">
        <v>3.23722002E8</v>
      </c>
    </row>
    <row r="1474">
      <c r="A1474" s="73" t="s">
        <v>2048</v>
      </c>
      <c r="B1474" s="72">
        <v>7.8805955E7</v>
      </c>
      <c r="C1474" s="74">
        <v>46207.961217662036</v>
      </c>
      <c r="D1474" s="2" t="s">
        <v>628</v>
      </c>
      <c r="F1474" s="2" t="s">
        <v>2050</v>
      </c>
      <c r="G1474" s="72">
        <v>3.14487275E8</v>
      </c>
    </row>
    <row r="1475">
      <c r="A1475" s="73" t="s">
        <v>2048</v>
      </c>
      <c r="B1475" s="72">
        <v>7.8805955E7</v>
      </c>
      <c r="C1475" s="74">
        <v>46206.75295150463</v>
      </c>
      <c r="D1475" s="2" t="s">
        <v>628</v>
      </c>
      <c r="F1475" s="2" t="s">
        <v>2051</v>
      </c>
      <c r="G1475" s="72">
        <v>3.13567175E8</v>
      </c>
    </row>
    <row r="1476">
      <c r="A1476" s="73" t="s">
        <v>2052</v>
      </c>
      <c r="B1476" s="72">
        <v>8.0322648E7</v>
      </c>
      <c r="C1476" s="74">
        <v>46218.95970648148</v>
      </c>
      <c r="D1476" s="2" t="s">
        <v>628</v>
      </c>
      <c r="F1476" s="2" t="s">
        <v>2053</v>
      </c>
      <c r="G1476" s="72">
        <v>3.21767286E8</v>
      </c>
    </row>
    <row r="1477">
      <c r="A1477" s="73" t="s">
        <v>2052</v>
      </c>
      <c r="C1477" s="74">
        <v>46214.751010798616</v>
      </c>
      <c r="D1477" s="2" t="s">
        <v>628</v>
      </c>
      <c r="F1477" s="2" t="s">
        <v>2054</v>
      </c>
      <c r="G1477" s="72">
        <v>3.1890941E8</v>
      </c>
    </row>
    <row r="1478">
      <c r="A1478" s="73" t="s">
        <v>2052</v>
      </c>
      <c r="B1478" s="72">
        <v>8.0322648E7</v>
      </c>
      <c r="C1478" s="74">
        <v>46216.54221855324</v>
      </c>
      <c r="D1478" s="2" t="s">
        <v>628</v>
      </c>
      <c r="F1478" s="2" t="s">
        <v>630</v>
      </c>
      <c r="G1478" s="72">
        <v>3.20084898E8</v>
      </c>
    </row>
    <row r="1479">
      <c r="A1479" s="73" t="s">
        <v>2055</v>
      </c>
      <c r="B1479" s="72">
        <v>7.893534E7</v>
      </c>
      <c r="C1479" s="74">
        <v>46208.960129837964</v>
      </c>
      <c r="D1479" s="2" t="s">
        <v>628</v>
      </c>
      <c r="F1479" s="2" t="s">
        <v>699</v>
      </c>
      <c r="G1479" s="72">
        <v>3.15163672E8</v>
      </c>
    </row>
    <row r="1480">
      <c r="A1480" s="73" t="s">
        <v>2055</v>
      </c>
      <c r="C1480" s="74">
        <v>46205.75093335648</v>
      </c>
      <c r="D1480" s="2" t="s">
        <v>628</v>
      </c>
      <c r="F1480" s="2" t="s">
        <v>656</v>
      </c>
      <c r="G1480" s="72">
        <v>3.12816478E8</v>
      </c>
    </row>
    <row r="1481">
      <c r="A1481" s="73" t="s">
        <v>2055</v>
      </c>
      <c r="B1481" s="72">
        <v>7.893534E7</v>
      </c>
      <c r="C1481" s="74">
        <v>46207.54342239583</v>
      </c>
      <c r="D1481" s="2" t="s">
        <v>628</v>
      </c>
      <c r="F1481" s="2" t="s">
        <v>630</v>
      </c>
      <c r="G1481" s="72">
        <v>3.14068181E8</v>
      </c>
    </row>
    <row r="1482">
      <c r="A1482" s="73" t="s">
        <v>2056</v>
      </c>
      <c r="B1482" s="72">
        <v>7.9700868E7</v>
      </c>
      <c r="C1482" s="74">
        <v>46215.961338402776</v>
      </c>
      <c r="D1482" s="2" t="s">
        <v>628</v>
      </c>
      <c r="F1482" s="2" t="s">
        <v>849</v>
      </c>
      <c r="G1482" s="72">
        <v>3.19862118E8</v>
      </c>
    </row>
    <row r="1483">
      <c r="A1483" s="73" t="s">
        <v>2056</v>
      </c>
      <c r="B1483" s="72">
        <v>7.9700868E7</v>
      </c>
      <c r="C1483" s="74">
        <v>46212.754385671295</v>
      </c>
      <c r="D1483" s="2" t="s">
        <v>628</v>
      </c>
      <c r="F1483" s="2" t="s">
        <v>775</v>
      </c>
      <c r="G1483" s="72">
        <v>3.17443917E8</v>
      </c>
    </row>
    <row r="1484">
      <c r="A1484" s="73" t="s">
        <v>2056</v>
      </c>
      <c r="B1484" s="72">
        <v>7.9700868E7</v>
      </c>
      <c r="C1484" s="74">
        <v>46214.54477709491</v>
      </c>
      <c r="D1484" s="2" t="s">
        <v>628</v>
      </c>
      <c r="F1484" s="2" t="s">
        <v>630</v>
      </c>
      <c r="G1484" s="72">
        <v>3.1871769E8</v>
      </c>
    </row>
    <row r="1485">
      <c r="A1485" s="73" t="s">
        <v>2057</v>
      </c>
      <c r="B1485" s="72">
        <v>8.2189829E7</v>
      </c>
      <c r="C1485" s="74">
        <v>46228.95962355324</v>
      </c>
      <c r="D1485" s="2" t="s">
        <v>628</v>
      </c>
      <c r="F1485" s="2" t="s">
        <v>2058</v>
      </c>
      <c r="G1485" s="72">
        <v>3.28858577E8</v>
      </c>
    </row>
    <row r="1486">
      <c r="A1486" s="73" t="s">
        <v>2057</v>
      </c>
      <c r="B1486" s="72">
        <v>8.2189829E7</v>
      </c>
      <c r="C1486" s="74">
        <v>46230.659954780094</v>
      </c>
      <c r="D1486" s="2" t="s">
        <v>653</v>
      </c>
      <c r="F1486" s="2" t="s">
        <v>2059</v>
      </c>
      <c r="G1486" s="72">
        <v>3.2998904E8</v>
      </c>
    </row>
    <row r="1487">
      <c r="A1487" s="73" t="s">
        <v>2057</v>
      </c>
      <c r="B1487" s="72">
        <v>8.2189829E7</v>
      </c>
      <c r="C1487" s="74">
        <v>46227.75208721065</v>
      </c>
      <c r="D1487" s="2" t="s">
        <v>628</v>
      </c>
      <c r="F1487" s="2" t="s">
        <v>2060</v>
      </c>
      <c r="G1487" s="72">
        <v>3.27868837E8</v>
      </c>
    </row>
    <row r="1488">
      <c r="A1488" s="73" t="s">
        <v>2057</v>
      </c>
      <c r="B1488" s="72">
        <v>8.2189829E7</v>
      </c>
      <c r="C1488" s="74">
        <v>46228.67498565972</v>
      </c>
      <c r="D1488" s="2" t="s">
        <v>653</v>
      </c>
      <c r="F1488" s="2" t="s">
        <v>2061</v>
      </c>
      <c r="G1488" s="72">
        <v>3.28582366E8</v>
      </c>
    </row>
    <row r="1489">
      <c r="A1489" s="73" t="s">
        <v>2057</v>
      </c>
      <c r="B1489" s="72">
        <v>8.2189829E7</v>
      </c>
      <c r="C1489" s="74">
        <v>46234.654654375</v>
      </c>
      <c r="D1489" s="2" t="s">
        <v>653</v>
      </c>
      <c r="F1489" s="2" t="s">
        <v>2062</v>
      </c>
      <c r="G1489" s="72">
        <v>3.32750947E8</v>
      </c>
    </row>
    <row r="1490">
      <c r="A1490" s="73" t="s">
        <v>2057</v>
      </c>
      <c r="B1490" s="72">
        <v>8.2189829E7</v>
      </c>
      <c r="C1490" s="74">
        <v>46228.674993368055</v>
      </c>
      <c r="D1490" s="2" t="s">
        <v>653</v>
      </c>
      <c r="F1490" s="2" t="s">
        <v>2063</v>
      </c>
      <c r="G1490" s="72">
        <v>3.28582382E8</v>
      </c>
    </row>
    <row r="1491">
      <c r="A1491" s="73" t="s">
        <v>2057</v>
      </c>
      <c r="B1491" s="72">
        <v>8.2189829E7</v>
      </c>
      <c r="C1491" s="74">
        <v>46228.67498940972</v>
      </c>
      <c r="D1491" s="2" t="s">
        <v>653</v>
      </c>
      <c r="F1491" s="2" t="s">
        <v>2063</v>
      </c>
      <c r="G1491" s="72">
        <v>3.28582374E8</v>
      </c>
    </row>
    <row r="1492">
      <c r="A1492" s="73" t="s">
        <v>2057</v>
      </c>
      <c r="B1492" s="72">
        <v>8.2189829E7</v>
      </c>
      <c r="C1492" s="74">
        <v>46230.65995097222</v>
      </c>
      <c r="D1492" s="2" t="s">
        <v>653</v>
      </c>
      <c r="F1492" s="2" t="s">
        <v>2064</v>
      </c>
      <c r="G1492" s="72">
        <v>3.29989037E8</v>
      </c>
    </row>
    <row r="1493">
      <c r="A1493" s="73" t="s">
        <v>2065</v>
      </c>
      <c r="B1493" s="72">
        <v>7.8281505E7</v>
      </c>
      <c r="C1493" s="74">
        <v>46204.95853318287</v>
      </c>
      <c r="D1493" s="2" t="s">
        <v>628</v>
      </c>
      <c r="F1493" s="2" t="s">
        <v>2066</v>
      </c>
      <c r="G1493" s="72">
        <v>3.1237806E8</v>
      </c>
    </row>
    <row r="1494">
      <c r="A1494" s="73" t="s">
        <v>2067</v>
      </c>
      <c r="B1494" s="72">
        <v>8.2831592E7</v>
      </c>
      <c r="C1494" s="74">
        <v>46232.95870063658</v>
      </c>
      <c r="D1494" s="2" t="s">
        <v>628</v>
      </c>
      <c r="F1494" s="2" t="s">
        <v>2068</v>
      </c>
      <c r="G1494" s="72">
        <v>3.31580724E8</v>
      </c>
    </row>
    <row r="1495">
      <c r="A1495" s="73" t="s">
        <v>2067</v>
      </c>
      <c r="B1495" s="72">
        <v>8.2831592E7</v>
      </c>
      <c r="C1495" s="74">
        <v>46231.60876711806</v>
      </c>
      <c r="D1495" s="2" t="s">
        <v>628</v>
      </c>
      <c r="F1495" s="2" t="s">
        <v>2069</v>
      </c>
      <c r="G1495" s="72">
        <v>3.30604177E8</v>
      </c>
    </row>
    <row r="1496">
      <c r="A1496" s="73" t="s">
        <v>2067</v>
      </c>
      <c r="B1496" s="72">
        <v>8.2831592E7</v>
      </c>
      <c r="C1496" s="74">
        <v>46232.54252261574</v>
      </c>
      <c r="D1496" s="2" t="s">
        <v>628</v>
      </c>
      <c r="F1496" s="2" t="s">
        <v>630</v>
      </c>
      <c r="G1496" s="72">
        <v>3.31157425E8</v>
      </c>
    </row>
    <row r="1497">
      <c r="A1497" s="73" t="s">
        <v>2070</v>
      </c>
      <c r="B1497" s="72">
        <v>8.0674479E7</v>
      </c>
      <c r="C1497" s="74">
        <v>46218.75260019676</v>
      </c>
      <c r="D1497" s="2" t="s">
        <v>628</v>
      </c>
      <c r="F1497" s="2" t="s">
        <v>774</v>
      </c>
      <c r="G1497" s="72">
        <v>3.21571904E8</v>
      </c>
    </row>
    <row r="1498">
      <c r="A1498" s="73" t="s">
        <v>2070</v>
      </c>
      <c r="B1498" s="72">
        <v>8.0674479E7</v>
      </c>
      <c r="C1498" s="74">
        <v>46221.96083795139</v>
      </c>
      <c r="D1498" s="2" t="s">
        <v>628</v>
      </c>
      <c r="F1498" s="2" t="s">
        <v>777</v>
      </c>
      <c r="G1498" s="72">
        <v>3.23997597E8</v>
      </c>
    </row>
    <row r="1499">
      <c r="A1499" s="73" t="s">
        <v>2070</v>
      </c>
      <c r="B1499" s="72">
        <v>8.0674479E7</v>
      </c>
      <c r="C1499" s="74">
        <v>46220.54517084491</v>
      </c>
      <c r="D1499" s="2" t="s">
        <v>628</v>
      </c>
      <c r="F1499" s="2" t="s">
        <v>630</v>
      </c>
      <c r="G1499" s="72">
        <v>3.22780556E8</v>
      </c>
    </row>
    <row r="1500">
      <c r="A1500" s="73" t="s">
        <v>2071</v>
      </c>
      <c r="B1500" s="72">
        <v>7.9871455E7</v>
      </c>
      <c r="C1500" s="74">
        <v>46213.719591493056</v>
      </c>
      <c r="D1500" s="2" t="s">
        <v>628</v>
      </c>
      <c r="F1500" s="2" t="s">
        <v>1875</v>
      </c>
      <c r="G1500" s="72">
        <v>3.18146626E8</v>
      </c>
    </row>
    <row r="1501">
      <c r="A1501" s="73" t="s">
        <v>2071</v>
      </c>
      <c r="B1501" s="72">
        <v>7.9871455E7</v>
      </c>
      <c r="C1501" s="74">
        <v>46213.72868021991</v>
      </c>
      <c r="D1501" s="2" t="s">
        <v>705</v>
      </c>
      <c r="F1501" s="2" t="s">
        <v>2072</v>
      </c>
      <c r="G1501" s="72">
        <v>3.18151225E8</v>
      </c>
    </row>
    <row r="1502">
      <c r="A1502" s="73" t="s">
        <v>2071</v>
      </c>
      <c r="B1502" s="72">
        <v>7.9871455E7</v>
      </c>
      <c r="C1502" s="74">
        <v>46213.959632488426</v>
      </c>
      <c r="D1502" s="2" t="s">
        <v>628</v>
      </c>
      <c r="F1502" s="2" t="s">
        <v>1874</v>
      </c>
      <c r="G1502" s="72">
        <v>3.18405312E8</v>
      </c>
    </row>
    <row r="1503">
      <c r="A1503" s="73" t="s">
        <v>2073</v>
      </c>
      <c r="B1503" s="72">
        <v>8.1954069E7</v>
      </c>
      <c r="C1503" s="74">
        <v>46226.54411377315</v>
      </c>
      <c r="D1503" s="2" t="s">
        <v>628</v>
      </c>
      <c r="F1503" s="2" t="s">
        <v>630</v>
      </c>
      <c r="G1503" s="72">
        <v>3.26895852E8</v>
      </c>
    </row>
    <row r="1504">
      <c r="A1504" s="73" t="s">
        <v>2073</v>
      </c>
      <c r="B1504" s="72">
        <v>8.1954069E7</v>
      </c>
      <c r="C1504" s="74">
        <v>46226.96020773148</v>
      </c>
      <c r="D1504" s="2" t="s">
        <v>628</v>
      </c>
      <c r="F1504" s="2" t="s">
        <v>737</v>
      </c>
      <c r="G1504" s="72">
        <v>3.27337076E8</v>
      </c>
    </row>
    <row r="1505">
      <c r="A1505" s="73" t="s">
        <v>2074</v>
      </c>
      <c r="B1505" s="72">
        <v>7.8938623E7</v>
      </c>
      <c r="C1505" s="74">
        <v>46207.54463476852</v>
      </c>
      <c r="D1505" s="2" t="s">
        <v>628</v>
      </c>
      <c r="F1505" s="2" t="s">
        <v>630</v>
      </c>
      <c r="G1505" s="72">
        <v>3.14088248E8</v>
      </c>
    </row>
    <row r="1506">
      <c r="A1506" s="73" t="s">
        <v>2074</v>
      </c>
      <c r="B1506" s="72">
        <v>7.8938623E7</v>
      </c>
      <c r="C1506" s="74">
        <v>46207.961440266205</v>
      </c>
      <c r="D1506" s="2" t="s">
        <v>628</v>
      </c>
      <c r="F1506" s="2" t="s">
        <v>2075</v>
      </c>
      <c r="G1506" s="72">
        <v>3.14488369E8</v>
      </c>
    </row>
    <row r="1507">
      <c r="A1507" s="73" t="s">
        <v>2074</v>
      </c>
      <c r="C1507" s="74">
        <v>46205.753195694444</v>
      </c>
      <c r="D1507" s="2" t="s">
        <v>628</v>
      </c>
      <c r="F1507" s="2" t="s">
        <v>775</v>
      </c>
      <c r="G1507" s="72">
        <v>3.12837901E8</v>
      </c>
    </row>
    <row r="1508">
      <c r="A1508" s="73" t="s">
        <v>2076</v>
      </c>
      <c r="B1508" s="72">
        <v>7.9563323E7</v>
      </c>
      <c r="C1508" s="74">
        <v>46211.82594618056</v>
      </c>
      <c r="D1508" s="2" t="s">
        <v>628</v>
      </c>
      <c r="F1508" s="2" t="s">
        <v>2077</v>
      </c>
      <c r="G1508" s="72">
        <v>3.16865548E8</v>
      </c>
    </row>
    <row r="1509">
      <c r="A1509" s="73" t="s">
        <v>2076</v>
      </c>
      <c r="B1509" s="72">
        <v>7.9563323E7</v>
      </c>
      <c r="C1509" s="74">
        <v>46212.96162368056</v>
      </c>
      <c r="D1509" s="2" t="s">
        <v>628</v>
      </c>
      <c r="F1509" s="2" t="s">
        <v>2078</v>
      </c>
      <c r="G1509" s="72">
        <v>3.17663676E8</v>
      </c>
    </row>
    <row r="1510">
      <c r="A1510" s="73" t="s">
        <v>2079</v>
      </c>
      <c r="B1510" s="72">
        <v>8.1383875E7</v>
      </c>
      <c r="C1510" s="74">
        <v>46224.96207447917</v>
      </c>
      <c r="D1510" s="2" t="s">
        <v>628</v>
      </c>
      <c r="F1510" s="2" t="s">
        <v>648</v>
      </c>
      <c r="G1510" s="72">
        <v>3.25992049E8</v>
      </c>
    </row>
    <row r="1511">
      <c r="A1511" s="73" t="s">
        <v>2079</v>
      </c>
      <c r="B1511" s="72">
        <v>8.1383875E7</v>
      </c>
      <c r="C1511" s="74">
        <v>46222.75387064814</v>
      </c>
      <c r="D1511" s="2" t="s">
        <v>628</v>
      </c>
      <c r="F1511" s="2" t="s">
        <v>647</v>
      </c>
      <c r="G1511" s="72">
        <v>3.2455303E8</v>
      </c>
    </row>
    <row r="1512">
      <c r="A1512" s="73" t="s">
        <v>2079</v>
      </c>
      <c r="B1512" s="72">
        <v>8.1383875E7</v>
      </c>
      <c r="C1512" s="74">
        <v>46224.54501297454</v>
      </c>
      <c r="D1512" s="2" t="s">
        <v>628</v>
      </c>
      <c r="F1512" s="2" t="s">
        <v>630</v>
      </c>
      <c r="G1512" s="72">
        <v>3.25621131E8</v>
      </c>
    </row>
    <row r="1513">
      <c r="A1513" s="73" t="s">
        <v>2080</v>
      </c>
      <c r="B1513" s="72">
        <v>7.969389E7</v>
      </c>
      <c r="C1513" s="74">
        <v>46216.95962912037</v>
      </c>
      <c r="D1513" s="2" t="s">
        <v>628</v>
      </c>
      <c r="F1513" s="2" t="s">
        <v>2081</v>
      </c>
      <c r="G1513" s="72">
        <v>3.20482369E8</v>
      </c>
    </row>
    <row r="1514">
      <c r="A1514" s="73" t="s">
        <v>2080</v>
      </c>
      <c r="B1514" s="72">
        <v>7.969389E7</v>
      </c>
      <c r="C1514" s="74">
        <v>46212.75140075231</v>
      </c>
      <c r="D1514" s="2" t="s">
        <v>628</v>
      </c>
      <c r="F1514" s="2" t="s">
        <v>2082</v>
      </c>
      <c r="G1514" s="72">
        <v>3.17430042E8</v>
      </c>
    </row>
    <row r="1515">
      <c r="A1515" s="73" t="s">
        <v>2080</v>
      </c>
      <c r="B1515" s="72">
        <v>7.969389E7</v>
      </c>
      <c r="C1515" s="74">
        <v>46214.542934826386</v>
      </c>
      <c r="D1515" s="2" t="s">
        <v>628</v>
      </c>
      <c r="F1515" s="2" t="s">
        <v>630</v>
      </c>
      <c r="G1515" s="72">
        <v>3.1868858E8</v>
      </c>
    </row>
    <row r="1516">
      <c r="A1516" s="73" t="s">
        <v>2083</v>
      </c>
      <c r="B1516" s="72">
        <v>8.1215105E7</v>
      </c>
      <c r="C1516" s="74">
        <v>46224.95966881944</v>
      </c>
      <c r="D1516" s="2" t="s">
        <v>628</v>
      </c>
      <c r="F1516" s="2" t="s">
        <v>2084</v>
      </c>
      <c r="G1516" s="72">
        <v>3.25985261E8</v>
      </c>
    </row>
    <row r="1517">
      <c r="A1517" s="73" t="s">
        <v>2083</v>
      </c>
      <c r="B1517" s="72">
        <v>8.1215105E7</v>
      </c>
      <c r="C1517" s="74">
        <v>46223.542765590275</v>
      </c>
      <c r="D1517" s="2" t="s">
        <v>628</v>
      </c>
      <c r="F1517" s="2" t="s">
        <v>630</v>
      </c>
      <c r="G1517" s="72">
        <v>3.24958377E8</v>
      </c>
    </row>
    <row r="1518">
      <c r="A1518" s="73" t="s">
        <v>2083</v>
      </c>
      <c r="B1518" s="72">
        <v>8.1215105E7</v>
      </c>
      <c r="C1518" s="74">
        <v>46221.75097879629</v>
      </c>
      <c r="D1518" s="2" t="s">
        <v>628</v>
      </c>
      <c r="F1518" s="2" t="s">
        <v>2085</v>
      </c>
      <c r="G1518" s="72">
        <v>3.23765501E8</v>
      </c>
    </row>
    <row r="1519">
      <c r="A1519" s="73" t="s">
        <v>2086</v>
      </c>
      <c r="B1519" s="72">
        <v>8.0702989E7</v>
      </c>
      <c r="C1519" s="74">
        <v>46231.960214907405</v>
      </c>
      <c r="D1519" s="2" t="s">
        <v>628</v>
      </c>
      <c r="F1519" s="2" t="s">
        <v>2087</v>
      </c>
      <c r="G1519" s="72">
        <v>3.30916733E8</v>
      </c>
    </row>
    <row r="1520">
      <c r="A1520" s="73" t="s">
        <v>2086</v>
      </c>
      <c r="B1520" s="72">
        <v>8.0702989E7</v>
      </c>
      <c r="C1520" s="74">
        <v>46230.79768050926</v>
      </c>
      <c r="D1520" s="2" t="s">
        <v>705</v>
      </c>
      <c r="F1520" s="2" t="s">
        <v>2088</v>
      </c>
      <c r="G1520" s="72">
        <v>3.30115936E8</v>
      </c>
    </row>
    <row r="1521">
      <c r="A1521" s="73" t="s">
        <v>2086</v>
      </c>
      <c r="B1521" s="72">
        <v>8.0702989E7</v>
      </c>
      <c r="C1521" s="74">
        <v>46230.7522671412</v>
      </c>
      <c r="D1521" s="2" t="s">
        <v>628</v>
      </c>
      <c r="F1521" s="2" t="s">
        <v>2089</v>
      </c>
      <c r="G1521" s="72">
        <v>3.30062884E8</v>
      </c>
    </row>
    <row r="1522">
      <c r="A1522" s="73" t="s">
        <v>2086</v>
      </c>
      <c r="B1522" s="72">
        <v>8.0702989E7</v>
      </c>
      <c r="C1522" s="74">
        <v>46232.651484409726</v>
      </c>
      <c r="D1522" s="2" t="s">
        <v>653</v>
      </c>
      <c r="F1522" s="2" t="s">
        <v>2090</v>
      </c>
      <c r="G1522" s="72">
        <v>3.31295668E8</v>
      </c>
    </row>
    <row r="1523">
      <c r="A1523" s="73" t="s">
        <v>2086</v>
      </c>
      <c r="B1523" s="72">
        <v>8.0702989E7</v>
      </c>
      <c r="C1523" s="74">
        <v>46230.797694837966</v>
      </c>
      <c r="D1523" s="2" t="s">
        <v>653</v>
      </c>
      <c r="F1523" s="2" t="s">
        <v>2091</v>
      </c>
      <c r="G1523" s="72">
        <v>3.30115946E8</v>
      </c>
    </row>
    <row r="1524">
      <c r="A1524" s="73" t="s">
        <v>2086</v>
      </c>
      <c r="B1524" s="72">
        <v>8.0702989E7</v>
      </c>
      <c r="C1524" s="74">
        <v>46230.79768642361</v>
      </c>
      <c r="D1524" s="2" t="s">
        <v>705</v>
      </c>
      <c r="F1524" s="2" t="s">
        <v>2092</v>
      </c>
      <c r="G1524" s="72">
        <v>3.30115939E8</v>
      </c>
    </row>
    <row r="1525">
      <c r="A1525" s="73" t="s">
        <v>2086</v>
      </c>
      <c r="B1525" s="72">
        <v>8.0702989E7</v>
      </c>
      <c r="C1525" s="74">
        <v>46230.851899456015</v>
      </c>
      <c r="D1525" s="2" t="s">
        <v>667</v>
      </c>
      <c r="E1525" s="2" t="s">
        <v>886</v>
      </c>
      <c r="F1525" s="2" t="s">
        <v>2093</v>
      </c>
      <c r="G1525" s="72">
        <v>3.30165329E8</v>
      </c>
    </row>
    <row r="1526">
      <c r="A1526" s="73" t="s">
        <v>2086</v>
      </c>
      <c r="B1526" s="72">
        <v>8.0702989E7</v>
      </c>
      <c r="C1526" s="74">
        <v>46230.797690810185</v>
      </c>
      <c r="D1526" s="2" t="s">
        <v>705</v>
      </c>
      <c r="F1526" s="2" t="s">
        <v>2094</v>
      </c>
      <c r="G1526" s="72">
        <v>3.30115942E8</v>
      </c>
    </row>
    <row r="1527">
      <c r="A1527" s="73" t="s">
        <v>2086</v>
      </c>
      <c r="B1527" s="72">
        <v>8.0702989E7</v>
      </c>
      <c r="C1527" s="74">
        <v>46231.66800931713</v>
      </c>
      <c r="D1527" s="2" t="s">
        <v>653</v>
      </c>
      <c r="F1527" s="2" t="s">
        <v>2091</v>
      </c>
      <c r="G1527" s="72">
        <v>3.30649264E8</v>
      </c>
    </row>
    <row r="1528">
      <c r="A1528" s="73" t="s">
        <v>2095</v>
      </c>
      <c r="B1528" s="72">
        <v>8.1033206E7</v>
      </c>
      <c r="C1528" s="74">
        <v>46220.75635591435</v>
      </c>
      <c r="D1528" s="2" t="s">
        <v>653</v>
      </c>
      <c r="F1528" s="2" t="s">
        <v>2096</v>
      </c>
      <c r="G1528" s="72">
        <v>3.23017097E8</v>
      </c>
    </row>
    <row r="1529">
      <c r="A1529" s="73" t="s">
        <v>2095</v>
      </c>
      <c r="B1529" s="72">
        <v>8.1033206E7</v>
      </c>
      <c r="C1529" s="74">
        <v>46221.673061319445</v>
      </c>
      <c r="D1529" s="2" t="s">
        <v>653</v>
      </c>
      <c r="F1529" s="2" t="s">
        <v>2097</v>
      </c>
      <c r="G1529" s="72">
        <v>3.23706195E8</v>
      </c>
    </row>
    <row r="1530">
      <c r="A1530" s="73" t="s">
        <v>2095</v>
      </c>
      <c r="B1530" s="72">
        <v>8.1033206E7</v>
      </c>
      <c r="C1530" s="74">
        <v>46220.7533262963</v>
      </c>
      <c r="D1530" s="2" t="s">
        <v>628</v>
      </c>
      <c r="F1530" s="2" t="s">
        <v>2098</v>
      </c>
      <c r="G1530" s="72">
        <v>3.2300915E8</v>
      </c>
    </row>
    <row r="1531">
      <c r="A1531" s="73" t="s">
        <v>2095</v>
      </c>
      <c r="B1531" s="72">
        <v>8.1033206E7</v>
      </c>
      <c r="C1531" s="74">
        <v>46220.81091555556</v>
      </c>
      <c r="D1531" s="2" t="s">
        <v>653</v>
      </c>
      <c r="F1531" s="2" t="s">
        <v>2097</v>
      </c>
      <c r="G1531" s="72">
        <v>3.23079796E8</v>
      </c>
    </row>
    <row r="1532">
      <c r="A1532" s="73" t="s">
        <v>2095</v>
      </c>
      <c r="B1532" s="72">
        <v>8.1033206E7</v>
      </c>
      <c r="C1532" s="74">
        <v>46226.44684616898</v>
      </c>
      <c r="D1532" s="2" t="s">
        <v>653</v>
      </c>
      <c r="F1532" s="2" t="s">
        <v>2099</v>
      </c>
      <c r="G1532" s="72">
        <v>3.26769109E8</v>
      </c>
    </row>
    <row r="1533">
      <c r="A1533" s="73" t="s">
        <v>2095</v>
      </c>
      <c r="B1533" s="72">
        <v>8.1033206E7</v>
      </c>
      <c r="C1533" s="74">
        <v>46223.96150002315</v>
      </c>
      <c r="D1533" s="2" t="s">
        <v>628</v>
      </c>
      <c r="F1533" s="2" t="s">
        <v>2100</v>
      </c>
      <c r="G1533" s="72">
        <v>3.25368212E8</v>
      </c>
    </row>
    <row r="1534">
      <c r="A1534" s="73" t="s">
        <v>2095</v>
      </c>
      <c r="B1534" s="72">
        <v>8.1033206E7</v>
      </c>
      <c r="C1534" s="74">
        <v>46222.54532152778</v>
      </c>
      <c r="D1534" s="2" t="s">
        <v>628</v>
      </c>
      <c r="F1534" s="2" t="s">
        <v>630</v>
      </c>
      <c r="G1534" s="72">
        <v>3.24352281E8</v>
      </c>
    </row>
    <row r="1535">
      <c r="A1535" s="73" t="s">
        <v>2095</v>
      </c>
      <c r="B1535" s="72">
        <v>8.1033206E7</v>
      </c>
      <c r="C1535" s="74">
        <v>46226.44685064815</v>
      </c>
      <c r="D1535" s="2" t="s">
        <v>653</v>
      </c>
      <c r="F1535" s="2" t="s">
        <v>2101</v>
      </c>
      <c r="G1535" s="72">
        <v>3.26769111E8</v>
      </c>
    </row>
    <row r="1536">
      <c r="A1536" s="73" t="s">
        <v>2102</v>
      </c>
      <c r="B1536" s="72">
        <v>8.2920626E7</v>
      </c>
      <c r="C1536" s="74">
        <v>46231.95947069445</v>
      </c>
      <c r="D1536" s="2" t="s">
        <v>628</v>
      </c>
      <c r="F1536" s="2" t="s">
        <v>1998</v>
      </c>
      <c r="G1536" s="72">
        <v>3.30913611E8</v>
      </c>
    </row>
    <row r="1537">
      <c r="A1537" s="73" t="s">
        <v>2103</v>
      </c>
      <c r="B1537" s="72">
        <v>7.8801571E7</v>
      </c>
      <c r="C1537" s="74">
        <v>46207.960397268514</v>
      </c>
      <c r="D1537" s="2" t="s">
        <v>628</v>
      </c>
      <c r="F1537" s="2" t="s">
        <v>2104</v>
      </c>
      <c r="G1537" s="72">
        <v>3.14482349E8</v>
      </c>
    </row>
    <row r="1538">
      <c r="A1538" s="73" t="s">
        <v>2103</v>
      </c>
      <c r="B1538" s="72">
        <v>7.8801571E7</v>
      </c>
      <c r="C1538" s="74">
        <v>46206.75171412037</v>
      </c>
      <c r="D1538" s="2" t="s">
        <v>628</v>
      </c>
      <c r="F1538" s="2" t="s">
        <v>2105</v>
      </c>
      <c r="G1538" s="72">
        <v>3.13557051E8</v>
      </c>
    </row>
    <row r="1539">
      <c r="A1539" s="73" t="s">
        <v>2106</v>
      </c>
      <c r="B1539" s="72">
        <v>7.8614652E7</v>
      </c>
      <c r="C1539" s="74">
        <v>46205.75039262732</v>
      </c>
      <c r="D1539" s="2" t="s">
        <v>628</v>
      </c>
      <c r="F1539" s="2" t="s">
        <v>2107</v>
      </c>
      <c r="G1539" s="72">
        <v>3.12815419E8</v>
      </c>
    </row>
    <row r="1540">
      <c r="A1540" s="73" t="s">
        <v>2106</v>
      </c>
      <c r="B1540" s="72">
        <v>7.8614652E7</v>
      </c>
      <c r="C1540" s="74">
        <v>46206.9586257176</v>
      </c>
      <c r="D1540" s="2" t="s">
        <v>628</v>
      </c>
      <c r="F1540" s="2" t="s">
        <v>2108</v>
      </c>
      <c r="G1540" s="72">
        <v>3.13796661E8</v>
      </c>
    </row>
    <row r="1541">
      <c r="A1541" s="73" t="s">
        <v>2109</v>
      </c>
      <c r="B1541" s="72">
        <v>8.1031723E7</v>
      </c>
      <c r="C1541" s="74">
        <v>46221.96143696759</v>
      </c>
      <c r="D1541" s="2" t="s">
        <v>628</v>
      </c>
      <c r="F1541" s="2" t="s">
        <v>1532</v>
      </c>
      <c r="G1541" s="72">
        <v>3.2400057E8</v>
      </c>
    </row>
    <row r="1542">
      <c r="A1542" s="73" t="s">
        <v>2109</v>
      </c>
      <c r="B1542" s="72">
        <v>8.1031723E7</v>
      </c>
      <c r="C1542" s="74">
        <v>46220.75657496528</v>
      </c>
      <c r="D1542" s="2" t="s">
        <v>705</v>
      </c>
      <c r="F1542" s="2" t="s">
        <v>1392</v>
      </c>
      <c r="G1542" s="72">
        <v>3.23017256E8</v>
      </c>
    </row>
    <row r="1543">
      <c r="A1543" s="73" t="s">
        <v>2109</v>
      </c>
      <c r="B1543" s="72">
        <v>8.1031723E7</v>
      </c>
      <c r="C1543" s="74">
        <v>46220.75296398148</v>
      </c>
      <c r="D1543" s="2" t="s">
        <v>628</v>
      </c>
      <c r="F1543" s="2" t="s">
        <v>1533</v>
      </c>
      <c r="G1543" s="72">
        <v>3.23005859E8</v>
      </c>
    </row>
    <row r="1544">
      <c r="A1544" s="73" t="s">
        <v>2109</v>
      </c>
      <c r="B1544" s="72">
        <v>8.1031723E7</v>
      </c>
      <c r="C1544" s="74">
        <v>46220.75658019676</v>
      </c>
      <c r="D1544" s="2" t="s">
        <v>653</v>
      </c>
      <c r="F1544" s="2" t="s">
        <v>2110</v>
      </c>
      <c r="G1544" s="72">
        <v>3.23017258E8</v>
      </c>
    </row>
    <row r="1545">
      <c r="A1545" s="73" t="s">
        <v>2111</v>
      </c>
      <c r="B1545" s="72">
        <v>7.8804981E7</v>
      </c>
      <c r="C1545" s="74">
        <v>46206.75269284722</v>
      </c>
      <c r="D1545" s="2" t="s">
        <v>628</v>
      </c>
      <c r="F1545" s="2" t="s">
        <v>2112</v>
      </c>
      <c r="G1545" s="72">
        <v>3.13564902E8</v>
      </c>
    </row>
    <row r="1546">
      <c r="A1546" s="73" t="s">
        <v>2111</v>
      </c>
      <c r="B1546" s="72">
        <v>7.8804981E7</v>
      </c>
      <c r="C1546" s="74">
        <v>46207.961111655095</v>
      </c>
      <c r="D1546" s="2" t="s">
        <v>628</v>
      </c>
      <c r="F1546" s="2" t="s">
        <v>2113</v>
      </c>
      <c r="G1546" s="72">
        <v>3.14486779E8</v>
      </c>
    </row>
    <row r="1547">
      <c r="A1547" s="73" t="s">
        <v>2114</v>
      </c>
      <c r="B1547" s="72">
        <v>7.9110068E7</v>
      </c>
      <c r="C1547" s="74">
        <v>46210.543570625</v>
      </c>
      <c r="D1547" s="2" t="s">
        <v>628</v>
      </c>
      <c r="F1547" s="2" t="s">
        <v>630</v>
      </c>
      <c r="G1547" s="72">
        <v>3.16010505E8</v>
      </c>
    </row>
    <row r="1548">
      <c r="A1548" s="73" t="s">
        <v>2114</v>
      </c>
      <c r="B1548" s="72">
        <v>7.9110068E7</v>
      </c>
      <c r="C1548" s="74">
        <v>46211.9600471875</v>
      </c>
      <c r="D1548" s="2" t="s">
        <v>628</v>
      </c>
      <c r="F1548" s="2" t="s">
        <v>2115</v>
      </c>
      <c r="G1548" s="72">
        <v>3.16985028E8</v>
      </c>
    </row>
    <row r="1549">
      <c r="A1549" s="73" t="s">
        <v>2114</v>
      </c>
      <c r="B1549" s="72">
        <v>7.9110068E7</v>
      </c>
      <c r="C1549" s="74">
        <v>46208.75230461806</v>
      </c>
      <c r="D1549" s="2" t="s">
        <v>628</v>
      </c>
      <c r="F1549" s="2" t="s">
        <v>2116</v>
      </c>
      <c r="G1549" s="72">
        <v>3.14994189E8</v>
      </c>
    </row>
    <row r="1550">
      <c r="A1550" s="73" t="s">
        <v>2117</v>
      </c>
      <c r="B1550" s="72">
        <v>7.9110217E7</v>
      </c>
      <c r="C1550" s="74">
        <v>46210.54307747685</v>
      </c>
      <c r="D1550" s="2" t="s">
        <v>628</v>
      </c>
      <c r="F1550" s="2" t="s">
        <v>630</v>
      </c>
      <c r="G1550" s="72">
        <v>3.16004093E8</v>
      </c>
    </row>
    <row r="1551">
      <c r="A1551" s="73" t="s">
        <v>2117</v>
      </c>
      <c r="B1551" s="72">
        <v>7.9110217E7</v>
      </c>
      <c r="C1551" s="74">
        <v>46210.959720266204</v>
      </c>
      <c r="D1551" s="2" t="s">
        <v>628</v>
      </c>
      <c r="F1551" s="2" t="s">
        <v>2118</v>
      </c>
      <c r="G1551" s="72">
        <v>3.16367206E8</v>
      </c>
    </row>
    <row r="1552">
      <c r="A1552" s="73" t="s">
        <v>2117</v>
      </c>
      <c r="B1552" s="72">
        <v>7.9110217E7</v>
      </c>
      <c r="C1552" s="74">
        <v>46208.75234515047</v>
      </c>
      <c r="D1552" s="2" t="s">
        <v>628</v>
      </c>
      <c r="F1552" s="2" t="s">
        <v>2119</v>
      </c>
      <c r="G1552" s="72">
        <v>3.14994562E8</v>
      </c>
    </row>
    <row r="1553">
      <c r="A1553" s="73" t="s">
        <v>2120</v>
      </c>
      <c r="B1553" s="72">
        <v>7.9886083E7</v>
      </c>
      <c r="C1553" s="74">
        <v>46214.96169296296</v>
      </c>
      <c r="D1553" s="2" t="s">
        <v>628</v>
      </c>
      <c r="F1553" s="2" t="s">
        <v>2121</v>
      </c>
      <c r="G1553" s="72">
        <v>3.19141503E8</v>
      </c>
    </row>
    <row r="1554">
      <c r="A1554" s="73" t="s">
        <v>2120</v>
      </c>
      <c r="B1554" s="72">
        <v>7.9886083E7</v>
      </c>
      <c r="C1554" s="74">
        <v>46213.75346153935</v>
      </c>
      <c r="D1554" s="2" t="s">
        <v>628</v>
      </c>
      <c r="F1554" s="2" t="s">
        <v>2122</v>
      </c>
      <c r="G1554" s="72">
        <v>3.18185444E8</v>
      </c>
    </row>
    <row r="1555">
      <c r="A1555" s="73" t="s">
        <v>2120</v>
      </c>
      <c r="B1555" s="72">
        <v>7.9886083E7</v>
      </c>
      <c r="C1555" s="74">
        <v>46214.73704042824</v>
      </c>
      <c r="D1555" s="2" t="s">
        <v>667</v>
      </c>
      <c r="E1555" s="2" t="s">
        <v>886</v>
      </c>
      <c r="F1555" s="2" t="s">
        <v>2123</v>
      </c>
      <c r="G1555" s="72">
        <v>3.18900266E8</v>
      </c>
    </row>
    <row r="1556">
      <c r="A1556" s="73" t="s">
        <v>2124</v>
      </c>
      <c r="B1556" s="72">
        <v>7.8617698E7</v>
      </c>
      <c r="C1556" s="74">
        <v>46205.751820844904</v>
      </c>
      <c r="D1556" s="2" t="s">
        <v>628</v>
      </c>
      <c r="F1556" s="2" t="s">
        <v>2125</v>
      </c>
      <c r="G1556" s="72">
        <v>3.12821441E8</v>
      </c>
    </row>
    <row r="1557">
      <c r="A1557" s="73" t="s">
        <v>2124</v>
      </c>
      <c r="B1557" s="72">
        <v>7.8617698E7</v>
      </c>
      <c r="C1557" s="74">
        <v>46209.9598056713</v>
      </c>
      <c r="D1557" s="2" t="s">
        <v>628</v>
      </c>
      <c r="F1557" s="2" t="s">
        <v>2126</v>
      </c>
      <c r="G1557" s="72">
        <v>3.15778136E8</v>
      </c>
    </row>
    <row r="1558">
      <c r="A1558" s="73" t="s">
        <v>2124</v>
      </c>
      <c r="B1558" s="72">
        <v>7.8617698E7</v>
      </c>
      <c r="C1558" s="74">
        <v>46207.54285914352</v>
      </c>
      <c r="D1558" s="2" t="s">
        <v>628</v>
      </c>
      <c r="F1558" s="2" t="s">
        <v>630</v>
      </c>
      <c r="G1558" s="72">
        <v>3.140615E8</v>
      </c>
    </row>
    <row r="1559">
      <c r="A1559" s="73" t="s">
        <v>2127</v>
      </c>
      <c r="B1559" s="72">
        <v>8.2857033E7</v>
      </c>
      <c r="C1559" s="74">
        <v>46232.95977825232</v>
      </c>
      <c r="D1559" s="2" t="s">
        <v>628</v>
      </c>
      <c r="F1559" s="2" t="s">
        <v>2128</v>
      </c>
      <c r="G1559" s="72">
        <v>3.31583171E8</v>
      </c>
    </row>
    <row r="1560">
      <c r="A1560" s="73" t="s">
        <v>2127</v>
      </c>
      <c r="B1560" s="72">
        <v>8.2857033E7</v>
      </c>
      <c r="C1560" s="74">
        <v>46231.75110253472</v>
      </c>
      <c r="D1560" s="2" t="s">
        <v>628</v>
      </c>
      <c r="F1560" s="2" t="s">
        <v>2129</v>
      </c>
      <c r="G1560" s="72">
        <v>3.30716847E8</v>
      </c>
    </row>
    <row r="1561">
      <c r="A1561" s="73" t="s">
        <v>2127</v>
      </c>
      <c r="B1561" s="72">
        <v>8.2857033E7</v>
      </c>
      <c r="C1561" s="74">
        <v>46231.80576396991</v>
      </c>
      <c r="D1561" s="2" t="s">
        <v>653</v>
      </c>
      <c r="F1561" s="2" t="s">
        <v>2130</v>
      </c>
      <c r="G1561" s="72">
        <v>3.30780152E8</v>
      </c>
    </row>
    <row r="1562">
      <c r="A1562" s="73" t="s">
        <v>2127</v>
      </c>
      <c r="B1562" s="72">
        <v>8.2857033E7</v>
      </c>
      <c r="C1562" s="74">
        <v>46231.80576013889</v>
      </c>
      <c r="D1562" s="2" t="s">
        <v>653</v>
      </c>
      <c r="F1562" s="2" t="s">
        <v>2131</v>
      </c>
      <c r="G1562" s="72">
        <v>3.3078015E8</v>
      </c>
    </row>
    <row r="1563">
      <c r="A1563" s="73" t="s">
        <v>2132</v>
      </c>
      <c r="B1563" s="72">
        <v>8.0284591E7</v>
      </c>
      <c r="C1563" s="74">
        <v>46216.962084224535</v>
      </c>
      <c r="D1563" s="2" t="s">
        <v>628</v>
      </c>
      <c r="F1563" s="2" t="s">
        <v>648</v>
      </c>
      <c r="G1563" s="72">
        <v>3.20489018E8</v>
      </c>
    </row>
    <row r="1564">
      <c r="A1564" s="73" t="s">
        <v>2132</v>
      </c>
      <c r="B1564" s="72">
        <v>8.0284591E7</v>
      </c>
      <c r="C1564" s="74">
        <v>46215.98534584491</v>
      </c>
      <c r="D1564" s="2" t="s">
        <v>628</v>
      </c>
      <c r="F1564" s="2" t="s">
        <v>647</v>
      </c>
      <c r="G1564" s="72">
        <v>3.19878424E8</v>
      </c>
    </row>
    <row r="1565">
      <c r="A1565" s="73" t="s">
        <v>2133</v>
      </c>
      <c r="B1565" s="72">
        <v>8.0961524E7</v>
      </c>
      <c r="C1565" s="74">
        <v>46220.95856626157</v>
      </c>
      <c r="D1565" s="2" t="s">
        <v>628</v>
      </c>
      <c r="F1565" s="2" t="s">
        <v>2134</v>
      </c>
      <c r="G1565" s="72">
        <v>3.23239968E8</v>
      </c>
    </row>
    <row r="1566">
      <c r="A1566" s="73" t="s">
        <v>2133</v>
      </c>
      <c r="B1566" s="72">
        <v>8.0961524E7</v>
      </c>
      <c r="C1566" s="74">
        <v>46220.45995096065</v>
      </c>
      <c r="D1566" s="2" t="s">
        <v>628</v>
      </c>
      <c r="F1566" s="2" t="s">
        <v>2135</v>
      </c>
      <c r="G1566" s="72">
        <v>3.22636876E8</v>
      </c>
    </row>
    <row r="1567">
      <c r="A1567" s="73" t="s">
        <v>2136</v>
      </c>
      <c r="B1567" s="72">
        <v>8.0222144E7</v>
      </c>
      <c r="C1567" s="74">
        <v>46220.122634513886</v>
      </c>
      <c r="D1567" s="2" t="s">
        <v>667</v>
      </c>
      <c r="E1567" s="2" t="s">
        <v>703</v>
      </c>
      <c r="F1567" s="2" t="s">
        <v>2137</v>
      </c>
      <c r="G1567" s="72">
        <v>3.22582437E8</v>
      </c>
    </row>
    <row r="1568">
      <c r="A1568" s="73" t="s">
        <v>2136</v>
      </c>
      <c r="B1568" s="72">
        <v>8.0222144E7</v>
      </c>
      <c r="C1568" s="74">
        <v>46215.75185417824</v>
      </c>
      <c r="D1568" s="2" t="s">
        <v>628</v>
      </c>
      <c r="F1568" s="2" t="s">
        <v>2138</v>
      </c>
      <c r="G1568" s="72">
        <v>3.19672846E8</v>
      </c>
    </row>
    <row r="1569">
      <c r="A1569" s="73" t="s">
        <v>2136</v>
      </c>
      <c r="B1569" s="72">
        <v>8.0222144E7</v>
      </c>
      <c r="C1569" s="74">
        <v>46217.54376465278</v>
      </c>
      <c r="D1569" s="2" t="s">
        <v>628</v>
      </c>
      <c r="F1569" s="2" t="s">
        <v>630</v>
      </c>
      <c r="G1569" s="72">
        <v>3.20730276E8</v>
      </c>
    </row>
    <row r="1570">
      <c r="A1570" s="73" t="s">
        <v>2136</v>
      </c>
      <c r="B1570" s="72">
        <v>8.0222144E7</v>
      </c>
      <c r="C1570" s="74">
        <v>46220.1211605787</v>
      </c>
      <c r="D1570" s="2" t="s">
        <v>667</v>
      </c>
      <c r="E1570" s="2" t="s">
        <v>703</v>
      </c>
      <c r="F1570" s="2" t="s">
        <v>2139</v>
      </c>
      <c r="G1570" s="72">
        <v>3.22582123E8</v>
      </c>
    </row>
    <row r="1571">
      <c r="A1571" s="73" t="s">
        <v>2136</v>
      </c>
      <c r="B1571" s="72">
        <v>8.0222144E7</v>
      </c>
      <c r="C1571" s="74">
        <v>46220.108911006944</v>
      </c>
      <c r="D1571" s="2" t="s">
        <v>705</v>
      </c>
      <c r="F1571" s="2" t="s">
        <v>2140</v>
      </c>
      <c r="G1571" s="72">
        <v>3.22578758E8</v>
      </c>
    </row>
    <row r="1572">
      <c r="A1572" s="73" t="s">
        <v>2136</v>
      </c>
      <c r="B1572" s="72">
        <v>8.0222144E7</v>
      </c>
      <c r="C1572" s="74">
        <v>46220.12228108796</v>
      </c>
      <c r="D1572" s="2" t="s">
        <v>667</v>
      </c>
      <c r="E1572" s="2" t="s">
        <v>703</v>
      </c>
      <c r="F1572" s="2" t="s">
        <v>2141</v>
      </c>
      <c r="G1572" s="72">
        <v>3.22582365E8</v>
      </c>
    </row>
    <row r="1573">
      <c r="A1573" s="73" t="s">
        <v>2136</v>
      </c>
      <c r="B1573" s="72">
        <v>8.0222144E7</v>
      </c>
      <c r="C1573" s="74">
        <v>46221.96877061343</v>
      </c>
      <c r="D1573" s="2" t="s">
        <v>705</v>
      </c>
      <c r="F1573" s="2" t="s">
        <v>2142</v>
      </c>
      <c r="G1573" s="72">
        <v>3.2400905E8</v>
      </c>
    </row>
    <row r="1574">
      <c r="A1574" s="73" t="s">
        <v>2136</v>
      </c>
      <c r="B1574" s="72">
        <v>8.0222144E7</v>
      </c>
      <c r="C1574" s="74">
        <v>46220.12245085648</v>
      </c>
      <c r="D1574" s="2" t="s">
        <v>705</v>
      </c>
      <c r="F1574" s="2">
        <v>4.0</v>
      </c>
      <c r="G1574" s="72">
        <v>3.22582397E8</v>
      </c>
    </row>
    <row r="1575">
      <c r="A1575" s="73" t="s">
        <v>2136</v>
      </c>
      <c r="B1575" s="72">
        <v>8.0222144E7</v>
      </c>
      <c r="C1575" s="74">
        <v>46220.122666041665</v>
      </c>
      <c r="D1575" s="2" t="s">
        <v>705</v>
      </c>
      <c r="F1575" s="2" t="s">
        <v>2143</v>
      </c>
      <c r="G1575" s="72">
        <v>3.22582444E8</v>
      </c>
    </row>
    <row r="1576">
      <c r="A1576" s="73" t="s">
        <v>2136</v>
      </c>
      <c r="B1576" s="72">
        <v>8.0222144E7</v>
      </c>
      <c r="C1576" s="74">
        <v>46219.96002925926</v>
      </c>
      <c r="D1576" s="2" t="s">
        <v>628</v>
      </c>
      <c r="F1576" s="2" t="s">
        <v>2144</v>
      </c>
      <c r="G1576" s="72">
        <v>3.2247489E8</v>
      </c>
    </row>
    <row r="1577">
      <c r="A1577" s="73" t="s">
        <v>2136</v>
      </c>
      <c r="B1577" s="72">
        <v>8.0222144E7</v>
      </c>
      <c r="C1577" s="74">
        <v>46220.12144993056</v>
      </c>
      <c r="D1577" s="2" t="s">
        <v>705</v>
      </c>
      <c r="F1577" s="2" t="s">
        <v>2145</v>
      </c>
      <c r="G1577" s="72">
        <v>3.22582179E8</v>
      </c>
    </row>
    <row r="1578">
      <c r="A1578" s="73" t="s">
        <v>2146</v>
      </c>
      <c r="B1578" s="72">
        <v>8.0669181E7</v>
      </c>
      <c r="C1578" s="74">
        <v>46219.96019712963</v>
      </c>
      <c r="D1578" s="2" t="s">
        <v>628</v>
      </c>
      <c r="F1578" s="2" t="s">
        <v>981</v>
      </c>
      <c r="G1578" s="72">
        <v>3.22475538E8</v>
      </c>
    </row>
    <row r="1579">
      <c r="A1579" s="73" t="s">
        <v>2146</v>
      </c>
      <c r="B1579" s="72">
        <v>8.0669181E7</v>
      </c>
      <c r="C1579" s="74">
        <v>46218.75124604166</v>
      </c>
      <c r="D1579" s="2" t="s">
        <v>628</v>
      </c>
      <c r="F1579" s="2" t="s">
        <v>982</v>
      </c>
      <c r="G1579" s="72">
        <v>3.21560448E8</v>
      </c>
    </row>
    <row r="1580">
      <c r="A1580" s="73" t="s">
        <v>2147</v>
      </c>
      <c r="B1580" s="72">
        <v>7.8468776E7</v>
      </c>
      <c r="C1580" s="74">
        <v>46204.77994813657</v>
      </c>
      <c r="D1580" s="2" t="s">
        <v>628</v>
      </c>
      <c r="F1580" s="2" t="s">
        <v>683</v>
      </c>
      <c r="G1580" s="72">
        <v>3.12219825E8</v>
      </c>
    </row>
    <row r="1581">
      <c r="A1581" s="73" t="s">
        <v>2147</v>
      </c>
      <c r="B1581" s="72">
        <v>7.8468776E7</v>
      </c>
      <c r="C1581" s="74">
        <v>46204.78224596065</v>
      </c>
      <c r="D1581" s="2" t="s">
        <v>705</v>
      </c>
      <c r="F1581" s="2" t="s">
        <v>2148</v>
      </c>
      <c r="G1581" s="72">
        <v>3.12220912E8</v>
      </c>
    </row>
    <row r="1582">
      <c r="A1582" s="73" t="s">
        <v>2147</v>
      </c>
      <c r="B1582" s="72">
        <v>7.8468776E7</v>
      </c>
      <c r="C1582" s="74">
        <v>46204.754390277776</v>
      </c>
      <c r="D1582" s="2" t="s">
        <v>628</v>
      </c>
      <c r="F1582" s="2" t="s">
        <v>683</v>
      </c>
      <c r="G1582" s="72">
        <v>3.12203334E8</v>
      </c>
    </row>
    <row r="1583">
      <c r="A1583" s="73" t="s">
        <v>2147</v>
      </c>
      <c r="B1583" s="72">
        <v>7.8468776E7</v>
      </c>
      <c r="C1583" s="74">
        <v>46205.96202799768</v>
      </c>
      <c r="D1583" s="2" t="s">
        <v>628</v>
      </c>
      <c r="F1583" s="2" t="s">
        <v>1808</v>
      </c>
      <c r="G1583" s="72">
        <v>3.13060756E8</v>
      </c>
    </row>
    <row r="1584">
      <c r="A1584" s="73" t="s">
        <v>2149</v>
      </c>
      <c r="B1584" s="72">
        <v>7.9247287E7</v>
      </c>
      <c r="C1584" s="74">
        <v>46210.961415625</v>
      </c>
      <c r="D1584" s="2" t="s">
        <v>628</v>
      </c>
      <c r="F1584" s="2" t="s">
        <v>2150</v>
      </c>
      <c r="G1584" s="72">
        <v>3.16372603E8</v>
      </c>
    </row>
    <row r="1585">
      <c r="A1585" s="73" t="s">
        <v>2149</v>
      </c>
      <c r="B1585" s="72">
        <v>7.9247287E7</v>
      </c>
      <c r="C1585" s="74">
        <v>46209.753513460644</v>
      </c>
      <c r="D1585" s="2" t="s">
        <v>628</v>
      </c>
      <c r="F1585" s="2" t="s">
        <v>2151</v>
      </c>
      <c r="G1585" s="72">
        <v>3.15593256E8</v>
      </c>
    </row>
    <row r="1586">
      <c r="A1586" s="73" t="s">
        <v>2152</v>
      </c>
      <c r="B1586" s="72">
        <v>8.0676169E7</v>
      </c>
      <c r="C1586" s="74">
        <v>46219.961056562504</v>
      </c>
      <c r="D1586" s="2" t="s">
        <v>628</v>
      </c>
      <c r="F1586" s="2" t="s">
        <v>947</v>
      </c>
      <c r="G1586" s="72">
        <v>3.22478924E8</v>
      </c>
    </row>
    <row r="1587">
      <c r="A1587" s="73" t="s">
        <v>2152</v>
      </c>
      <c r="B1587" s="72">
        <v>8.0676169E7</v>
      </c>
      <c r="C1587" s="74">
        <v>46218.75314347222</v>
      </c>
      <c r="D1587" s="2" t="s">
        <v>628</v>
      </c>
      <c r="F1587" s="2" t="s">
        <v>943</v>
      </c>
      <c r="G1587" s="72">
        <v>3.21575683E8</v>
      </c>
    </row>
    <row r="1588">
      <c r="A1588" s="73" t="s">
        <v>2153</v>
      </c>
      <c r="B1588" s="72">
        <v>7.9703444E7</v>
      </c>
      <c r="C1588" s="74">
        <v>46212.75495832176</v>
      </c>
      <c r="D1588" s="2" t="s">
        <v>628</v>
      </c>
      <c r="F1588" s="2" t="s">
        <v>1260</v>
      </c>
      <c r="G1588" s="72">
        <v>3.17448949E8</v>
      </c>
    </row>
    <row r="1589">
      <c r="A1589" s="73" t="s">
        <v>2153</v>
      </c>
      <c r="B1589" s="72">
        <v>7.9703444E7</v>
      </c>
      <c r="C1589" s="74">
        <v>46213.96144503472</v>
      </c>
      <c r="D1589" s="2" t="s">
        <v>628</v>
      </c>
      <c r="F1589" s="2" t="s">
        <v>2154</v>
      </c>
      <c r="G1589" s="72">
        <v>3.18411095E8</v>
      </c>
    </row>
    <row r="1590">
      <c r="A1590" s="73" t="s">
        <v>2155</v>
      </c>
      <c r="B1590" s="72">
        <v>7.9075425E7</v>
      </c>
      <c r="C1590" s="74">
        <v>46209.95996879629</v>
      </c>
      <c r="D1590" s="2" t="s">
        <v>628</v>
      </c>
      <c r="F1590" s="2" t="s">
        <v>2156</v>
      </c>
      <c r="G1590" s="72">
        <v>3.15778654E8</v>
      </c>
    </row>
    <row r="1591">
      <c r="A1591" s="73" t="s">
        <v>2155</v>
      </c>
      <c r="B1591" s="72">
        <v>7.9075425E7</v>
      </c>
      <c r="C1591" s="74">
        <v>46208.54400674769</v>
      </c>
      <c r="D1591" s="2" t="s">
        <v>628</v>
      </c>
      <c r="F1591" s="2" t="s">
        <v>630</v>
      </c>
      <c r="G1591" s="72">
        <v>3.14790721E8</v>
      </c>
    </row>
    <row r="1592">
      <c r="A1592" s="73" t="s">
        <v>2155</v>
      </c>
      <c r="C1592" s="74">
        <v>46206.751778171296</v>
      </c>
      <c r="D1592" s="2" t="s">
        <v>628</v>
      </c>
      <c r="F1592" s="2" t="s">
        <v>2157</v>
      </c>
      <c r="G1592" s="72">
        <v>3.13557548E8</v>
      </c>
    </row>
    <row r="1593">
      <c r="A1593" s="73" t="s">
        <v>2158</v>
      </c>
      <c r="C1593" s="74">
        <v>46218.753417002314</v>
      </c>
      <c r="D1593" s="2" t="s">
        <v>628</v>
      </c>
      <c r="F1593" s="2" t="s">
        <v>2159</v>
      </c>
      <c r="G1593" s="72">
        <v>3.21577592E8</v>
      </c>
    </row>
    <row r="1594">
      <c r="A1594" s="73" t="s">
        <v>2158</v>
      </c>
      <c r="B1594" s="72">
        <v>8.0923982E7</v>
      </c>
      <c r="C1594" s="74">
        <v>46219.9616800463</v>
      </c>
      <c r="D1594" s="2" t="s">
        <v>628</v>
      </c>
      <c r="F1594" s="2" t="s">
        <v>2160</v>
      </c>
      <c r="G1594" s="72">
        <v>3.22481183E8</v>
      </c>
    </row>
    <row r="1595">
      <c r="A1595" s="73" t="s">
        <v>2161</v>
      </c>
      <c r="B1595" s="72">
        <v>7.8462018E7</v>
      </c>
      <c r="C1595" s="74">
        <v>46204.75252997685</v>
      </c>
      <c r="D1595" s="2" t="s">
        <v>628</v>
      </c>
      <c r="F1595" s="2" t="s">
        <v>2162</v>
      </c>
      <c r="G1595" s="72">
        <v>3.12188969E8</v>
      </c>
    </row>
    <row r="1596">
      <c r="A1596" s="73" t="s">
        <v>2161</v>
      </c>
      <c r="B1596" s="72">
        <v>7.8462018E7</v>
      </c>
      <c r="C1596" s="74">
        <v>46206.96080325231</v>
      </c>
      <c r="D1596" s="2" t="s">
        <v>628</v>
      </c>
      <c r="F1596" s="2" t="s">
        <v>2163</v>
      </c>
      <c r="G1596" s="72">
        <v>3.13802471E8</v>
      </c>
    </row>
    <row r="1597">
      <c r="A1597" s="73" t="s">
        <v>2161</v>
      </c>
      <c r="B1597" s="72">
        <v>7.8462018E7</v>
      </c>
      <c r="C1597" s="74">
        <v>46206.54498142361</v>
      </c>
      <c r="D1597" s="2" t="s">
        <v>628</v>
      </c>
      <c r="F1597" s="2" t="s">
        <v>630</v>
      </c>
      <c r="G1597" s="72">
        <v>3.133527E8</v>
      </c>
    </row>
    <row r="1598">
      <c r="A1598" s="73" t="s">
        <v>2164</v>
      </c>
      <c r="B1598" s="72">
        <v>7.9534323E7</v>
      </c>
      <c r="C1598" s="74">
        <v>46211.751249293986</v>
      </c>
      <c r="D1598" s="2" t="s">
        <v>628</v>
      </c>
      <c r="F1598" s="2" t="s">
        <v>1055</v>
      </c>
      <c r="G1598" s="72">
        <v>3.16785663E8</v>
      </c>
    </row>
    <row r="1599">
      <c r="A1599" s="73" t="s">
        <v>2164</v>
      </c>
      <c r="B1599" s="72">
        <v>7.9534323E7</v>
      </c>
      <c r="C1599" s="74">
        <v>46212.959124120374</v>
      </c>
      <c r="D1599" s="2" t="s">
        <v>628</v>
      </c>
      <c r="F1599" s="2" t="s">
        <v>1056</v>
      </c>
      <c r="G1599" s="72">
        <v>3.17654777E8</v>
      </c>
    </row>
    <row r="1600">
      <c r="A1600" s="73" t="s">
        <v>2165</v>
      </c>
      <c r="B1600" s="72">
        <v>8.2129006E7</v>
      </c>
      <c r="C1600" s="74">
        <v>46227.48663554398</v>
      </c>
      <c r="D1600" s="2" t="s">
        <v>705</v>
      </c>
      <c r="F1600" s="2" t="s">
        <v>722</v>
      </c>
      <c r="G1600" s="72">
        <v>3.27544467E8</v>
      </c>
    </row>
    <row r="1601">
      <c r="A1601" s="73" t="s">
        <v>2166</v>
      </c>
      <c r="B1601" s="72">
        <v>7.8468184E7</v>
      </c>
      <c r="C1601" s="74">
        <v>46207.75089413194</v>
      </c>
      <c r="D1601" s="2" t="s">
        <v>628</v>
      </c>
      <c r="F1601" s="2" t="s">
        <v>775</v>
      </c>
      <c r="G1601" s="72">
        <v>3.14279227E8</v>
      </c>
    </row>
    <row r="1602">
      <c r="A1602" s="73" t="s">
        <v>2166</v>
      </c>
      <c r="B1602" s="72">
        <v>7.8468184E7</v>
      </c>
      <c r="C1602" s="74">
        <v>46208.959509409724</v>
      </c>
      <c r="D1602" s="2" t="s">
        <v>628</v>
      </c>
      <c r="F1602" s="2" t="s">
        <v>2075</v>
      </c>
      <c r="G1602" s="72">
        <v>3.15161899E8</v>
      </c>
    </row>
    <row r="1603">
      <c r="A1603" s="73" t="s">
        <v>2166</v>
      </c>
      <c r="B1603" s="72">
        <v>7.8468184E7</v>
      </c>
      <c r="C1603" s="74">
        <v>46206.54553287037</v>
      </c>
      <c r="D1603" s="2" t="s">
        <v>628</v>
      </c>
      <c r="F1603" s="2" t="s">
        <v>630</v>
      </c>
      <c r="G1603" s="72">
        <v>3.13360947E8</v>
      </c>
    </row>
    <row r="1604">
      <c r="A1604" s="73" t="s">
        <v>2166</v>
      </c>
      <c r="B1604" s="72">
        <v>7.8468184E7</v>
      </c>
      <c r="C1604" s="74">
        <v>46204.75416881945</v>
      </c>
      <c r="D1604" s="2" t="s">
        <v>628</v>
      </c>
      <c r="F1604" s="2" t="s">
        <v>775</v>
      </c>
      <c r="G1604" s="72">
        <v>3.12202149E8</v>
      </c>
    </row>
    <row r="1605">
      <c r="A1605" s="73" t="s">
        <v>2166</v>
      </c>
      <c r="B1605" s="72">
        <v>7.8468184E7</v>
      </c>
      <c r="C1605" s="74">
        <v>46206.96187320602</v>
      </c>
      <c r="D1605" s="2" t="s">
        <v>628</v>
      </c>
      <c r="F1605" s="2" t="s">
        <v>2075</v>
      </c>
      <c r="G1605" s="72">
        <v>3.13805415E8</v>
      </c>
    </row>
    <row r="1606">
      <c r="A1606" s="73" t="s">
        <v>2166</v>
      </c>
      <c r="B1606" s="72">
        <v>7.8468184E7</v>
      </c>
      <c r="C1606" s="74">
        <v>46232.98681190972</v>
      </c>
      <c r="D1606" s="2" t="s">
        <v>628</v>
      </c>
      <c r="F1606" s="2" t="s">
        <v>849</v>
      </c>
      <c r="G1606" s="72">
        <v>3.31607066E8</v>
      </c>
    </row>
    <row r="1607">
      <c r="A1607" s="73" t="s">
        <v>2167</v>
      </c>
      <c r="B1607" s="72">
        <v>8.2185871E7</v>
      </c>
      <c r="C1607" s="74">
        <v>46229.54171144676</v>
      </c>
      <c r="D1607" s="2" t="s">
        <v>628</v>
      </c>
      <c r="F1607" s="2" t="s">
        <v>630</v>
      </c>
      <c r="G1607" s="72">
        <v>3.29182731E8</v>
      </c>
    </row>
    <row r="1608">
      <c r="A1608" s="73" t="s">
        <v>2167</v>
      </c>
      <c r="B1608" s="72">
        <v>8.2185871E7</v>
      </c>
      <c r="C1608" s="74">
        <v>46230.54217747685</v>
      </c>
      <c r="D1608" s="2" t="s">
        <v>628</v>
      </c>
      <c r="F1608" s="2" t="s">
        <v>630</v>
      </c>
      <c r="G1608" s="72">
        <v>3.29843481E8</v>
      </c>
    </row>
    <row r="1609">
      <c r="A1609" s="73" t="s">
        <v>2167</v>
      </c>
      <c r="B1609" s="72">
        <v>8.2185871E7</v>
      </c>
      <c r="C1609" s="74">
        <v>46227.75016311342</v>
      </c>
      <c r="D1609" s="2" t="s">
        <v>628</v>
      </c>
      <c r="F1609" s="2" t="s">
        <v>2168</v>
      </c>
      <c r="G1609" s="72">
        <v>3.27860454E8</v>
      </c>
    </row>
    <row r="1610">
      <c r="A1610" s="73" t="s">
        <v>2167</v>
      </c>
      <c r="B1610" s="72">
        <v>8.2185871E7</v>
      </c>
      <c r="C1610" s="74">
        <v>46228.7510847338</v>
      </c>
      <c r="D1610" s="2" t="s">
        <v>628</v>
      </c>
      <c r="F1610" s="2" t="s">
        <v>2168</v>
      </c>
      <c r="G1610" s="72">
        <v>3.28635879E8</v>
      </c>
    </row>
    <row r="1611">
      <c r="A1611" s="73" t="s">
        <v>2167</v>
      </c>
      <c r="B1611" s="72">
        <v>8.2185871E7</v>
      </c>
      <c r="C1611" s="74">
        <v>46229.95850446759</v>
      </c>
      <c r="D1611" s="2" t="s">
        <v>628</v>
      </c>
      <c r="F1611" s="2" t="s">
        <v>2169</v>
      </c>
      <c r="G1611" s="72">
        <v>3.29606768E8</v>
      </c>
    </row>
    <row r="1612">
      <c r="A1612" s="73" t="s">
        <v>2170</v>
      </c>
      <c r="B1612" s="72">
        <v>7.9495601E7</v>
      </c>
      <c r="C1612" s="74">
        <v>46211.5434049537</v>
      </c>
      <c r="D1612" s="2" t="s">
        <v>628</v>
      </c>
      <c r="F1612" s="2" t="s">
        <v>630</v>
      </c>
      <c r="G1612" s="72">
        <v>3.16597036E8</v>
      </c>
    </row>
    <row r="1613">
      <c r="A1613" s="73" t="s">
        <v>2170</v>
      </c>
      <c r="C1613" s="74">
        <v>46209.7518040625</v>
      </c>
      <c r="D1613" s="2" t="s">
        <v>628</v>
      </c>
      <c r="F1613" s="2" t="s">
        <v>2171</v>
      </c>
      <c r="G1613" s="72">
        <v>3.1558466E8</v>
      </c>
    </row>
    <row r="1614">
      <c r="A1614" s="73" t="s">
        <v>2170</v>
      </c>
      <c r="B1614" s="72">
        <v>7.9495601E7</v>
      </c>
      <c r="C1614" s="74">
        <v>46211.95916908565</v>
      </c>
      <c r="D1614" s="2" t="s">
        <v>628</v>
      </c>
      <c r="F1614" s="2" t="s">
        <v>2172</v>
      </c>
      <c r="G1614" s="72">
        <v>3.16982594E8</v>
      </c>
    </row>
    <row r="1615">
      <c r="A1615" s="73" t="s">
        <v>2173</v>
      </c>
      <c r="B1615" s="72">
        <v>8.3389492E7</v>
      </c>
      <c r="C1615" s="74">
        <v>46234.754100833336</v>
      </c>
      <c r="D1615" s="2" t="s">
        <v>628</v>
      </c>
      <c r="F1615" s="2" t="s">
        <v>1346</v>
      </c>
      <c r="G1615" s="72">
        <v>3.32856136E8</v>
      </c>
    </row>
    <row r="1616">
      <c r="A1616" s="73" t="s">
        <v>2174</v>
      </c>
      <c r="B1616" s="72">
        <v>7.862302E7</v>
      </c>
      <c r="C1616" s="74">
        <v>46205.75271045139</v>
      </c>
      <c r="D1616" s="2" t="s">
        <v>628</v>
      </c>
      <c r="F1616" s="2" t="s">
        <v>1086</v>
      </c>
      <c r="G1616" s="72">
        <v>3.12831817E8</v>
      </c>
    </row>
    <row r="1617">
      <c r="A1617" s="73" t="s">
        <v>2174</v>
      </c>
      <c r="B1617" s="72">
        <v>7.862302E7</v>
      </c>
      <c r="C1617" s="74">
        <v>46207.959990497686</v>
      </c>
      <c r="D1617" s="2" t="s">
        <v>628</v>
      </c>
      <c r="F1617" s="2" t="s">
        <v>2175</v>
      </c>
      <c r="G1617" s="72">
        <v>3.14479042E8</v>
      </c>
    </row>
    <row r="1618">
      <c r="A1618" s="73" t="s">
        <v>2174</v>
      </c>
      <c r="B1618" s="72">
        <v>7.862302E7</v>
      </c>
      <c r="C1618" s="74">
        <v>46207.54402583333</v>
      </c>
      <c r="D1618" s="2" t="s">
        <v>628</v>
      </c>
      <c r="F1618" s="2" t="s">
        <v>630</v>
      </c>
      <c r="G1618" s="72">
        <v>3.1407655E8</v>
      </c>
    </row>
    <row r="1619">
      <c r="A1619" s="73" t="s">
        <v>2176</v>
      </c>
      <c r="B1619" s="72">
        <v>8.3195706E7</v>
      </c>
      <c r="C1619" s="74">
        <v>46234.97990464121</v>
      </c>
      <c r="D1619" s="2" t="s">
        <v>653</v>
      </c>
      <c r="F1619" s="2" t="s">
        <v>2177</v>
      </c>
      <c r="G1619" s="72">
        <v>3.33120503E8</v>
      </c>
    </row>
    <row r="1620">
      <c r="A1620" s="73" t="s">
        <v>2176</v>
      </c>
      <c r="B1620" s="72">
        <v>8.3195706E7</v>
      </c>
      <c r="C1620" s="74">
        <v>46234.9798969213</v>
      </c>
      <c r="D1620" s="2" t="s">
        <v>653</v>
      </c>
      <c r="F1620" s="2" t="s">
        <v>2178</v>
      </c>
      <c r="G1620" s="72">
        <v>3.33120498E8</v>
      </c>
    </row>
    <row r="1621">
      <c r="A1621" s="73" t="s">
        <v>2176</v>
      </c>
      <c r="B1621" s="72">
        <v>8.3195706E7</v>
      </c>
      <c r="C1621" s="74">
        <v>46233.75310563657</v>
      </c>
      <c r="D1621" s="2" t="s">
        <v>628</v>
      </c>
      <c r="F1621" s="2" t="s">
        <v>2179</v>
      </c>
      <c r="G1621" s="72">
        <v>3.32076355E8</v>
      </c>
    </row>
    <row r="1622">
      <c r="A1622" s="73" t="s">
        <v>2176</v>
      </c>
      <c r="B1622" s="72">
        <v>8.3195706E7</v>
      </c>
      <c r="C1622" s="74">
        <v>46234.960927430555</v>
      </c>
      <c r="D1622" s="2" t="s">
        <v>628</v>
      </c>
      <c r="F1622" s="2" t="s">
        <v>2180</v>
      </c>
      <c r="G1622" s="72">
        <v>3.33101459E8</v>
      </c>
    </row>
    <row r="1623">
      <c r="A1623" s="73" t="s">
        <v>2181</v>
      </c>
      <c r="B1623" s="72">
        <v>8.0224584E7</v>
      </c>
      <c r="C1623" s="74">
        <v>46216.96080634259</v>
      </c>
      <c r="D1623" s="2" t="s">
        <v>628</v>
      </c>
      <c r="F1623" s="2" t="s">
        <v>2182</v>
      </c>
      <c r="G1623" s="72">
        <v>3.20485776E8</v>
      </c>
    </row>
    <row r="1624">
      <c r="A1624" s="73" t="s">
        <v>2181</v>
      </c>
      <c r="B1624" s="72">
        <v>8.0224584E7</v>
      </c>
      <c r="C1624" s="74">
        <v>46215.752852060185</v>
      </c>
      <c r="D1624" s="2" t="s">
        <v>628</v>
      </c>
      <c r="F1624" s="2" t="s">
        <v>2183</v>
      </c>
      <c r="G1624" s="72">
        <v>3.19679407E8</v>
      </c>
    </row>
    <row r="1625">
      <c r="A1625" s="73" t="s">
        <v>2184</v>
      </c>
      <c r="B1625" s="72">
        <v>8.2926358E7</v>
      </c>
      <c r="C1625" s="74">
        <v>46234.75252203704</v>
      </c>
      <c r="D1625" s="2" t="s">
        <v>628</v>
      </c>
      <c r="F1625" s="2" t="s">
        <v>632</v>
      </c>
      <c r="G1625" s="72">
        <v>3.3284727E8</v>
      </c>
    </row>
    <row r="1626">
      <c r="A1626" s="73" t="s">
        <v>2184</v>
      </c>
      <c r="B1626" s="72">
        <v>8.2926358E7</v>
      </c>
      <c r="C1626" s="74">
        <v>46231.99625832176</v>
      </c>
      <c r="D1626" s="2" t="s">
        <v>667</v>
      </c>
      <c r="E1626" s="2" t="s">
        <v>1332</v>
      </c>
      <c r="F1626" s="2" t="s">
        <v>2185</v>
      </c>
      <c r="G1626" s="72">
        <v>3.30944353E8</v>
      </c>
    </row>
    <row r="1627">
      <c r="A1627" s="73" t="s">
        <v>2184</v>
      </c>
      <c r="B1627" s="72">
        <v>8.2926358E7</v>
      </c>
      <c r="C1627" s="74">
        <v>46231.98122636574</v>
      </c>
      <c r="D1627" s="2" t="s">
        <v>705</v>
      </c>
      <c r="F1627" s="2" t="s">
        <v>756</v>
      </c>
      <c r="G1627" s="72">
        <v>3.309353E8</v>
      </c>
    </row>
    <row r="1628">
      <c r="A1628" s="73" t="s">
        <v>2184</v>
      </c>
      <c r="B1628" s="72">
        <v>8.2926358E7</v>
      </c>
      <c r="C1628" s="74">
        <v>46234.80273451388</v>
      </c>
      <c r="D1628" s="2" t="s">
        <v>653</v>
      </c>
      <c r="F1628" s="2" t="s">
        <v>2186</v>
      </c>
      <c r="G1628" s="72">
        <v>3.32922639E8</v>
      </c>
    </row>
    <row r="1629">
      <c r="A1629" s="73" t="s">
        <v>2187</v>
      </c>
      <c r="B1629" s="72">
        <v>8.1434816E7</v>
      </c>
      <c r="C1629" s="74">
        <v>46221.75346577546</v>
      </c>
      <c r="D1629" s="2" t="s">
        <v>653</v>
      </c>
      <c r="F1629" s="2" t="s">
        <v>2188</v>
      </c>
      <c r="G1629" s="72">
        <v>3.23782399E8</v>
      </c>
    </row>
    <row r="1630">
      <c r="A1630" s="73" t="s">
        <v>2187</v>
      </c>
      <c r="B1630" s="72">
        <v>8.1434816E7</v>
      </c>
      <c r="C1630" s="74">
        <v>46225.457924201386</v>
      </c>
      <c r="D1630" s="2" t="s">
        <v>653</v>
      </c>
      <c r="F1630" s="2" t="s">
        <v>2189</v>
      </c>
      <c r="G1630" s="72">
        <v>3.261215E8</v>
      </c>
    </row>
    <row r="1631">
      <c r="A1631" s="73" t="s">
        <v>2187</v>
      </c>
      <c r="B1631" s="72">
        <v>8.1434816E7</v>
      </c>
      <c r="C1631" s="74">
        <v>46222.959291666666</v>
      </c>
      <c r="D1631" s="2" t="s">
        <v>628</v>
      </c>
      <c r="F1631" s="2" t="s">
        <v>2144</v>
      </c>
      <c r="G1631" s="72">
        <v>3.24721246E8</v>
      </c>
    </row>
    <row r="1632">
      <c r="A1632" s="73" t="s">
        <v>2187</v>
      </c>
      <c r="B1632" s="72">
        <v>8.1434816E7</v>
      </c>
      <c r="C1632" s="74">
        <v>46225.45792783565</v>
      </c>
      <c r="D1632" s="2" t="s">
        <v>653</v>
      </c>
      <c r="F1632" s="2" t="s">
        <v>2190</v>
      </c>
      <c r="G1632" s="72">
        <v>3.26121501E8</v>
      </c>
    </row>
    <row r="1633">
      <c r="A1633" s="73" t="s">
        <v>2187</v>
      </c>
      <c r="B1633" s="72">
        <v>8.1434816E7</v>
      </c>
      <c r="C1633" s="74">
        <v>46222.967291215275</v>
      </c>
      <c r="D1633" s="2" t="s">
        <v>653</v>
      </c>
      <c r="F1633" s="2" t="s">
        <v>2191</v>
      </c>
      <c r="G1633" s="72">
        <v>3.24732657E8</v>
      </c>
    </row>
    <row r="1634">
      <c r="A1634" s="73" t="s">
        <v>2187</v>
      </c>
      <c r="B1634" s="72">
        <v>8.1434816E7</v>
      </c>
      <c r="C1634" s="74">
        <v>46222.96728724537</v>
      </c>
      <c r="D1634" s="2" t="s">
        <v>653</v>
      </c>
      <c r="F1634" s="2" t="s">
        <v>2191</v>
      </c>
      <c r="G1634" s="72">
        <v>3.24732653E8</v>
      </c>
    </row>
    <row r="1635">
      <c r="A1635" s="73" t="s">
        <v>2192</v>
      </c>
      <c r="B1635" s="72">
        <v>8.0668144E7</v>
      </c>
      <c r="C1635" s="74">
        <v>46218.7507953125</v>
      </c>
      <c r="D1635" s="2" t="s">
        <v>628</v>
      </c>
      <c r="F1635" s="2" t="s">
        <v>2193</v>
      </c>
      <c r="G1635" s="72">
        <v>3.21558306E8</v>
      </c>
    </row>
    <row r="1636">
      <c r="A1636" s="73" t="s">
        <v>2192</v>
      </c>
      <c r="B1636" s="72">
        <v>8.0668144E7</v>
      </c>
      <c r="C1636" s="74">
        <v>46219.95943744213</v>
      </c>
      <c r="D1636" s="2" t="s">
        <v>628</v>
      </c>
      <c r="F1636" s="2" t="s">
        <v>2194</v>
      </c>
      <c r="G1636" s="72">
        <v>3.22473089E8</v>
      </c>
    </row>
    <row r="1637">
      <c r="A1637" s="73" t="s">
        <v>2195</v>
      </c>
      <c r="B1637" s="72">
        <v>7.8467287E7</v>
      </c>
      <c r="C1637" s="74">
        <v>46204.75391153935</v>
      </c>
      <c r="D1637" s="2" t="s">
        <v>628</v>
      </c>
      <c r="F1637" s="2" t="s">
        <v>1143</v>
      </c>
      <c r="G1637" s="72">
        <v>3.1220029E8</v>
      </c>
    </row>
    <row r="1638">
      <c r="A1638" s="73" t="s">
        <v>2195</v>
      </c>
      <c r="B1638" s="72">
        <v>7.8467287E7</v>
      </c>
      <c r="C1638" s="74">
        <v>46206.54480418982</v>
      </c>
      <c r="D1638" s="2" t="s">
        <v>628</v>
      </c>
      <c r="F1638" s="2" t="s">
        <v>630</v>
      </c>
      <c r="G1638" s="72">
        <v>3.13349708E8</v>
      </c>
    </row>
    <row r="1639">
      <c r="A1639" s="73" t="s">
        <v>2195</v>
      </c>
      <c r="B1639" s="72">
        <v>7.8467287E7</v>
      </c>
      <c r="C1639" s="74">
        <v>46206.960601666666</v>
      </c>
      <c r="D1639" s="2" t="s">
        <v>628</v>
      </c>
      <c r="F1639" s="2" t="s">
        <v>2196</v>
      </c>
      <c r="G1639" s="72">
        <v>3.13801861E8</v>
      </c>
    </row>
    <row r="1640">
      <c r="A1640" s="73" t="s">
        <v>2195</v>
      </c>
      <c r="B1640" s="72">
        <v>7.8467287E7</v>
      </c>
      <c r="C1640" s="74">
        <v>46207.57193288194</v>
      </c>
      <c r="D1640" s="2" t="s">
        <v>705</v>
      </c>
      <c r="F1640" s="2" t="s">
        <v>2197</v>
      </c>
      <c r="G1640" s="72">
        <v>3.14110716E8</v>
      </c>
    </row>
    <row r="1641">
      <c r="A1641" s="73" t="s">
        <v>2198</v>
      </c>
      <c r="B1641" s="72">
        <v>8.199935E7</v>
      </c>
      <c r="C1641" s="74">
        <v>46226.75203984954</v>
      </c>
      <c r="D1641" s="2" t="s">
        <v>628</v>
      </c>
      <c r="F1641" s="2" t="s">
        <v>2199</v>
      </c>
      <c r="G1641" s="72">
        <v>3.27104256E8</v>
      </c>
    </row>
    <row r="1642">
      <c r="A1642" s="73" t="s">
        <v>2198</v>
      </c>
      <c r="B1642" s="72">
        <v>8.199935E7</v>
      </c>
      <c r="C1642" s="74">
        <v>46227.96004590278</v>
      </c>
      <c r="D1642" s="2" t="s">
        <v>628</v>
      </c>
      <c r="F1642" s="2" t="s">
        <v>2200</v>
      </c>
      <c r="G1642" s="72">
        <v>3.28116116E8</v>
      </c>
    </row>
    <row r="1643">
      <c r="A1643" s="73" t="s">
        <v>2201</v>
      </c>
      <c r="B1643" s="72">
        <v>7.9885732E7</v>
      </c>
      <c r="C1643" s="74">
        <v>46214.9610659375</v>
      </c>
      <c r="D1643" s="2" t="s">
        <v>628</v>
      </c>
      <c r="F1643" s="2" t="s">
        <v>2202</v>
      </c>
      <c r="G1643" s="72">
        <v>3.19138432E8</v>
      </c>
    </row>
    <row r="1644">
      <c r="A1644" s="73" t="s">
        <v>2201</v>
      </c>
      <c r="B1644" s="72">
        <v>7.9885732E7</v>
      </c>
      <c r="C1644" s="74">
        <v>46213.75336769676</v>
      </c>
      <c r="D1644" s="2" t="s">
        <v>628</v>
      </c>
      <c r="F1644" s="2" t="s">
        <v>2203</v>
      </c>
      <c r="G1644" s="72">
        <v>3.18184698E8</v>
      </c>
    </row>
    <row r="1645">
      <c r="A1645" s="73" t="s">
        <v>2204</v>
      </c>
      <c r="B1645" s="72">
        <v>7.8594469E7</v>
      </c>
      <c r="C1645" s="74">
        <v>46205.958455381944</v>
      </c>
      <c r="D1645" s="2" t="s">
        <v>628</v>
      </c>
      <c r="F1645" s="2" t="s">
        <v>2205</v>
      </c>
      <c r="G1645" s="72">
        <v>3.13051301E8</v>
      </c>
    </row>
    <row r="1646">
      <c r="A1646" s="73" t="s">
        <v>2204</v>
      </c>
      <c r="B1646" s="72">
        <v>7.8594469E7</v>
      </c>
      <c r="C1646" s="74">
        <v>46205.62682365741</v>
      </c>
      <c r="D1646" s="2" t="s">
        <v>628</v>
      </c>
      <c r="F1646" s="2" t="s">
        <v>866</v>
      </c>
      <c r="G1646" s="72">
        <v>3.1272774E8</v>
      </c>
    </row>
    <row r="1647">
      <c r="A1647" s="73" t="s">
        <v>2206</v>
      </c>
      <c r="B1647" s="72">
        <v>8.2759673E7</v>
      </c>
      <c r="C1647" s="74">
        <v>46230.976127013884</v>
      </c>
      <c r="D1647" s="2" t="s">
        <v>653</v>
      </c>
      <c r="F1647" s="2" t="s">
        <v>2207</v>
      </c>
      <c r="G1647" s="72">
        <v>3.30285379E8</v>
      </c>
    </row>
    <row r="1648">
      <c r="A1648" s="73" t="s">
        <v>2206</v>
      </c>
      <c r="B1648" s="72">
        <v>8.2759673E7</v>
      </c>
      <c r="C1648" s="74">
        <v>46233.4317577662</v>
      </c>
      <c r="D1648" s="2" t="s">
        <v>653</v>
      </c>
      <c r="F1648" s="2" t="s">
        <v>2208</v>
      </c>
      <c r="G1648" s="72">
        <v>3.31723898E8</v>
      </c>
    </row>
    <row r="1649">
      <c r="A1649" s="73" t="s">
        <v>2206</v>
      </c>
      <c r="B1649" s="72">
        <v>8.2759673E7</v>
      </c>
      <c r="C1649" s="74">
        <v>46230.958618171295</v>
      </c>
      <c r="D1649" s="2" t="s">
        <v>628</v>
      </c>
      <c r="F1649" s="2" t="s">
        <v>2209</v>
      </c>
      <c r="G1649" s="72">
        <v>3.30265457E8</v>
      </c>
    </row>
    <row r="1650">
      <c r="A1650" s="73" t="s">
        <v>2206</v>
      </c>
      <c r="B1650" s="72">
        <v>8.2759673E7</v>
      </c>
      <c r="C1650" s="74">
        <v>46231.66802239583</v>
      </c>
      <c r="D1650" s="2" t="s">
        <v>653</v>
      </c>
      <c r="F1650" s="2" t="s">
        <v>2210</v>
      </c>
      <c r="G1650" s="72">
        <v>3.30649347E8</v>
      </c>
    </row>
    <row r="1651">
      <c r="A1651" s="73" t="s">
        <v>2211</v>
      </c>
      <c r="B1651" s="72">
        <v>8.0670899E7</v>
      </c>
      <c r="C1651" s="74">
        <v>46218.79368931713</v>
      </c>
      <c r="D1651" s="2" t="s">
        <v>653</v>
      </c>
      <c r="F1651" s="2" t="s">
        <v>2212</v>
      </c>
      <c r="G1651" s="72">
        <v>3.21612526E8</v>
      </c>
    </row>
    <row r="1652">
      <c r="A1652" s="73" t="s">
        <v>2211</v>
      </c>
      <c r="B1652" s="72">
        <v>8.0670899E7</v>
      </c>
      <c r="C1652" s="74">
        <v>46227.486608113424</v>
      </c>
      <c r="D1652" s="2" t="s">
        <v>653</v>
      </c>
      <c r="F1652" s="2" t="s">
        <v>2213</v>
      </c>
      <c r="G1652" s="72">
        <v>3.27544463E8</v>
      </c>
    </row>
    <row r="1653">
      <c r="A1653" s="73" t="s">
        <v>2211</v>
      </c>
      <c r="B1653" s="72">
        <v>8.0670899E7</v>
      </c>
      <c r="C1653" s="74">
        <v>46220.084206354164</v>
      </c>
      <c r="D1653" s="2" t="s">
        <v>667</v>
      </c>
      <c r="E1653" s="2" t="s">
        <v>703</v>
      </c>
      <c r="F1653" s="2" t="s">
        <v>2214</v>
      </c>
      <c r="G1653" s="72">
        <v>3.22564246E8</v>
      </c>
    </row>
    <row r="1654">
      <c r="A1654" s="73" t="s">
        <v>2211</v>
      </c>
      <c r="B1654" s="72">
        <v>8.0670899E7</v>
      </c>
      <c r="C1654" s="74">
        <v>46218.75172572916</v>
      </c>
      <c r="D1654" s="2" t="s">
        <v>628</v>
      </c>
      <c r="F1654" s="2" t="s">
        <v>883</v>
      </c>
      <c r="G1654" s="72">
        <v>3.21564161E8</v>
      </c>
    </row>
    <row r="1655">
      <c r="A1655" s="73" t="s">
        <v>2211</v>
      </c>
      <c r="B1655" s="72">
        <v>8.0670899E7</v>
      </c>
      <c r="C1655" s="74">
        <v>46219.67853114584</v>
      </c>
      <c r="D1655" s="2" t="s">
        <v>653</v>
      </c>
      <c r="F1655" s="2" t="s">
        <v>2212</v>
      </c>
      <c r="G1655" s="72">
        <v>3.22190633E8</v>
      </c>
    </row>
    <row r="1656">
      <c r="A1656" s="73" t="s">
        <v>2211</v>
      </c>
      <c r="B1656" s="72">
        <v>8.0670899E7</v>
      </c>
      <c r="C1656" s="74">
        <v>46218.772603854166</v>
      </c>
      <c r="D1656" s="2" t="s">
        <v>653</v>
      </c>
      <c r="F1656" s="2" t="s">
        <v>2215</v>
      </c>
      <c r="G1656" s="72">
        <v>3.21593031E8</v>
      </c>
    </row>
    <row r="1657">
      <c r="A1657" s="73" t="s">
        <v>2211</v>
      </c>
      <c r="B1657" s="72">
        <v>8.0670899E7</v>
      </c>
      <c r="C1657" s="74">
        <v>46218.77260003472</v>
      </c>
      <c r="D1657" s="2" t="s">
        <v>653</v>
      </c>
      <c r="F1657" s="2" t="s">
        <v>2216</v>
      </c>
      <c r="G1657" s="72">
        <v>3.21593028E8</v>
      </c>
    </row>
    <row r="1658">
      <c r="A1658" s="73" t="s">
        <v>2211</v>
      </c>
      <c r="B1658" s="72">
        <v>8.0670899E7</v>
      </c>
      <c r="C1658" s="74">
        <v>46219.67854891204</v>
      </c>
      <c r="D1658" s="2" t="s">
        <v>705</v>
      </c>
      <c r="F1658" s="2" t="s">
        <v>2217</v>
      </c>
      <c r="G1658" s="72">
        <v>3.22190638E8</v>
      </c>
    </row>
    <row r="1659">
      <c r="A1659" s="73" t="s">
        <v>2211</v>
      </c>
      <c r="B1659" s="72">
        <v>8.0670899E7</v>
      </c>
      <c r="C1659" s="74">
        <v>46219.67854028935</v>
      </c>
      <c r="D1659" s="2" t="s">
        <v>705</v>
      </c>
      <c r="F1659" s="2" t="s">
        <v>2218</v>
      </c>
      <c r="G1659" s="72">
        <v>3.22190635E8</v>
      </c>
    </row>
    <row r="1660">
      <c r="A1660" s="73" t="s">
        <v>2211</v>
      </c>
      <c r="B1660" s="72">
        <v>8.0670899E7</v>
      </c>
      <c r="C1660" s="74">
        <v>46220.345296597225</v>
      </c>
      <c r="D1660" s="2" t="s">
        <v>653</v>
      </c>
      <c r="F1660" s="2" t="s">
        <v>2219</v>
      </c>
      <c r="G1660" s="72">
        <v>3.22611703E8</v>
      </c>
    </row>
    <row r="1661">
      <c r="A1661" s="73" t="s">
        <v>2211</v>
      </c>
      <c r="B1661" s="72">
        <v>8.0670899E7</v>
      </c>
      <c r="C1661" s="74">
        <v>46218.77259623843</v>
      </c>
      <c r="D1661" s="2" t="s">
        <v>705</v>
      </c>
      <c r="F1661" s="2" t="s">
        <v>2220</v>
      </c>
      <c r="G1661" s="72">
        <v>3.21593027E8</v>
      </c>
    </row>
    <row r="1662">
      <c r="A1662" s="73" t="s">
        <v>2211</v>
      </c>
      <c r="B1662" s="72">
        <v>8.0670899E7</v>
      </c>
      <c r="C1662" s="74">
        <v>46227.486601875</v>
      </c>
      <c r="D1662" s="2" t="s">
        <v>653</v>
      </c>
      <c r="F1662" s="2" t="s">
        <v>2221</v>
      </c>
      <c r="G1662" s="72">
        <v>3.27544461E8</v>
      </c>
    </row>
    <row r="1663">
      <c r="A1663" s="73" t="s">
        <v>2222</v>
      </c>
      <c r="B1663" s="72">
        <v>7.9701272E7</v>
      </c>
      <c r="C1663" s="74">
        <v>46214.96120950232</v>
      </c>
      <c r="D1663" s="2" t="s">
        <v>628</v>
      </c>
      <c r="F1663" s="2" t="s">
        <v>2223</v>
      </c>
      <c r="G1663" s="72">
        <v>3.19139079E8</v>
      </c>
    </row>
    <row r="1664">
      <c r="A1664" s="73" t="s">
        <v>2222</v>
      </c>
      <c r="B1664" s="72">
        <v>7.9701272E7</v>
      </c>
      <c r="C1664" s="74">
        <v>46212.75447384259</v>
      </c>
      <c r="D1664" s="2" t="s">
        <v>628</v>
      </c>
      <c r="F1664" s="2" t="s">
        <v>2224</v>
      </c>
      <c r="G1664" s="72">
        <v>3.17444717E8</v>
      </c>
    </row>
    <row r="1665">
      <c r="A1665" s="73" t="s">
        <v>2222</v>
      </c>
      <c r="B1665" s="72">
        <v>7.9701272E7</v>
      </c>
      <c r="C1665" s="74">
        <v>46214.544788784726</v>
      </c>
      <c r="D1665" s="2" t="s">
        <v>628</v>
      </c>
      <c r="F1665" s="2" t="s">
        <v>630</v>
      </c>
      <c r="G1665" s="72">
        <v>3.18717865E8</v>
      </c>
    </row>
    <row r="1666">
      <c r="A1666" s="73" t="s">
        <v>2225</v>
      </c>
      <c r="B1666" s="72">
        <v>8.1993986E7</v>
      </c>
      <c r="C1666" s="74">
        <v>46226.79722364583</v>
      </c>
      <c r="D1666" s="2" t="s">
        <v>705</v>
      </c>
      <c r="F1666" s="2" t="s">
        <v>2220</v>
      </c>
      <c r="G1666" s="72">
        <v>3.27179892E8</v>
      </c>
    </row>
    <row r="1667">
      <c r="A1667" s="73" t="s">
        <v>2225</v>
      </c>
      <c r="B1667" s="72">
        <v>8.1993986E7</v>
      </c>
      <c r="C1667" s="74">
        <v>46228.54266547454</v>
      </c>
      <c r="D1667" s="2" t="s">
        <v>628</v>
      </c>
      <c r="F1667" s="2" t="s">
        <v>630</v>
      </c>
      <c r="G1667" s="72">
        <v>3.28401234E8</v>
      </c>
    </row>
    <row r="1668">
      <c r="A1668" s="73" t="s">
        <v>2225</v>
      </c>
      <c r="B1668" s="72">
        <v>8.1993986E7</v>
      </c>
      <c r="C1668" s="74">
        <v>46226.79722954861</v>
      </c>
      <c r="D1668" s="2" t="s">
        <v>653</v>
      </c>
      <c r="F1668" s="2" t="s">
        <v>2226</v>
      </c>
      <c r="G1668" s="72">
        <v>3.27179895E8</v>
      </c>
    </row>
    <row r="1669">
      <c r="A1669" s="73" t="s">
        <v>2225</v>
      </c>
      <c r="B1669" s="72">
        <v>8.1993986E7</v>
      </c>
      <c r="C1669" s="74">
        <v>46226.75042298611</v>
      </c>
      <c r="D1669" s="2" t="s">
        <v>628</v>
      </c>
      <c r="F1669" s="2" t="s">
        <v>2227</v>
      </c>
      <c r="G1669" s="72">
        <v>3.27093978E8</v>
      </c>
    </row>
    <row r="1670">
      <c r="A1670" s="73" t="s">
        <v>2225</v>
      </c>
      <c r="B1670" s="72">
        <v>8.1993986E7</v>
      </c>
      <c r="C1670" s="74">
        <v>46228.959138391205</v>
      </c>
      <c r="D1670" s="2" t="s">
        <v>628</v>
      </c>
      <c r="F1670" s="2" t="s">
        <v>2228</v>
      </c>
      <c r="G1670" s="72">
        <v>3.28856193E8</v>
      </c>
    </row>
    <row r="1671">
      <c r="A1671" s="73" t="s">
        <v>2225</v>
      </c>
      <c r="B1671" s="72">
        <v>8.1993986E7</v>
      </c>
      <c r="C1671" s="74">
        <v>46226.79723490741</v>
      </c>
      <c r="D1671" s="2" t="s">
        <v>653</v>
      </c>
      <c r="F1671" s="2" t="s">
        <v>2229</v>
      </c>
      <c r="G1671" s="72">
        <v>3.27179898E8</v>
      </c>
    </row>
    <row r="1672">
      <c r="A1672" s="73" t="s">
        <v>2230</v>
      </c>
      <c r="B1672" s="72">
        <v>8.0979341E7</v>
      </c>
      <c r="C1672" s="74">
        <v>46220.54351265046</v>
      </c>
      <c r="D1672" s="2" t="s">
        <v>628</v>
      </c>
      <c r="F1672" s="2" t="s">
        <v>630</v>
      </c>
      <c r="G1672" s="72">
        <v>3.22756952E8</v>
      </c>
    </row>
    <row r="1673">
      <c r="A1673" s="73" t="s">
        <v>2230</v>
      </c>
      <c r="C1673" s="74">
        <v>46218.75186697917</v>
      </c>
      <c r="D1673" s="2" t="s">
        <v>628</v>
      </c>
      <c r="F1673" s="2" t="s">
        <v>2231</v>
      </c>
      <c r="G1673" s="72">
        <v>3.21565565E8</v>
      </c>
    </row>
    <row r="1674">
      <c r="A1674" s="73" t="s">
        <v>2230</v>
      </c>
      <c r="B1674" s="72">
        <v>8.0979341E7</v>
      </c>
      <c r="C1674" s="74">
        <v>46220.95925075232</v>
      </c>
      <c r="D1674" s="2" t="s">
        <v>628</v>
      </c>
      <c r="F1674" s="2" t="s">
        <v>2232</v>
      </c>
      <c r="G1674" s="72">
        <v>3.23241104E8</v>
      </c>
    </row>
    <row r="1675">
      <c r="A1675" s="73" t="s">
        <v>2233</v>
      </c>
      <c r="B1675" s="72">
        <v>8.085116E7</v>
      </c>
      <c r="C1675" s="74">
        <v>46221.9617053125</v>
      </c>
      <c r="D1675" s="2" t="s">
        <v>628</v>
      </c>
      <c r="F1675" s="2" t="s">
        <v>2234</v>
      </c>
      <c r="G1675" s="72">
        <v>3.24001936E8</v>
      </c>
    </row>
    <row r="1676">
      <c r="A1676" s="73" t="s">
        <v>2233</v>
      </c>
      <c r="B1676" s="72">
        <v>8.085116E7</v>
      </c>
      <c r="C1676" s="74">
        <v>46221.545659027775</v>
      </c>
      <c r="D1676" s="2" t="s">
        <v>628</v>
      </c>
      <c r="F1676" s="2" t="s">
        <v>630</v>
      </c>
      <c r="G1676" s="72">
        <v>3.23566398E8</v>
      </c>
    </row>
    <row r="1677">
      <c r="A1677" s="73" t="s">
        <v>2233</v>
      </c>
      <c r="B1677" s="72">
        <v>8.085116E7</v>
      </c>
      <c r="C1677" s="74">
        <v>46219.75473313658</v>
      </c>
      <c r="D1677" s="2" t="s">
        <v>628</v>
      </c>
      <c r="F1677" s="2" t="s">
        <v>2235</v>
      </c>
      <c r="G1677" s="72">
        <v>3.22264434E8</v>
      </c>
    </row>
    <row r="1678">
      <c r="A1678" s="73" t="s">
        <v>2236</v>
      </c>
      <c r="B1678" s="72">
        <v>5.238228E7</v>
      </c>
      <c r="C1678" s="74">
        <v>46234.75162246528</v>
      </c>
      <c r="D1678" s="2" t="s">
        <v>628</v>
      </c>
      <c r="F1678" s="2" t="s">
        <v>1371</v>
      </c>
      <c r="G1678" s="72">
        <v>3.32840019E8</v>
      </c>
    </row>
    <row r="1679">
      <c r="A1679" s="73" t="s">
        <v>2237</v>
      </c>
      <c r="B1679" s="72">
        <v>7.9353664E7</v>
      </c>
      <c r="C1679" s="74">
        <v>46210.544143969906</v>
      </c>
      <c r="D1679" s="2" t="s">
        <v>628</v>
      </c>
      <c r="F1679" s="2" t="s">
        <v>630</v>
      </c>
      <c r="G1679" s="72">
        <v>3.16018753E8</v>
      </c>
    </row>
    <row r="1680">
      <c r="A1680" s="73" t="s">
        <v>2237</v>
      </c>
      <c r="B1680" s="72">
        <v>7.9353664E7</v>
      </c>
      <c r="C1680" s="74">
        <v>46211.96100902778</v>
      </c>
      <c r="D1680" s="2" t="s">
        <v>628</v>
      </c>
      <c r="F1680" s="2" t="s">
        <v>2238</v>
      </c>
      <c r="G1680" s="72">
        <v>3.16988454E8</v>
      </c>
    </row>
    <row r="1681">
      <c r="A1681" s="73" t="s">
        <v>2237</v>
      </c>
      <c r="C1681" s="74">
        <v>46208.752413912036</v>
      </c>
      <c r="D1681" s="2" t="s">
        <v>628</v>
      </c>
      <c r="F1681" s="2" t="s">
        <v>930</v>
      </c>
      <c r="G1681" s="72">
        <v>3.14995181E8</v>
      </c>
    </row>
    <row r="1682">
      <c r="A1682" s="73" t="s">
        <v>2239</v>
      </c>
      <c r="B1682" s="72">
        <v>8.195472E7</v>
      </c>
      <c r="C1682" s="74">
        <v>46226.96120138888</v>
      </c>
      <c r="D1682" s="2" t="s">
        <v>628</v>
      </c>
      <c r="F1682" s="2" t="s">
        <v>2240</v>
      </c>
      <c r="G1682" s="72">
        <v>3.27340841E8</v>
      </c>
    </row>
    <row r="1683">
      <c r="A1683" s="73" t="s">
        <v>2239</v>
      </c>
      <c r="C1683" s="74">
        <v>46224.75229341435</v>
      </c>
      <c r="D1683" s="2" t="s">
        <v>628</v>
      </c>
      <c r="F1683" s="2" t="s">
        <v>764</v>
      </c>
      <c r="G1683" s="72">
        <v>3.25796184E8</v>
      </c>
    </row>
    <row r="1684">
      <c r="A1684" s="73" t="s">
        <v>2239</v>
      </c>
      <c r="B1684" s="72">
        <v>8.195472E7</v>
      </c>
      <c r="C1684" s="74">
        <v>46226.54440758102</v>
      </c>
      <c r="D1684" s="2" t="s">
        <v>628</v>
      </c>
      <c r="F1684" s="2" t="s">
        <v>630</v>
      </c>
      <c r="G1684" s="72">
        <v>3.26899474E8</v>
      </c>
    </row>
    <row r="1685">
      <c r="A1685" s="73" t="s">
        <v>2241</v>
      </c>
      <c r="B1685" s="72">
        <v>7.8565577E7</v>
      </c>
      <c r="C1685" s="74">
        <v>46205.4622366088</v>
      </c>
      <c r="D1685" s="2" t="s">
        <v>628</v>
      </c>
      <c r="F1685" s="2" t="s">
        <v>2242</v>
      </c>
      <c r="G1685" s="72">
        <v>3.12549909E8</v>
      </c>
    </row>
    <row r="1686">
      <c r="A1686" s="73" t="s">
        <v>2241</v>
      </c>
      <c r="B1686" s="72">
        <v>7.8565577E7</v>
      </c>
      <c r="C1686" s="74">
        <v>46205.961889722224</v>
      </c>
      <c r="D1686" s="2" t="s">
        <v>628</v>
      </c>
      <c r="F1686" s="2" t="s">
        <v>2243</v>
      </c>
      <c r="G1686" s="72">
        <v>3.13060374E8</v>
      </c>
    </row>
    <row r="1687">
      <c r="A1687" s="73" t="s">
        <v>2244</v>
      </c>
      <c r="B1687" s="72">
        <v>8.0278577E7</v>
      </c>
      <c r="C1687" s="74">
        <v>46215.95931898148</v>
      </c>
      <c r="D1687" s="2" t="s">
        <v>628</v>
      </c>
      <c r="F1687" s="2" t="s">
        <v>2245</v>
      </c>
      <c r="G1687" s="72">
        <v>3.19855935E8</v>
      </c>
    </row>
    <row r="1688">
      <c r="A1688" s="73" t="s">
        <v>2244</v>
      </c>
      <c r="B1688" s="72">
        <v>8.0278577E7</v>
      </c>
      <c r="C1688" s="74">
        <v>46222.41921762731</v>
      </c>
      <c r="D1688" s="2" t="s">
        <v>653</v>
      </c>
      <c r="F1688" s="2" t="s">
        <v>2246</v>
      </c>
      <c r="G1688" s="72">
        <v>3.24148378E8</v>
      </c>
    </row>
    <row r="1689">
      <c r="A1689" s="73" t="s">
        <v>2244</v>
      </c>
      <c r="B1689" s="72">
        <v>8.0278577E7</v>
      </c>
      <c r="C1689" s="74">
        <v>46222.41920842593</v>
      </c>
      <c r="D1689" s="2" t="s">
        <v>653</v>
      </c>
      <c r="F1689" s="2" t="s">
        <v>2247</v>
      </c>
      <c r="G1689" s="72">
        <v>3.24148364E8</v>
      </c>
    </row>
    <row r="1690">
      <c r="A1690" s="73" t="s">
        <v>2244</v>
      </c>
      <c r="B1690" s="72">
        <v>8.0278577E7</v>
      </c>
      <c r="C1690" s="74">
        <v>46222.41921146991</v>
      </c>
      <c r="D1690" s="2" t="s">
        <v>653</v>
      </c>
      <c r="F1690" s="2" t="s">
        <v>2248</v>
      </c>
      <c r="G1690" s="72">
        <v>3.24148368E8</v>
      </c>
    </row>
    <row r="1691">
      <c r="A1691" s="73" t="s">
        <v>2244</v>
      </c>
      <c r="B1691" s="72">
        <v>8.0278577E7</v>
      </c>
      <c r="C1691" s="74">
        <v>46222.419214270834</v>
      </c>
      <c r="D1691" s="2" t="s">
        <v>653</v>
      </c>
      <c r="F1691" s="2" t="s">
        <v>2249</v>
      </c>
      <c r="G1691" s="72">
        <v>3.24148372E8</v>
      </c>
    </row>
    <row r="1692">
      <c r="A1692" s="2">
        <v>1.2035450401E10</v>
      </c>
      <c r="B1692" s="72">
        <v>3.6927823E7</v>
      </c>
      <c r="C1692" s="74">
        <v>46224.54457125</v>
      </c>
      <c r="D1692" s="2" t="s">
        <v>628</v>
      </c>
      <c r="F1692" s="2" t="s">
        <v>630</v>
      </c>
      <c r="G1692" s="72">
        <v>3.25615908E8</v>
      </c>
    </row>
    <row r="1693">
      <c r="A1693" s="2">
        <v>1.2035450401E10</v>
      </c>
      <c r="C1693" s="74">
        <v>46222.75261144676</v>
      </c>
      <c r="D1693" s="2" t="s">
        <v>628</v>
      </c>
      <c r="F1693" s="2" t="s">
        <v>663</v>
      </c>
      <c r="G1693" s="72">
        <v>3.24545896E8</v>
      </c>
    </row>
    <row r="1694">
      <c r="A1694" s="2">
        <v>1.2035450401E10</v>
      </c>
      <c r="B1694" s="72">
        <v>3.6927823E7</v>
      </c>
      <c r="C1694" s="74">
        <v>46225.96131893518</v>
      </c>
      <c r="D1694" s="2" t="s">
        <v>628</v>
      </c>
      <c r="F1694" s="2" t="s">
        <v>922</v>
      </c>
      <c r="G1694" s="72">
        <v>3.26633935E8</v>
      </c>
    </row>
    <row r="1695">
      <c r="A1695" s="2">
        <v>1.3187168752E10</v>
      </c>
      <c r="B1695" s="72">
        <v>4201911.0</v>
      </c>
      <c r="C1695" s="74">
        <v>46216.54251679398</v>
      </c>
      <c r="D1695" s="2" t="s">
        <v>628</v>
      </c>
      <c r="F1695" s="2" t="s">
        <v>630</v>
      </c>
      <c r="G1695" s="72">
        <v>3.20086526E8</v>
      </c>
    </row>
    <row r="1696">
      <c r="A1696" s="2">
        <v>1.3187168752E10</v>
      </c>
      <c r="B1696" s="72">
        <v>4201911.0</v>
      </c>
      <c r="C1696" s="74">
        <v>46217.9592953588</v>
      </c>
      <c r="D1696" s="2" t="s">
        <v>628</v>
      </c>
      <c r="F1696" s="2" t="s">
        <v>648</v>
      </c>
      <c r="G1696" s="72">
        <v>3.21110573E8</v>
      </c>
    </row>
    <row r="1697">
      <c r="A1697" s="2">
        <v>1.3187168752E10</v>
      </c>
      <c r="C1697" s="74">
        <v>46214.75134989583</v>
      </c>
      <c r="D1697" s="2" t="s">
        <v>628</v>
      </c>
      <c r="F1697" s="2" t="s">
        <v>647</v>
      </c>
      <c r="G1697" s="72">
        <v>3.18910856E8</v>
      </c>
    </row>
    <row r="1698">
      <c r="A1698" s="2">
        <v>1.3397930414E10</v>
      </c>
      <c r="C1698" s="74">
        <v>46232.95944707176</v>
      </c>
      <c r="D1698" s="2" t="s">
        <v>628</v>
      </c>
      <c r="F1698" s="2" t="s">
        <v>2250</v>
      </c>
      <c r="G1698" s="72">
        <v>3.3158215E8</v>
      </c>
    </row>
    <row r="1699">
      <c r="A1699" s="2">
        <v>1.3397930414E10</v>
      </c>
      <c r="B1699" s="72">
        <v>4379872.0</v>
      </c>
      <c r="C1699" s="74">
        <v>46232.74243012731</v>
      </c>
      <c r="D1699" s="2" t="s">
        <v>667</v>
      </c>
      <c r="E1699" s="2" t="s">
        <v>1332</v>
      </c>
      <c r="F1699" s="2" t="s">
        <v>2251</v>
      </c>
      <c r="G1699" s="72">
        <v>3.3136747E8</v>
      </c>
    </row>
    <row r="1700">
      <c r="A1700" s="2">
        <v>1.3397930414E10</v>
      </c>
      <c r="C1700" s="74">
        <v>46231.75054357639</v>
      </c>
      <c r="D1700" s="2" t="s">
        <v>628</v>
      </c>
      <c r="F1700" s="2" t="s">
        <v>2252</v>
      </c>
      <c r="G1700" s="72">
        <v>3.3071535E8</v>
      </c>
    </row>
    <row r="1701">
      <c r="A1701" s="2">
        <v>1.4014901276E10</v>
      </c>
      <c r="C1701" s="74">
        <v>46208.75225450231</v>
      </c>
      <c r="D1701" s="2" t="s">
        <v>628</v>
      </c>
      <c r="F1701" s="2" t="s">
        <v>1691</v>
      </c>
      <c r="G1701" s="72">
        <v>3.14993725E8</v>
      </c>
    </row>
    <row r="1702">
      <c r="A1702" s="2">
        <v>1.4014901276E10</v>
      </c>
      <c r="B1702" s="72">
        <v>1.0120815E7</v>
      </c>
      <c r="C1702" s="74">
        <v>46210.54300576389</v>
      </c>
      <c r="D1702" s="2" t="s">
        <v>628</v>
      </c>
      <c r="F1702" s="2" t="s">
        <v>630</v>
      </c>
      <c r="G1702" s="72">
        <v>3.16003399E8</v>
      </c>
    </row>
    <row r="1703">
      <c r="A1703" s="2">
        <v>1.4014901276E10</v>
      </c>
      <c r="B1703" s="72">
        <v>1.0120815E7</v>
      </c>
      <c r="C1703" s="74">
        <v>46214.95955666667</v>
      </c>
      <c r="D1703" s="2" t="s">
        <v>628</v>
      </c>
      <c r="F1703" s="2" t="s">
        <v>1690</v>
      </c>
      <c r="G1703" s="72">
        <v>3.19129803E8</v>
      </c>
    </row>
    <row r="1704">
      <c r="A1704" s="2">
        <v>1.4015857285E10</v>
      </c>
      <c r="B1704" s="72">
        <v>3.2121199E7</v>
      </c>
      <c r="C1704" s="74">
        <v>46212.755673472224</v>
      </c>
      <c r="D1704" s="2" t="s">
        <v>628</v>
      </c>
      <c r="F1704" s="2" t="s">
        <v>2231</v>
      </c>
      <c r="G1704" s="72">
        <v>3.17455117E8</v>
      </c>
    </row>
    <row r="1705">
      <c r="A1705" s="2">
        <v>1.4015857285E10</v>
      </c>
      <c r="B1705" s="72">
        <v>3.2121199E7</v>
      </c>
      <c r="C1705" s="74">
        <v>46214.96119769676</v>
      </c>
      <c r="D1705" s="2" t="s">
        <v>628</v>
      </c>
      <c r="F1705" s="2" t="s">
        <v>2232</v>
      </c>
      <c r="G1705" s="72">
        <v>3.19139028E8</v>
      </c>
    </row>
    <row r="1706">
      <c r="A1706" s="2">
        <v>1.4015857285E10</v>
      </c>
      <c r="B1706" s="72">
        <v>3.2121199E7</v>
      </c>
      <c r="C1706" s="74">
        <v>46214.544385243054</v>
      </c>
      <c r="D1706" s="2" t="s">
        <v>628</v>
      </c>
      <c r="F1706" s="2" t="s">
        <v>630</v>
      </c>
      <c r="G1706" s="72">
        <v>3.1871081E8</v>
      </c>
    </row>
    <row r="1707">
      <c r="A1707" s="2">
        <v>1.4132040664E10</v>
      </c>
      <c r="B1707" s="72">
        <v>3.8774934E7</v>
      </c>
      <c r="C1707" s="74">
        <v>46225.69232954861</v>
      </c>
      <c r="D1707" s="2" t="s">
        <v>705</v>
      </c>
      <c r="F1707" s="2" t="s">
        <v>2253</v>
      </c>
      <c r="G1707" s="72">
        <v>3.26386828E8</v>
      </c>
    </row>
    <row r="1708">
      <c r="A1708" s="2">
        <v>1.4132040664E10</v>
      </c>
      <c r="B1708" s="72">
        <v>3.8774934E7</v>
      </c>
      <c r="C1708" s="74">
        <v>46225.92270282407</v>
      </c>
      <c r="D1708" s="2" t="s">
        <v>667</v>
      </c>
      <c r="E1708" s="2" t="s">
        <v>886</v>
      </c>
      <c r="F1708" s="2" t="s">
        <v>2254</v>
      </c>
      <c r="G1708" s="72">
        <v>3.2660307E8</v>
      </c>
    </row>
    <row r="1709">
      <c r="A1709" s="2">
        <v>1.4132040664E10</v>
      </c>
      <c r="B1709" s="72">
        <v>3.8774934E7</v>
      </c>
      <c r="C1709" s="74">
        <v>46225.542829143524</v>
      </c>
      <c r="D1709" s="2" t="s">
        <v>628</v>
      </c>
      <c r="F1709" s="2" t="s">
        <v>630</v>
      </c>
      <c r="G1709" s="72">
        <v>3.26218166E8</v>
      </c>
    </row>
    <row r="1710">
      <c r="A1710" s="2">
        <v>1.4132040664E10</v>
      </c>
      <c r="B1710" s="72">
        <v>3.8774934E7</v>
      </c>
      <c r="C1710" s="74">
        <v>46225.95934958333</v>
      </c>
      <c r="D1710" s="2" t="s">
        <v>628</v>
      </c>
      <c r="F1710" s="2" t="s">
        <v>717</v>
      </c>
      <c r="G1710" s="72">
        <v>3.26627896E8</v>
      </c>
    </row>
    <row r="1711">
      <c r="A1711" s="2">
        <v>1.4132040664E10</v>
      </c>
      <c r="B1711" s="72">
        <v>3.8774934E7</v>
      </c>
      <c r="C1711" s="74">
        <v>46223.7516521875</v>
      </c>
      <c r="D1711" s="2" t="s">
        <v>628</v>
      </c>
      <c r="F1711" s="2" t="s">
        <v>683</v>
      </c>
      <c r="G1711" s="72">
        <v>3.25165003E8</v>
      </c>
    </row>
    <row r="1712">
      <c r="A1712" s="2">
        <v>1.4132186663E10</v>
      </c>
      <c r="C1712" s="74">
        <v>46228.75366137731</v>
      </c>
      <c r="D1712" s="2" t="s">
        <v>628</v>
      </c>
      <c r="F1712" s="2" t="s">
        <v>642</v>
      </c>
      <c r="G1712" s="72">
        <v>3.28653404E8</v>
      </c>
    </row>
    <row r="1713">
      <c r="A1713" s="2">
        <v>1.4132186663E10</v>
      </c>
      <c r="B1713" s="72">
        <v>4442920.0</v>
      </c>
      <c r="C1713" s="74">
        <v>46230.545682627315</v>
      </c>
      <c r="D1713" s="2" t="s">
        <v>628</v>
      </c>
      <c r="F1713" s="2" t="s">
        <v>630</v>
      </c>
      <c r="G1713" s="72">
        <v>3.29877513E8</v>
      </c>
    </row>
    <row r="1714">
      <c r="A1714" s="2">
        <v>1.4132186663E10</v>
      </c>
      <c r="B1714" s="72">
        <v>4442920.0</v>
      </c>
      <c r="C1714" s="74">
        <v>46232.96201206019</v>
      </c>
      <c r="D1714" s="2" t="s">
        <v>628</v>
      </c>
      <c r="F1714" s="2" t="s">
        <v>1998</v>
      </c>
      <c r="G1714" s="72">
        <v>3.31590462E8</v>
      </c>
    </row>
    <row r="1715">
      <c r="A1715" s="2">
        <v>1.4132216042E10</v>
      </c>
      <c r="B1715" s="72">
        <v>4443532.0</v>
      </c>
      <c r="C1715" s="74">
        <v>46229.75145069444</v>
      </c>
      <c r="D1715" s="2" t="s">
        <v>628</v>
      </c>
      <c r="F1715" s="2" t="s">
        <v>1606</v>
      </c>
      <c r="G1715" s="72">
        <v>3.29418296E8</v>
      </c>
    </row>
    <row r="1716">
      <c r="A1716" s="2">
        <v>1.4132216042E10</v>
      </c>
      <c r="B1716" s="72">
        <v>4443532.0</v>
      </c>
      <c r="C1716" s="74">
        <v>46232.9590480787</v>
      </c>
      <c r="D1716" s="2" t="s">
        <v>628</v>
      </c>
      <c r="F1716" s="2" t="s">
        <v>1608</v>
      </c>
      <c r="G1716" s="72">
        <v>3.31581191E8</v>
      </c>
    </row>
    <row r="1717">
      <c r="A1717" s="2">
        <v>1.4132216042E10</v>
      </c>
      <c r="B1717" s="72">
        <v>4443532.0</v>
      </c>
      <c r="C1717" s="74">
        <v>46231.54306646991</v>
      </c>
      <c r="D1717" s="2" t="s">
        <v>628</v>
      </c>
      <c r="F1717" s="2" t="s">
        <v>630</v>
      </c>
      <c r="G1717" s="72">
        <v>3.30512427E8</v>
      </c>
    </row>
    <row r="1718">
      <c r="A1718" s="2">
        <v>1.4132856608E10</v>
      </c>
      <c r="B1718" s="72">
        <v>3.9598566E7</v>
      </c>
      <c r="C1718" s="74">
        <v>46220.96076696759</v>
      </c>
      <c r="D1718" s="2" t="s">
        <v>628</v>
      </c>
      <c r="F1718" s="2" t="s">
        <v>2255</v>
      </c>
      <c r="G1718" s="72">
        <v>3.23246141E8</v>
      </c>
    </row>
    <row r="1719">
      <c r="A1719" s="2">
        <v>1.4132856608E10</v>
      </c>
      <c r="C1719" s="74">
        <v>46219.75406752314</v>
      </c>
      <c r="D1719" s="2" t="s">
        <v>628</v>
      </c>
      <c r="F1719" s="2" t="s">
        <v>2256</v>
      </c>
      <c r="G1719" s="72">
        <v>3.22256948E8</v>
      </c>
    </row>
    <row r="1720">
      <c r="A1720" s="2">
        <v>1.4132977346E10</v>
      </c>
      <c r="B1720" s="72">
        <v>3.6934117E7</v>
      </c>
      <c r="C1720" s="74">
        <v>46217.95978185185</v>
      </c>
      <c r="D1720" s="2" t="s">
        <v>628</v>
      </c>
      <c r="F1720" s="2" t="s">
        <v>2257</v>
      </c>
      <c r="G1720" s="72">
        <v>3.21111952E8</v>
      </c>
    </row>
    <row r="1721">
      <c r="A1721" s="2">
        <v>1.4132977346E10</v>
      </c>
      <c r="B1721" s="72">
        <v>3.6934117E7</v>
      </c>
      <c r="C1721" s="74">
        <v>46217.542951041665</v>
      </c>
      <c r="D1721" s="2" t="s">
        <v>628</v>
      </c>
      <c r="F1721" s="2" t="s">
        <v>630</v>
      </c>
      <c r="G1721" s="72">
        <v>3.20719401E8</v>
      </c>
    </row>
    <row r="1722">
      <c r="A1722" s="2">
        <v>1.4132977346E10</v>
      </c>
      <c r="C1722" s="74">
        <v>46215.75128353009</v>
      </c>
      <c r="D1722" s="2" t="s">
        <v>628</v>
      </c>
      <c r="F1722" s="2" t="s">
        <v>2258</v>
      </c>
      <c r="G1722" s="72">
        <v>3.19669139E8</v>
      </c>
    </row>
    <row r="1723">
      <c r="A1723" s="2">
        <v>1.4133135519E10</v>
      </c>
      <c r="C1723" s="74">
        <v>46222.75099443287</v>
      </c>
      <c r="D1723" s="2" t="s">
        <v>628</v>
      </c>
      <c r="F1723" s="2" t="s">
        <v>1696</v>
      </c>
      <c r="G1723" s="72">
        <v>3.24534496E8</v>
      </c>
    </row>
    <row r="1724">
      <c r="A1724" s="2">
        <v>1.4133135519E10</v>
      </c>
      <c r="B1724" s="72">
        <v>3.7742768E7</v>
      </c>
      <c r="C1724" s="74">
        <v>46224.54312033565</v>
      </c>
      <c r="D1724" s="2" t="s">
        <v>628</v>
      </c>
      <c r="F1724" s="2" t="s">
        <v>630</v>
      </c>
      <c r="G1724" s="72">
        <v>3.25595955E8</v>
      </c>
    </row>
    <row r="1725">
      <c r="A1725" s="2">
        <v>1.4133135519E10</v>
      </c>
      <c r="B1725" s="72">
        <v>3.7742768E7</v>
      </c>
      <c r="C1725" s="74">
        <v>46226.96008671296</v>
      </c>
      <c r="D1725" s="2" t="s">
        <v>628</v>
      </c>
      <c r="F1725" s="2" t="s">
        <v>1695</v>
      </c>
      <c r="G1725" s="72">
        <v>3.2733659E8</v>
      </c>
    </row>
    <row r="1726">
      <c r="A1726" s="2">
        <v>1.4133135519E10</v>
      </c>
      <c r="C1726" s="74">
        <v>46222.75211799769</v>
      </c>
      <c r="D1726" s="2" t="s">
        <v>628</v>
      </c>
      <c r="F1726" s="2" t="s">
        <v>1696</v>
      </c>
      <c r="G1726" s="72">
        <v>3.24541668E8</v>
      </c>
    </row>
    <row r="1727">
      <c r="A1727" s="2">
        <v>1.4133292577E10</v>
      </c>
      <c r="B1727" s="72">
        <v>1.3272541E7</v>
      </c>
      <c r="C1727" s="74">
        <v>46234.802881296295</v>
      </c>
      <c r="D1727" s="2" t="s">
        <v>653</v>
      </c>
      <c r="F1727" s="2" t="s">
        <v>1397</v>
      </c>
      <c r="G1727" s="72">
        <v>3.32922787E8</v>
      </c>
    </row>
    <row r="1728">
      <c r="A1728" s="2">
        <v>1.4133292577E10</v>
      </c>
      <c r="B1728" s="72">
        <v>1.3272541E7</v>
      </c>
      <c r="C1728" s="74">
        <v>46234.75387956019</v>
      </c>
      <c r="D1728" s="2" t="s">
        <v>628</v>
      </c>
      <c r="F1728" s="2" t="s">
        <v>683</v>
      </c>
      <c r="G1728" s="72">
        <v>3.32853691E8</v>
      </c>
    </row>
    <row r="1729">
      <c r="A1729" s="2">
        <v>1.4133292577E10</v>
      </c>
      <c r="B1729" s="72">
        <v>1.3272541E7</v>
      </c>
      <c r="C1729" s="74">
        <v>46234.84931238426</v>
      </c>
      <c r="D1729" s="2" t="s">
        <v>667</v>
      </c>
      <c r="E1729" s="2" t="s">
        <v>886</v>
      </c>
      <c r="F1729" s="2" t="s">
        <v>2259</v>
      </c>
      <c r="G1729" s="72">
        <v>3.3297561E8</v>
      </c>
    </row>
    <row r="1730">
      <c r="A1730" s="2">
        <v>1.4133292577E10</v>
      </c>
      <c r="B1730" s="72">
        <v>1.3272541E7</v>
      </c>
      <c r="C1730" s="74">
        <v>46234.80287896991</v>
      </c>
      <c r="D1730" s="2" t="s">
        <v>653</v>
      </c>
      <c r="F1730" s="2" t="s">
        <v>2260</v>
      </c>
      <c r="G1730" s="72">
        <v>3.32922781E8</v>
      </c>
    </row>
    <row r="1731">
      <c r="A1731" s="2">
        <v>1.4133292577E10</v>
      </c>
      <c r="B1731" s="72">
        <v>1.3272541E7</v>
      </c>
      <c r="C1731" s="74">
        <v>46234.84536564814</v>
      </c>
      <c r="D1731" s="2" t="s">
        <v>705</v>
      </c>
      <c r="F1731" s="2" t="s">
        <v>2261</v>
      </c>
      <c r="G1731" s="72">
        <v>3.32971847E8</v>
      </c>
    </row>
    <row r="1732">
      <c r="A1732" s="2">
        <v>1.4133361521E10</v>
      </c>
      <c r="B1732" s="72">
        <v>4618190.0</v>
      </c>
      <c r="C1732" s="74">
        <v>46204.960300694445</v>
      </c>
      <c r="D1732" s="2" t="s">
        <v>628</v>
      </c>
      <c r="F1732" s="2" t="s">
        <v>2262</v>
      </c>
      <c r="G1732" s="72">
        <v>3.12382269E8</v>
      </c>
    </row>
    <row r="1733">
      <c r="A1733" s="2">
        <v>1.4135307045E10</v>
      </c>
      <c r="B1733" s="72">
        <v>5887134.0</v>
      </c>
      <c r="C1733" s="74">
        <v>46233.75371887731</v>
      </c>
      <c r="D1733" s="2" t="s">
        <v>628</v>
      </c>
      <c r="F1733" s="2" t="s">
        <v>1473</v>
      </c>
      <c r="G1733" s="72">
        <v>3.32082812E8</v>
      </c>
    </row>
    <row r="1734">
      <c r="A1734" s="2">
        <v>1.413686159E10</v>
      </c>
      <c r="B1734" s="72">
        <v>4547057.0</v>
      </c>
      <c r="C1734" s="74">
        <v>46225.545739189816</v>
      </c>
      <c r="D1734" s="2" t="s">
        <v>628</v>
      </c>
      <c r="F1734" s="2" t="s">
        <v>630</v>
      </c>
      <c r="G1734" s="72">
        <v>3.26244045E8</v>
      </c>
    </row>
    <row r="1735">
      <c r="A1735" s="2">
        <v>1.413686159E10</v>
      </c>
      <c r="B1735" s="72">
        <v>4547057.0</v>
      </c>
      <c r="C1735" s="74">
        <v>46225.96153690972</v>
      </c>
      <c r="D1735" s="2" t="s">
        <v>628</v>
      </c>
      <c r="F1735" s="2" t="s">
        <v>1482</v>
      </c>
      <c r="G1735" s="72">
        <v>3.2663482E8</v>
      </c>
    </row>
    <row r="1736">
      <c r="A1736" s="2">
        <v>1.413686159E10</v>
      </c>
      <c r="B1736" s="72">
        <v>4547057.0</v>
      </c>
      <c r="C1736" s="74">
        <v>46223.75362524306</v>
      </c>
      <c r="D1736" s="2" t="s">
        <v>628</v>
      </c>
      <c r="F1736" s="2" t="s">
        <v>1483</v>
      </c>
      <c r="G1736" s="72">
        <v>3.2517334E8</v>
      </c>
    </row>
    <row r="1737">
      <c r="A1737" s="2">
        <v>1.4137171417E10</v>
      </c>
      <c r="C1737" s="74">
        <v>46218.75053655093</v>
      </c>
      <c r="D1737" s="2" t="s">
        <v>628</v>
      </c>
      <c r="F1737" s="2" t="s">
        <v>2263</v>
      </c>
      <c r="G1737" s="72">
        <v>3.21557724E8</v>
      </c>
    </row>
    <row r="1738">
      <c r="A1738" s="2">
        <v>1.4137171417E10</v>
      </c>
      <c r="B1738" s="72">
        <v>4238644.0</v>
      </c>
      <c r="C1738" s="74">
        <v>46221.958650381945</v>
      </c>
      <c r="D1738" s="2" t="s">
        <v>628</v>
      </c>
      <c r="F1738" s="2" t="s">
        <v>2264</v>
      </c>
      <c r="G1738" s="72">
        <v>3.23987403E8</v>
      </c>
    </row>
    <row r="1739">
      <c r="A1739" s="2">
        <v>1.4137171417E10</v>
      </c>
      <c r="B1739" s="72">
        <v>4238644.0</v>
      </c>
      <c r="C1739" s="74">
        <v>46220.54265965278</v>
      </c>
      <c r="D1739" s="2" t="s">
        <v>628</v>
      </c>
      <c r="F1739" s="2" t="s">
        <v>630</v>
      </c>
      <c r="G1739" s="72">
        <v>3.22748651E8</v>
      </c>
    </row>
    <row r="1740">
      <c r="A1740" s="2">
        <v>1.508847006E10</v>
      </c>
      <c r="B1740" s="72">
        <v>4217316.0</v>
      </c>
      <c r="C1740" s="74">
        <v>46218.96102436342</v>
      </c>
      <c r="D1740" s="2" t="s">
        <v>628</v>
      </c>
      <c r="F1740" s="2" t="s">
        <v>648</v>
      </c>
      <c r="G1740" s="72">
        <v>3.21772375E8</v>
      </c>
    </row>
    <row r="1741">
      <c r="A1741" s="2">
        <v>1.508847006E10</v>
      </c>
      <c r="B1741" s="72">
        <v>4217316.0</v>
      </c>
      <c r="C1741" s="74">
        <v>46218.54445581019</v>
      </c>
      <c r="D1741" s="2" t="s">
        <v>628</v>
      </c>
      <c r="F1741" s="2" t="s">
        <v>630</v>
      </c>
      <c r="G1741" s="72">
        <v>3.21371843E8</v>
      </c>
    </row>
    <row r="1742">
      <c r="A1742" s="2">
        <v>1.508847006E10</v>
      </c>
      <c r="B1742" s="72">
        <v>4217316.0</v>
      </c>
      <c r="C1742" s="74">
        <v>46216.752548715274</v>
      </c>
      <c r="D1742" s="2" t="s">
        <v>628</v>
      </c>
      <c r="F1742" s="2" t="s">
        <v>647</v>
      </c>
      <c r="G1742" s="72">
        <v>3.20292885E8</v>
      </c>
    </row>
    <row r="1743">
      <c r="A1743" s="2">
        <v>1.5088474085E10</v>
      </c>
      <c r="B1743" s="72">
        <v>1.1831361E7</v>
      </c>
      <c r="C1743" s="74">
        <v>46226.95910893519</v>
      </c>
      <c r="D1743" s="2" t="s">
        <v>628</v>
      </c>
      <c r="F1743" s="2" t="s">
        <v>2265</v>
      </c>
      <c r="G1743" s="72">
        <v>3.27333709E8</v>
      </c>
    </row>
    <row r="1744">
      <c r="A1744" s="2">
        <v>1.5088474085E10</v>
      </c>
      <c r="B1744" s="72">
        <v>1.1831361E7</v>
      </c>
      <c r="C1744" s="74">
        <v>46226.543221886575</v>
      </c>
      <c r="D1744" s="2" t="s">
        <v>628</v>
      </c>
      <c r="F1744" s="2" t="s">
        <v>630</v>
      </c>
      <c r="G1744" s="72">
        <v>3.26883833E8</v>
      </c>
    </row>
    <row r="1745">
      <c r="A1745" s="2">
        <v>1.5088474085E10</v>
      </c>
      <c r="B1745" s="72">
        <v>1.1831361E7</v>
      </c>
      <c r="C1745" s="74">
        <v>46224.75111179399</v>
      </c>
      <c r="D1745" s="2" t="s">
        <v>628</v>
      </c>
      <c r="F1745" s="2" t="s">
        <v>2266</v>
      </c>
      <c r="G1745" s="72">
        <v>3.25788086E8</v>
      </c>
    </row>
    <row r="1746">
      <c r="A1746" s="2">
        <v>1.5142223351E10</v>
      </c>
      <c r="B1746" s="72">
        <v>3.6329787E7</v>
      </c>
      <c r="C1746" s="74">
        <v>46211.961695509264</v>
      </c>
      <c r="D1746" s="2" t="s">
        <v>628</v>
      </c>
      <c r="F1746" s="2" t="s">
        <v>2267</v>
      </c>
      <c r="G1746" s="72">
        <v>3.16990447E8</v>
      </c>
    </row>
    <row r="1747">
      <c r="A1747" s="2">
        <v>1.5142223351E10</v>
      </c>
      <c r="C1747" s="74">
        <v>46208.75340368056</v>
      </c>
      <c r="D1747" s="2" t="s">
        <v>628</v>
      </c>
      <c r="F1747" s="2" t="s">
        <v>2268</v>
      </c>
      <c r="G1747" s="72">
        <v>3.15001564E8</v>
      </c>
    </row>
    <row r="1748">
      <c r="A1748" s="2">
        <v>1.5142223351E10</v>
      </c>
      <c r="B1748" s="72">
        <v>3.6329787E7</v>
      </c>
      <c r="C1748" s="74">
        <v>46210.54487349537</v>
      </c>
      <c r="D1748" s="2" t="s">
        <v>628</v>
      </c>
      <c r="F1748" s="2" t="s">
        <v>630</v>
      </c>
      <c r="G1748" s="72">
        <v>3.16028726E8</v>
      </c>
    </row>
    <row r="1749">
      <c r="A1749" s="2">
        <v>1.518222764E10</v>
      </c>
      <c r="B1749" s="72">
        <v>3.7745138E7</v>
      </c>
      <c r="C1749" s="74">
        <v>46224.543296331016</v>
      </c>
      <c r="D1749" s="2" t="s">
        <v>628</v>
      </c>
      <c r="F1749" s="2" t="s">
        <v>630</v>
      </c>
      <c r="G1749" s="72">
        <v>3.25598492E8</v>
      </c>
    </row>
    <row r="1750">
      <c r="A1750" s="2">
        <v>1.518222764E10</v>
      </c>
      <c r="B1750" s="72">
        <v>3.7745138E7</v>
      </c>
      <c r="C1750" s="74">
        <v>46224.96020436342</v>
      </c>
      <c r="D1750" s="2" t="s">
        <v>628</v>
      </c>
      <c r="F1750" s="2" t="s">
        <v>922</v>
      </c>
      <c r="G1750" s="72">
        <v>3.25987005E8</v>
      </c>
    </row>
    <row r="1751">
      <c r="A1751" s="2">
        <v>1.518222764E10</v>
      </c>
      <c r="C1751" s="74">
        <v>46222.752040625</v>
      </c>
      <c r="D1751" s="2" t="s">
        <v>628</v>
      </c>
      <c r="F1751" s="2" t="s">
        <v>663</v>
      </c>
      <c r="G1751" s="72">
        <v>3.24540992E8</v>
      </c>
    </row>
    <row r="1752">
      <c r="A1752" s="2">
        <v>1.5182606828E10</v>
      </c>
      <c r="C1752" s="74">
        <v>46222.752153113426</v>
      </c>
      <c r="D1752" s="2" t="s">
        <v>628</v>
      </c>
      <c r="F1752" s="2" t="s">
        <v>2269</v>
      </c>
      <c r="G1752" s="72">
        <v>3.24541991E8</v>
      </c>
    </row>
    <row r="1753">
      <c r="A1753" s="2">
        <v>1.5182606828E10</v>
      </c>
      <c r="B1753" s="72">
        <v>1.0537317E7</v>
      </c>
      <c r="C1753" s="74">
        <v>46224.96071238426</v>
      </c>
      <c r="D1753" s="2" t="s">
        <v>628</v>
      </c>
      <c r="F1753" s="2" t="s">
        <v>2270</v>
      </c>
      <c r="G1753" s="72">
        <v>3.25988562E8</v>
      </c>
    </row>
    <row r="1754">
      <c r="A1754" s="2">
        <v>1.5182606828E10</v>
      </c>
      <c r="B1754" s="72">
        <v>1.0537317E7</v>
      </c>
      <c r="C1754" s="74">
        <v>46224.54429554398</v>
      </c>
      <c r="D1754" s="2" t="s">
        <v>628</v>
      </c>
      <c r="F1754" s="2" t="s">
        <v>630</v>
      </c>
      <c r="G1754" s="72">
        <v>3.25612334E8</v>
      </c>
    </row>
    <row r="1755">
      <c r="A1755" s="2">
        <v>1.5183616691E10</v>
      </c>
      <c r="C1755" s="74">
        <v>46213.7520932176</v>
      </c>
      <c r="D1755" s="2" t="s">
        <v>628</v>
      </c>
      <c r="F1755" s="2" t="s">
        <v>2271</v>
      </c>
      <c r="G1755" s="72">
        <v>3.1817125E8</v>
      </c>
    </row>
    <row r="1756">
      <c r="A1756" s="2">
        <v>1.5183616691E10</v>
      </c>
      <c r="B1756" s="72">
        <v>4167596.0</v>
      </c>
      <c r="C1756" s="74">
        <v>46215.54405065972</v>
      </c>
      <c r="D1756" s="2" t="s">
        <v>628</v>
      </c>
      <c r="F1756" s="2" t="s">
        <v>630</v>
      </c>
      <c r="G1756" s="72">
        <v>3.19466991E8</v>
      </c>
    </row>
    <row r="1757">
      <c r="A1757" s="2">
        <v>1.5183616691E10</v>
      </c>
      <c r="B1757" s="72">
        <v>4167596.0</v>
      </c>
      <c r="C1757" s="74">
        <v>46220.96062185185</v>
      </c>
      <c r="D1757" s="2" t="s">
        <v>628</v>
      </c>
      <c r="F1757" s="2" t="s">
        <v>2272</v>
      </c>
      <c r="G1757" s="72">
        <v>3.23245519E8</v>
      </c>
    </row>
    <row r="1758">
      <c r="A1758" s="2">
        <v>1.5184595452E10</v>
      </c>
      <c r="B1758" s="72">
        <v>4.0611638E7</v>
      </c>
      <c r="C1758" s="74">
        <v>46232.54308246528</v>
      </c>
      <c r="D1758" s="2" t="s">
        <v>628</v>
      </c>
      <c r="F1758" s="2" t="s">
        <v>630</v>
      </c>
      <c r="G1758" s="72">
        <v>3.31161952E8</v>
      </c>
    </row>
    <row r="1759">
      <c r="A1759" s="2">
        <v>1.5184595452E10</v>
      </c>
      <c r="C1759" s="74">
        <v>46230.75119646991</v>
      </c>
      <c r="D1759" s="2" t="s">
        <v>628</v>
      </c>
      <c r="F1759" s="2" t="s">
        <v>1346</v>
      </c>
      <c r="G1759" s="72">
        <v>3.3005697E8</v>
      </c>
    </row>
    <row r="1760">
      <c r="A1760" s="2">
        <v>1.5184595452E10</v>
      </c>
      <c r="B1760" s="72">
        <v>4.0611638E7</v>
      </c>
      <c r="C1760" s="74">
        <v>46232.959020891205</v>
      </c>
      <c r="D1760" s="2" t="s">
        <v>628</v>
      </c>
      <c r="F1760" s="2" t="s">
        <v>1347</v>
      </c>
      <c r="G1760" s="72">
        <v>3.31581148E8</v>
      </c>
    </row>
    <row r="1761">
      <c r="A1761" s="2">
        <v>1.5184961191E10</v>
      </c>
      <c r="B1761" s="72">
        <v>3.8994103E7</v>
      </c>
      <c r="C1761" s="74">
        <v>46234.54272541667</v>
      </c>
      <c r="D1761" s="2" t="s">
        <v>628</v>
      </c>
      <c r="F1761" s="2" t="s">
        <v>630</v>
      </c>
      <c r="G1761" s="72">
        <v>3.32588159E8</v>
      </c>
    </row>
    <row r="1762">
      <c r="A1762" s="2">
        <v>1.5184961191E10</v>
      </c>
      <c r="C1762" s="74">
        <v>46232.75185685186</v>
      </c>
      <c r="D1762" s="2" t="s">
        <v>628</v>
      </c>
      <c r="F1762" s="2" t="s">
        <v>656</v>
      </c>
      <c r="G1762" s="72">
        <v>3.31377333E8</v>
      </c>
    </row>
    <row r="1763">
      <c r="A1763" s="2">
        <v>1.5187420912E10</v>
      </c>
      <c r="B1763" s="72">
        <v>4051321.0</v>
      </c>
      <c r="C1763" s="74">
        <v>46208.75174554398</v>
      </c>
      <c r="D1763" s="2" t="s">
        <v>628</v>
      </c>
      <c r="F1763" s="2" t="s">
        <v>924</v>
      </c>
      <c r="G1763" s="72">
        <v>3.14989509E8</v>
      </c>
    </row>
    <row r="1764">
      <c r="A1764" s="2">
        <v>1.5187420912E10</v>
      </c>
      <c r="B1764" s="72">
        <v>4051321.0</v>
      </c>
      <c r="C1764" s="74">
        <v>46210.543130266204</v>
      </c>
      <c r="D1764" s="2" t="s">
        <v>628</v>
      </c>
      <c r="F1764" s="2" t="s">
        <v>630</v>
      </c>
      <c r="G1764" s="72">
        <v>3.16004537E8</v>
      </c>
    </row>
    <row r="1765">
      <c r="A1765" s="2">
        <v>1.5187420912E10</v>
      </c>
      <c r="B1765" s="72">
        <v>4051321.0</v>
      </c>
      <c r="C1765" s="74">
        <v>46208.891835925926</v>
      </c>
      <c r="D1765" s="2" t="s">
        <v>705</v>
      </c>
      <c r="F1765" s="2" t="s">
        <v>2273</v>
      </c>
      <c r="G1765" s="72">
        <v>3.15116557E8</v>
      </c>
    </row>
    <row r="1766">
      <c r="A1766" s="2">
        <v>1.5187420912E10</v>
      </c>
      <c r="B1766" s="72">
        <v>4051321.0</v>
      </c>
      <c r="C1766" s="74">
        <v>46209.0142653588</v>
      </c>
      <c r="D1766" s="2" t="s">
        <v>705</v>
      </c>
      <c r="F1766" s="2" t="s">
        <v>2274</v>
      </c>
      <c r="G1766" s="72">
        <v>3.15204962E8</v>
      </c>
    </row>
    <row r="1767">
      <c r="A1767" s="2">
        <v>1.5187420912E10</v>
      </c>
      <c r="B1767" s="72">
        <v>4051321.0</v>
      </c>
      <c r="C1767" s="74">
        <v>46212.95950358796</v>
      </c>
      <c r="D1767" s="2" t="s">
        <v>628</v>
      </c>
      <c r="F1767" s="2" t="s">
        <v>925</v>
      </c>
      <c r="G1767" s="72">
        <v>3.17655786E8</v>
      </c>
    </row>
    <row r="1768">
      <c r="A1768" s="2">
        <v>1.518775878E10</v>
      </c>
      <c r="B1768" s="72">
        <v>4502530.0</v>
      </c>
      <c r="C1768" s="74">
        <v>46228.54533523148</v>
      </c>
      <c r="D1768" s="2" t="s">
        <v>628</v>
      </c>
      <c r="F1768" s="2" t="s">
        <v>630</v>
      </c>
      <c r="G1768" s="72">
        <v>3.28441218E8</v>
      </c>
    </row>
    <row r="1769">
      <c r="A1769" s="2">
        <v>1.518775878E10</v>
      </c>
      <c r="B1769" s="72">
        <v>4502530.0</v>
      </c>
      <c r="C1769" s="74">
        <v>46229.96375347222</v>
      </c>
      <c r="D1769" s="2" t="s">
        <v>628</v>
      </c>
      <c r="F1769" s="2" t="s">
        <v>2275</v>
      </c>
      <c r="G1769" s="72">
        <v>3.29618258E8</v>
      </c>
    </row>
    <row r="1770">
      <c r="A1770" s="2">
        <v>1.518775878E10</v>
      </c>
      <c r="B1770" s="72">
        <v>4502530.0</v>
      </c>
      <c r="C1770" s="74">
        <v>46226.75449290509</v>
      </c>
      <c r="D1770" s="2" t="s">
        <v>628</v>
      </c>
      <c r="F1770" s="2" t="s">
        <v>2276</v>
      </c>
      <c r="G1770" s="72">
        <v>3.27121451E8</v>
      </c>
    </row>
    <row r="1771">
      <c r="A1771" s="2">
        <v>1.5189869189E10</v>
      </c>
      <c r="B1771" s="72">
        <v>4073652.0</v>
      </c>
      <c r="C1771" s="74">
        <v>46228.960019074075</v>
      </c>
      <c r="D1771" s="2" t="s">
        <v>628</v>
      </c>
      <c r="F1771" s="2" t="s">
        <v>2277</v>
      </c>
      <c r="G1771" s="72">
        <v>3.28861417E8</v>
      </c>
    </row>
    <row r="1772">
      <c r="A1772" s="2">
        <v>1.5189869189E10</v>
      </c>
      <c r="B1772" s="72">
        <v>4073652.0</v>
      </c>
      <c r="C1772" s="74">
        <v>46226.54350184028</v>
      </c>
      <c r="D1772" s="2" t="s">
        <v>628</v>
      </c>
      <c r="F1772" s="2" t="s">
        <v>630</v>
      </c>
      <c r="G1772" s="72">
        <v>3.26887216E8</v>
      </c>
    </row>
    <row r="1773">
      <c r="A1773" s="2">
        <v>1.5189869189E10</v>
      </c>
      <c r="C1773" s="74">
        <v>46224.75203319444</v>
      </c>
      <c r="D1773" s="2" t="s">
        <v>628</v>
      </c>
      <c r="F1773" s="2" t="s">
        <v>2278</v>
      </c>
      <c r="G1773" s="72">
        <v>3.25794247E8</v>
      </c>
    </row>
    <row r="1774">
      <c r="A1774" s="2">
        <v>1.5714803881E10</v>
      </c>
      <c r="C1774" s="74">
        <v>46224.75251373842</v>
      </c>
      <c r="D1774" s="2" t="s">
        <v>628</v>
      </c>
      <c r="F1774" s="2" t="s">
        <v>1214</v>
      </c>
      <c r="G1774" s="72">
        <v>3.25797577E8</v>
      </c>
    </row>
    <row r="1775">
      <c r="A1775" s="2">
        <v>1.5714803881E10</v>
      </c>
      <c r="B1775" s="72">
        <v>3.7943185E7</v>
      </c>
      <c r="C1775" s="74">
        <v>46225.96099291666</v>
      </c>
      <c r="D1775" s="2" t="s">
        <v>628</v>
      </c>
      <c r="F1775" s="2" t="s">
        <v>1215</v>
      </c>
      <c r="G1775" s="72">
        <v>3.26632845E8</v>
      </c>
    </row>
    <row r="1776">
      <c r="A1776" s="2">
        <v>1.585729675E10</v>
      </c>
      <c r="B1776" s="72">
        <v>1.3727495E7</v>
      </c>
      <c r="C1776" s="74">
        <v>46226.75191849537</v>
      </c>
      <c r="D1776" s="2" t="s">
        <v>628</v>
      </c>
      <c r="F1776" s="2" t="s">
        <v>2279</v>
      </c>
      <c r="G1776" s="72">
        <v>3.27103177E8</v>
      </c>
    </row>
    <row r="1777">
      <c r="A1777" s="2">
        <v>1.585729675E10</v>
      </c>
      <c r="B1777" s="72">
        <v>1.3727495E7</v>
      </c>
      <c r="C1777" s="74">
        <v>46228.54399319444</v>
      </c>
      <c r="D1777" s="2" t="s">
        <v>628</v>
      </c>
      <c r="F1777" s="2" t="s">
        <v>630</v>
      </c>
      <c r="G1777" s="72">
        <v>3.28418071E8</v>
      </c>
    </row>
    <row r="1778">
      <c r="A1778" s="2">
        <v>1.585729675E10</v>
      </c>
      <c r="B1778" s="72">
        <v>1.3727495E7</v>
      </c>
      <c r="C1778" s="74">
        <v>46229.960550324075</v>
      </c>
      <c r="D1778" s="2" t="s">
        <v>628</v>
      </c>
      <c r="F1778" s="2" t="s">
        <v>2280</v>
      </c>
      <c r="G1778" s="72">
        <v>3.29611658E8</v>
      </c>
    </row>
    <row r="1779">
      <c r="A1779" s="2">
        <v>1.6033404341E10</v>
      </c>
      <c r="B1779" s="72">
        <v>4107826.0</v>
      </c>
      <c r="C1779" s="74">
        <v>46210.543720208334</v>
      </c>
      <c r="D1779" s="2" t="s">
        <v>628</v>
      </c>
      <c r="F1779" s="2" t="s">
        <v>630</v>
      </c>
      <c r="G1779" s="72">
        <v>3.1601285E8</v>
      </c>
    </row>
    <row r="1780">
      <c r="A1780" s="2">
        <v>1.6033404341E10</v>
      </c>
      <c r="C1780" s="74">
        <v>46208.75206315972</v>
      </c>
      <c r="D1780" s="2" t="s">
        <v>628</v>
      </c>
      <c r="F1780" s="2" t="s">
        <v>1875</v>
      </c>
      <c r="G1780" s="72">
        <v>3.14992004E8</v>
      </c>
    </row>
    <row r="1781">
      <c r="A1781" s="2">
        <v>1.6033404341E10</v>
      </c>
      <c r="B1781" s="72">
        <v>4107826.0</v>
      </c>
      <c r="C1781" s="74">
        <v>46215.95982376157</v>
      </c>
      <c r="D1781" s="2" t="s">
        <v>628</v>
      </c>
      <c r="F1781" s="2" t="s">
        <v>1874</v>
      </c>
      <c r="G1781" s="72">
        <v>3.1985754E8</v>
      </c>
    </row>
    <row r="1782">
      <c r="A1782" s="2">
        <v>1.6033623881E10</v>
      </c>
      <c r="B1782" s="72">
        <v>1.0200776E7</v>
      </c>
      <c r="C1782" s="74">
        <v>46212.958549131945</v>
      </c>
      <c r="D1782" s="2" t="s">
        <v>628</v>
      </c>
      <c r="F1782" s="2" t="s">
        <v>838</v>
      </c>
      <c r="G1782" s="72">
        <v>3.17653978E8</v>
      </c>
    </row>
    <row r="1783">
      <c r="A1783" s="2">
        <v>1.6033623881E10</v>
      </c>
      <c r="B1783" s="72">
        <v>1.0200776E7</v>
      </c>
      <c r="C1783" s="74">
        <v>46209.75034077546</v>
      </c>
      <c r="D1783" s="2" t="s">
        <v>628</v>
      </c>
      <c r="F1783" s="2" t="s">
        <v>785</v>
      </c>
      <c r="G1783" s="72">
        <v>3.15580762E8</v>
      </c>
    </row>
    <row r="1784">
      <c r="A1784" s="2">
        <v>1.6033623881E10</v>
      </c>
      <c r="B1784" s="72">
        <v>1.0200776E7</v>
      </c>
      <c r="C1784" s="74">
        <v>46211.54251980324</v>
      </c>
      <c r="D1784" s="2" t="s">
        <v>628</v>
      </c>
      <c r="F1784" s="2" t="s">
        <v>630</v>
      </c>
      <c r="G1784" s="72">
        <v>3.16588267E8</v>
      </c>
    </row>
    <row r="1785">
      <c r="A1785" s="2">
        <v>1.6034385777E10</v>
      </c>
      <c r="B1785" s="72">
        <v>3.0673956E7</v>
      </c>
      <c r="C1785" s="74">
        <v>46212.96047310185</v>
      </c>
      <c r="D1785" s="2" t="s">
        <v>628</v>
      </c>
      <c r="F1785" s="2" t="s">
        <v>2281</v>
      </c>
      <c r="G1785" s="72">
        <v>3.17659557E8</v>
      </c>
    </row>
    <row r="1786">
      <c r="A1786" s="2">
        <v>1.6034385777E10</v>
      </c>
      <c r="C1786" s="74">
        <v>46209.752868807875</v>
      </c>
      <c r="D1786" s="2" t="s">
        <v>628</v>
      </c>
      <c r="F1786" s="2" t="s">
        <v>2282</v>
      </c>
      <c r="G1786" s="72">
        <v>3.15589269E8</v>
      </c>
    </row>
    <row r="1787">
      <c r="A1787" s="2">
        <v>1.6034385777E10</v>
      </c>
      <c r="B1787" s="72">
        <v>3.0673956E7</v>
      </c>
      <c r="C1787" s="74">
        <v>46211.544126469904</v>
      </c>
      <c r="D1787" s="2" t="s">
        <v>628</v>
      </c>
      <c r="F1787" s="2" t="s">
        <v>630</v>
      </c>
      <c r="G1787" s="72">
        <v>3.16608236E8</v>
      </c>
    </row>
    <row r="1788">
      <c r="A1788" s="2">
        <v>1.6034946175E10</v>
      </c>
      <c r="B1788" s="72">
        <v>3617934.0</v>
      </c>
      <c r="C1788" s="74">
        <v>46220.54422556713</v>
      </c>
      <c r="D1788" s="2" t="s">
        <v>628</v>
      </c>
      <c r="F1788" s="2" t="s">
        <v>630</v>
      </c>
      <c r="G1788" s="72">
        <v>3.22763886E8</v>
      </c>
    </row>
    <row r="1789">
      <c r="A1789" s="2">
        <v>1.6034946175E10</v>
      </c>
      <c r="C1789" s="74">
        <v>46218.75120337963</v>
      </c>
      <c r="D1789" s="2" t="s">
        <v>628</v>
      </c>
      <c r="F1789" s="2" t="s">
        <v>642</v>
      </c>
      <c r="G1789" s="72">
        <v>3.21560209E8</v>
      </c>
    </row>
    <row r="1790">
      <c r="A1790" s="2">
        <v>1.6034946175E10</v>
      </c>
      <c r="B1790" s="72">
        <v>3617934.0</v>
      </c>
      <c r="C1790" s="74">
        <v>46220.96014030093</v>
      </c>
      <c r="D1790" s="2" t="s">
        <v>628</v>
      </c>
      <c r="F1790" s="2" t="s">
        <v>1998</v>
      </c>
      <c r="G1790" s="72">
        <v>3.23243738E8</v>
      </c>
    </row>
    <row r="1791">
      <c r="A1791" s="2">
        <v>1.6035628978E10</v>
      </c>
      <c r="C1791" s="74">
        <v>46222.7518453588</v>
      </c>
      <c r="D1791" s="2" t="s">
        <v>628</v>
      </c>
      <c r="F1791" s="2" t="s">
        <v>2283</v>
      </c>
      <c r="G1791" s="72">
        <v>3.24539341E8</v>
      </c>
    </row>
    <row r="1792">
      <c r="A1792" s="2">
        <v>1.6035628978E10</v>
      </c>
      <c r="B1792" s="72">
        <v>3782929.0</v>
      </c>
      <c r="C1792" s="74">
        <v>46224.95911038194</v>
      </c>
      <c r="D1792" s="2" t="s">
        <v>628</v>
      </c>
      <c r="F1792" s="2" t="s">
        <v>2284</v>
      </c>
      <c r="G1792" s="72">
        <v>3.25983843E8</v>
      </c>
    </row>
    <row r="1793">
      <c r="A1793" s="2">
        <v>1.6035628978E10</v>
      </c>
      <c r="B1793" s="72">
        <v>3782929.0</v>
      </c>
      <c r="C1793" s="74">
        <v>46224.543046122686</v>
      </c>
      <c r="D1793" s="2" t="s">
        <v>628</v>
      </c>
      <c r="F1793" s="2" t="s">
        <v>630</v>
      </c>
      <c r="G1793" s="72">
        <v>3.25595059E8</v>
      </c>
    </row>
    <row r="1794">
      <c r="A1794" s="2">
        <v>1.603923519E10</v>
      </c>
      <c r="C1794" s="74">
        <v>46211.750658703706</v>
      </c>
      <c r="D1794" s="2" t="s">
        <v>628</v>
      </c>
      <c r="F1794" s="2" t="s">
        <v>1637</v>
      </c>
      <c r="G1794" s="72">
        <v>3.16783596E8</v>
      </c>
    </row>
    <row r="1795">
      <c r="A1795" s="2">
        <v>1.603923519E10</v>
      </c>
      <c r="B1795" s="72">
        <v>3.7230488E7</v>
      </c>
      <c r="C1795" s="74">
        <v>46212.959630972226</v>
      </c>
      <c r="D1795" s="2" t="s">
        <v>628</v>
      </c>
      <c r="F1795" s="2" t="s">
        <v>1635</v>
      </c>
      <c r="G1795" s="72">
        <v>3.17656221E8</v>
      </c>
    </row>
    <row r="1796">
      <c r="A1796" s="2">
        <v>1.617240041E10</v>
      </c>
      <c r="B1796" s="72">
        <v>4051268.0</v>
      </c>
      <c r="C1796" s="74">
        <v>46209.95960633102</v>
      </c>
      <c r="D1796" s="2" t="s">
        <v>628</v>
      </c>
      <c r="F1796" s="2" t="s">
        <v>1808</v>
      </c>
      <c r="G1796" s="72">
        <v>3.15777649E8</v>
      </c>
    </row>
    <row r="1797">
      <c r="A1797" s="2">
        <v>1.617240041E10</v>
      </c>
      <c r="B1797" s="72">
        <v>4051268.0</v>
      </c>
      <c r="C1797" s="74">
        <v>46209.54334077546</v>
      </c>
      <c r="D1797" s="2" t="s">
        <v>628</v>
      </c>
      <c r="F1797" s="2" t="s">
        <v>630</v>
      </c>
      <c r="G1797" s="72">
        <v>3.15392017E8</v>
      </c>
    </row>
    <row r="1798">
      <c r="A1798" s="2">
        <v>1.617240041E10</v>
      </c>
      <c r="C1798" s="74">
        <v>46207.75094766203</v>
      </c>
      <c r="D1798" s="2" t="s">
        <v>628</v>
      </c>
      <c r="F1798" s="2" t="s">
        <v>683</v>
      </c>
      <c r="G1798" s="72">
        <v>3.14279394E8</v>
      </c>
    </row>
    <row r="1799">
      <c r="A1799" s="2">
        <v>1.617512143E10</v>
      </c>
      <c r="B1799" s="72">
        <v>3.6418233E7</v>
      </c>
      <c r="C1799" s="74">
        <v>46204.677642662034</v>
      </c>
      <c r="D1799" s="2" t="s">
        <v>628</v>
      </c>
      <c r="F1799" s="2" t="s">
        <v>663</v>
      </c>
      <c r="G1799" s="72">
        <v>3.12141638E8</v>
      </c>
    </row>
    <row r="1800">
      <c r="A1800" s="2">
        <v>1.617512143E10</v>
      </c>
      <c r="B1800" s="72">
        <v>3.6418233E7</v>
      </c>
      <c r="C1800" s="74">
        <v>46204.96072239583</v>
      </c>
      <c r="D1800" s="2" t="s">
        <v>628</v>
      </c>
      <c r="F1800" s="2" t="s">
        <v>662</v>
      </c>
      <c r="G1800" s="72">
        <v>3.12384099E8</v>
      </c>
    </row>
    <row r="1801">
      <c r="A1801" s="2">
        <v>1.6314841452E10</v>
      </c>
      <c r="B1801" s="72">
        <v>1.1382451E7</v>
      </c>
      <c r="C1801" s="74">
        <v>46232.54503243056</v>
      </c>
      <c r="D1801" s="2" t="s">
        <v>628</v>
      </c>
      <c r="F1801" s="2" t="s">
        <v>630</v>
      </c>
      <c r="G1801" s="72">
        <v>3.31182898E8</v>
      </c>
    </row>
    <row r="1802">
      <c r="A1802" s="2">
        <v>1.6314841452E10</v>
      </c>
      <c r="C1802" s="74">
        <v>46230.75370771991</v>
      </c>
      <c r="D1802" s="2" t="s">
        <v>628</v>
      </c>
      <c r="F1802" s="2" t="s">
        <v>2285</v>
      </c>
      <c r="G1802" s="72">
        <v>3.30068113E8</v>
      </c>
    </row>
    <row r="1803">
      <c r="A1803" s="2">
        <v>1.7742403122E10</v>
      </c>
      <c r="B1803" s="72">
        <v>4380056.0</v>
      </c>
      <c r="C1803" s="74">
        <v>46232.54234875</v>
      </c>
      <c r="D1803" s="2" t="s">
        <v>628</v>
      </c>
      <c r="F1803" s="2" t="s">
        <v>630</v>
      </c>
      <c r="G1803" s="72">
        <v>3.31156285E8</v>
      </c>
    </row>
    <row r="1804">
      <c r="A1804" s="2">
        <v>1.7742403122E10</v>
      </c>
      <c r="B1804" s="72">
        <v>4380056.0</v>
      </c>
      <c r="C1804" s="74">
        <v>46233.95930136574</v>
      </c>
      <c r="D1804" s="2" t="s">
        <v>628</v>
      </c>
      <c r="F1804" s="2" t="s">
        <v>1734</v>
      </c>
      <c r="G1804" s="72">
        <v>3.32300459E8</v>
      </c>
    </row>
    <row r="1805">
      <c r="A1805" s="2">
        <v>1.7742403122E10</v>
      </c>
      <c r="B1805" s="72">
        <v>4380056.0</v>
      </c>
      <c r="C1805" s="74">
        <v>46230.75050613426</v>
      </c>
      <c r="D1805" s="2" t="s">
        <v>628</v>
      </c>
      <c r="F1805" s="2" t="s">
        <v>641</v>
      </c>
      <c r="G1805" s="72">
        <v>3.30055252E8</v>
      </c>
    </row>
    <row r="1806">
      <c r="A1806" s="2">
        <v>1.7742494531E10</v>
      </c>
      <c r="B1806" s="72">
        <v>4073310.0</v>
      </c>
      <c r="C1806" s="74">
        <v>46215.753361423616</v>
      </c>
      <c r="D1806" s="2" t="s">
        <v>628</v>
      </c>
      <c r="F1806" s="2" t="s">
        <v>1875</v>
      </c>
      <c r="G1806" s="72">
        <v>3.19683229E8</v>
      </c>
    </row>
    <row r="1807">
      <c r="A1807" s="2">
        <v>1.7742494531E10</v>
      </c>
      <c r="B1807" s="72">
        <v>4073310.0</v>
      </c>
      <c r="C1807" s="74">
        <v>46217.544859131944</v>
      </c>
      <c r="D1807" s="2" t="s">
        <v>628</v>
      </c>
      <c r="F1807" s="2" t="s">
        <v>630</v>
      </c>
      <c r="G1807" s="72">
        <v>3.20743859E8</v>
      </c>
    </row>
    <row r="1808">
      <c r="A1808" s="2">
        <v>1.7742494531E10</v>
      </c>
      <c r="B1808" s="72">
        <v>4073310.0</v>
      </c>
      <c r="C1808" s="74">
        <v>46219.96174958334</v>
      </c>
      <c r="D1808" s="2" t="s">
        <v>628</v>
      </c>
      <c r="F1808" s="2" t="s">
        <v>1874</v>
      </c>
      <c r="G1808" s="72">
        <v>3.22481403E8</v>
      </c>
    </row>
    <row r="1809">
      <c r="A1809" s="2">
        <v>1.8022498723E10</v>
      </c>
      <c r="B1809" s="72">
        <v>3.7485918E7</v>
      </c>
      <c r="C1809" s="74">
        <v>46234.75454097222</v>
      </c>
      <c r="D1809" s="2" t="s">
        <v>628</v>
      </c>
      <c r="F1809" s="2" t="s">
        <v>2054</v>
      </c>
      <c r="G1809" s="72">
        <v>3.32860586E8</v>
      </c>
    </row>
    <row r="1810">
      <c r="A1810" s="2">
        <v>1.8023709457E10</v>
      </c>
      <c r="B1810" s="72">
        <v>3.4450203E7</v>
      </c>
      <c r="C1810" s="74">
        <v>46207.544593136576</v>
      </c>
      <c r="D1810" s="2" t="s">
        <v>628</v>
      </c>
      <c r="F1810" s="2" t="s">
        <v>630</v>
      </c>
      <c r="G1810" s="72">
        <v>3.1408738E8</v>
      </c>
    </row>
    <row r="1811">
      <c r="A1811" s="2">
        <v>1.8023709457E10</v>
      </c>
      <c r="B1811" s="72">
        <v>3.4450203E7</v>
      </c>
      <c r="C1811" s="74">
        <v>46205.75329253472</v>
      </c>
      <c r="D1811" s="2" t="s">
        <v>628</v>
      </c>
      <c r="F1811" s="2" t="s">
        <v>2286</v>
      </c>
      <c r="G1811" s="72">
        <v>3.1283909E8</v>
      </c>
    </row>
    <row r="1812">
      <c r="A1812" s="2">
        <v>1.8023709457E10</v>
      </c>
      <c r="B1812" s="72">
        <v>3.4450203E7</v>
      </c>
      <c r="C1812" s="74">
        <v>46207.96108775463</v>
      </c>
      <c r="D1812" s="2" t="s">
        <v>628</v>
      </c>
      <c r="F1812" s="2" t="s">
        <v>2287</v>
      </c>
      <c r="G1812" s="72">
        <v>3.14486653E8</v>
      </c>
    </row>
    <row r="1813">
      <c r="A1813" s="2">
        <v>1.8025783269E10</v>
      </c>
      <c r="B1813" s="72">
        <v>4053642.0</v>
      </c>
      <c r="C1813" s="74">
        <v>46207.544727002314</v>
      </c>
      <c r="D1813" s="2" t="s">
        <v>628</v>
      </c>
      <c r="F1813" s="2" t="s">
        <v>630</v>
      </c>
      <c r="G1813" s="72">
        <v>3.14090061E8</v>
      </c>
    </row>
    <row r="1814">
      <c r="A1814" s="2">
        <v>1.8025783269E10</v>
      </c>
      <c r="B1814" s="72">
        <v>4053642.0</v>
      </c>
      <c r="C1814" s="74">
        <v>46208.961599270835</v>
      </c>
      <c r="D1814" s="2" t="s">
        <v>628</v>
      </c>
      <c r="F1814" s="2" t="s">
        <v>662</v>
      </c>
      <c r="G1814" s="72">
        <v>3.15169031E8</v>
      </c>
    </row>
    <row r="1815">
      <c r="A1815" s="2">
        <v>1.8025783269E10</v>
      </c>
      <c r="C1815" s="74">
        <v>46205.753466863425</v>
      </c>
      <c r="D1815" s="2" t="s">
        <v>628</v>
      </c>
      <c r="F1815" s="2" t="s">
        <v>663</v>
      </c>
      <c r="G1815" s="72">
        <v>3.12841263E8</v>
      </c>
    </row>
    <row r="1816">
      <c r="A1816" s="2">
        <v>1.8027345281E10</v>
      </c>
      <c r="B1816" s="72">
        <v>1.1180695E7</v>
      </c>
      <c r="C1816" s="74">
        <v>46226.75199621527</v>
      </c>
      <c r="D1816" s="2" t="s">
        <v>628</v>
      </c>
      <c r="F1816" s="2" t="s">
        <v>2288</v>
      </c>
      <c r="G1816" s="72">
        <v>3.27103866E8</v>
      </c>
    </row>
    <row r="1817">
      <c r="A1817" s="2">
        <v>1.8027345281E10</v>
      </c>
      <c r="B1817" s="72">
        <v>1.1180695E7</v>
      </c>
      <c r="C1817" s="74">
        <v>46228.95969135417</v>
      </c>
      <c r="D1817" s="2" t="s">
        <v>628</v>
      </c>
      <c r="F1817" s="2" t="s">
        <v>2289</v>
      </c>
      <c r="G1817" s="72">
        <v>3.28859029E8</v>
      </c>
    </row>
    <row r="1818">
      <c r="A1818" s="2">
        <v>1.8027345281E10</v>
      </c>
      <c r="B1818" s="72">
        <v>1.1180695E7</v>
      </c>
      <c r="C1818" s="74">
        <v>46228.54383609953</v>
      </c>
      <c r="D1818" s="2" t="s">
        <v>628</v>
      </c>
      <c r="F1818" s="2" t="s">
        <v>630</v>
      </c>
      <c r="G1818" s="72">
        <v>3.28415643E8</v>
      </c>
    </row>
    <row r="1819">
      <c r="A1819" s="2">
        <v>1.8028811436E10</v>
      </c>
      <c r="B1819" s="72">
        <v>5007978.0</v>
      </c>
      <c r="C1819" s="74">
        <v>46213.544433773146</v>
      </c>
      <c r="D1819" s="2" t="s">
        <v>628</v>
      </c>
      <c r="F1819" s="2" t="s">
        <v>630</v>
      </c>
      <c r="G1819" s="72">
        <v>3.1794497E8</v>
      </c>
    </row>
    <row r="1820">
      <c r="A1820" s="2">
        <v>1.8028811436E10</v>
      </c>
      <c r="B1820" s="72">
        <v>5007978.0</v>
      </c>
      <c r="C1820" s="74">
        <v>46211.75266378472</v>
      </c>
      <c r="D1820" s="2" t="s">
        <v>628</v>
      </c>
      <c r="F1820" s="2" t="s">
        <v>1639</v>
      </c>
      <c r="G1820" s="72">
        <v>3.16796422E8</v>
      </c>
    </row>
    <row r="1821">
      <c r="A1821" s="2">
        <v>1.8028811436E10</v>
      </c>
      <c r="B1821" s="72">
        <v>5007978.0</v>
      </c>
      <c r="C1821" s="74">
        <v>46214.9602103125</v>
      </c>
      <c r="D1821" s="2" t="s">
        <v>628</v>
      </c>
      <c r="F1821" s="2" t="s">
        <v>1640</v>
      </c>
      <c r="G1821" s="72">
        <v>3.19133921E8</v>
      </c>
    </row>
    <row r="1822">
      <c r="A1822" s="2">
        <v>1.8605399021E10</v>
      </c>
      <c r="B1822" s="72">
        <v>3.5805941E7</v>
      </c>
      <c r="C1822" s="74">
        <v>46226.96117681713</v>
      </c>
      <c r="D1822" s="2" t="s">
        <v>628</v>
      </c>
      <c r="F1822" s="2" t="s">
        <v>1854</v>
      </c>
      <c r="G1822" s="72">
        <v>3.27340736E8</v>
      </c>
    </row>
    <row r="1823">
      <c r="A1823" s="2">
        <v>1.8605399021E10</v>
      </c>
      <c r="B1823" s="72">
        <v>3.5805941E7</v>
      </c>
      <c r="C1823" s="74">
        <v>46226.54486708333</v>
      </c>
      <c r="D1823" s="2" t="s">
        <v>628</v>
      </c>
      <c r="F1823" s="2" t="s">
        <v>630</v>
      </c>
      <c r="G1823" s="72">
        <v>3.26901404E8</v>
      </c>
    </row>
    <row r="1824">
      <c r="A1824" s="2">
        <v>1.8605399021E10</v>
      </c>
      <c r="B1824" s="72">
        <v>3.5805941E7</v>
      </c>
      <c r="C1824" s="74">
        <v>46224.75302446759</v>
      </c>
      <c r="D1824" s="2" t="s">
        <v>628</v>
      </c>
      <c r="F1824" s="2" t="s">
        <v>1856</v>
      </c>
      <c r="G1824" s="72">
        <v>3.25800401E8</v>
      </c>
    </row>
    <row r="1825">
      <c r="A1825" s="2">
        <v>1.8605432283E10</v>
      </c>
      <c r="B1825" s="72">
        <v>4803513.0</v>
      </c>
      <c r="C1825" s="74">
        <v>46209.54393085648</v>
      </c>
      <c r="D1825" s="2" t="s">
        <v>628</v>
      </c>
      <c r="F1825" s="2" t="s">
        <v>630</v>
      </c>
      <c r="G1825" s="72">
        <v>3.15395105E8</v>
      </c>
    </row>
    <row r="1826">
      <c r="A1826" s="2">
        <v>1.8605432283E10</v>
      </c>
      <c r="B1826" s="72">
        <v>4803513.0</v>
      </c>
      <c r="C1826" s="74">
        <v>46210.96037376157</v>
      </c>
      <c r="D1826" s="2" t="s">
        <v>628</v>
      </c>
      <c r="F1826" s="2" t="s">
        <v>2290</v>
      </c>
      <c r="G1826" s="72">
        <v>3.16369662E8</v>
      </c>
    </row>
    <row r="1827">
      <c r="A1827" s="2">
        <v>1.8605432283E10</v>
      </c>
      <c r="B1827" s="72">
        <v>4803513.0</v>
      </c>
      <c r="C1827" s="74">
        <v>46207.752125960644</v>
      </c>
      <c r="D1827" s="2" t="s">
        <v>628</v>
      </c>
      <c r="F1827" s="2" t="s">
        <v>2291</v>
      </c>
      <c r="G1827" s="72">
        <v>3.14286823E8</v>
      </c>
    </row>
    <row r="1828">
      <c r="A1828" s="2">
        <v>1.8605583343E10</v>
      </c>
      <c r="B1828" s="72">
        <v>4275739.0</v>
      </c>
      <c r="C1828" s="74">
        <v>46217.75299927083</v>
      </c>
      <c r="D1828" s="2" t="s">
        <v>628</v>
      </c>
      <c r="F1828" s="2" t="s">
        <v>2119</v>
      </c>
      <c r="G1828" s="72">
        <v>3.20925595E8</v>
      </c>
    </row>
    <row r="1829">
      <c r="A1829" s="2">
        <v>1.8605583343E10</v>
      </c>
      <c r="B1829" s="72">
        <v>4275739.0</v>
      </c>
      <c r="C1829" s="74">
        <v>46219.54428277777</v>
      </c>
      <c r="D1829" s="2" t="s">
        <v>628</v>
      </c>
      <c r="F1829" s="2" t="s">
        <v>630</v>
      </c>
      <c r="G1829" s="72">
        <v>3.22038073E8</v>
      </c>
    </row>
    <row r="1830">
      <c r="A1830" s="2">
        <v>1.8605583343E10</v>
      </c>
      <c r="B1830" s="72">
        <v>4275739.0</v>
      </c>
      <c r="C1830" s="74">
        <v>46220.9601630324</v>
      </c>
      <c r="D1830" s="2" t="s">
        <v>628</v>
      </c>
      <c r="F1830" s="2" t="s">
        <v>2292</v>
      </c>
      <c r="G1830" s="72">
        <v>3.23243814E8</v>
      </c>
    </row>
    <row r="1831">
      <c r="A1831" s="2">
        <v>1.8609511651E10</v>
      </c>
      <c r="B1831" s="72">
        <v>1.0285286E7</v>
      </c>
      <c r="C1831" s="74">
        <v>46221.96165982639</v>
      </c>
      <c r="D1831" s="2" t="s">
        <v>628</v>
      </c>
      <c r="F1831" s="2" t="s">
        <v>2293</v>
      </c>
      <c r="G1831" s="72">
        <v>3.24001681E8</v>
      </c>
    </row>
    <row r="1832">
      <c r="A1832" s="2">
        <v>1.8609511651E10</v>
      </c>
      <c r="C1832" s="74">
        <v>46220.753918518516</v>
      </c>
      <c r="D1832" s="2" t="s">
        <v>628</v>
      </c>
      <c r="F1832" s="2" t="s">
        <v>2294</v>
      </c>
      <c r="G1832" s="72">
        <v>3.23014102E8</v>
      </c>
    </row>
    <row r="1833">
      <c r="A1833" s="2">
        <v>1.877477581E10</v>
      </c>
      <c r="B1833" s="72">
        <v>6.6382138E7</v>
      </c>
      <c r="C1833" s="74">
        <v>46226.961294768524</v>
      </c>
      <c r="D1833" s="2" t="s">
        <v>628</v>
      </c>
      <c r="F1833" s="2" t="s">
        <v>2295</v>
      </c>
      <c r="G1833" s="72">
        <v>3.27341222E8</v>
      </c>
    </row>
    <row r="1834">
      <c r="A1834" s="2">
        <v>1.877477581E10</v>
      </c>
      <c r="B1834" s="72">
        <v>6.6382138E7</v>
      </c>
      <c r="C1834" s="74">
        <v>46223.75300002315</v>
      </c>
      <c r="D1834" s="2" t="s">
        <v>628</v>
      </c>
      <c r="F1834" s="2" t="s">
        <v>2296</v>
      </c>
      <c r="G1834" s="72">
        <v>3.25171452E8</v>
      </c>
    </row>
    <row r="1835">
      <c r="A1835" s="2">
        <v>1.877477581E10</v>
      </c>
      <c r="B1835" s="72">
        <v>6.6382138E7</v>
      </c>
      <c r="C1835" s="74">
        <v>46206.54432177084</v>
      </c>
      <c r="D1835" s="2" t="s">
        <v>628</v>
      </c>
      <c r="F1835" s="2" t="s">
        <v>630</v>
      </c>
      <c r="G1835" s="72">
        <v>3.13341761E8</v>
      </c>
    </row>
    <row r="1836">
      <c r="A1836" s="2">
        <v>1.877477581E10</v>
      </c>
      <c r="B1836" s="72">
        <v>6.6382138E7</v>
      </c>
      <c r="C1836" s="74">
        <v>46228.75366773148</v>
      </c>
      <c r="D1836" s="2" t="s">
        <v>628</v>
      </c>
      <c r="F1836" s="2" t="s">
        <v>2297</v>
      </c>
      <c r="G1836" s="72">
        <v>3.28653443E8</v>
      </c>
    </row>
    <row r="1837">
      <c r="A1837" s="2">
        <v>1.877477581E10</v>
      </c>
      <c r="B1837" s="72">
        <v>6.6382138E7</v>
      </c>
      <c r="C1837" s="74">
        <v>46207.960086238425</v>
      </c>
      <c r="D1837" s="2" t="s">
        <v>628</v>
      </c>
      <c r="F1837" s="2" t="s">
        <v>2298</v>
      </c>
      <c r="G1837" s="72">
        <v>3.14479861E8</v>
      </c>
    </row>
    <row r="1838">
      <c r="A1838" s="2">
        <v>1.877477581E10</v>
      </c>
      <c r="B1838" s="72">
        <v>6.6382138E7</v>
      </c>
      <c r="C1838" s="74">
        <v>46205.75209028935</v>
      </c>
      <c r="D1838" s="2" t="s">
        <v>628</v>
      </c>
      <c r="F1838" s="2" t="s">
        <v>1644</v>
      </c>
      <c r="G1838" s="72">
        <v>3.12824148E8</v>
      </c>
    </row>
    <row r="1839">
      <c r="A1839" s="2">
        <v>1.877477581E10</v>
      </c>
      <c r="B1839" s="72">
        <v>6.6382138E7</v>
      </c>
      <c r="C1839" s="74">
        <v>46218.750958159726</v>
      </c>
      <c r="D1839" s="2" t="s">
        <v>628</v>
      </c>
      <c r="F1839" s="2" t="s">
        <v>2299</v>
      </c>
      <c r="G1839" s="72">
        <v>3.21558963E8</v>
      </c>
    </row>
    <row r="1840">
      <c r="A1840" s="2">
        <v>1.877477581E10</v>
      </c>
      <c r="B1840" s="72">
        <v>6.6382138E7</v>
      </c>
      <c r="C1840" s="74">
        <v>46207.54305978009</v>
      </c>
      <c r="D1840" s="2" t="s">
        <v>628</v>
      </c>
      <c r="F1840" s="2" t="s">
        <v>630</v>
      </c>
      <c r="G1840" s="72">
        <v>3.1406371E8</v>
      </c>
    </row>
    <row r="1841">
      <c r="A1841" s="2">
        <v>1.877477581E10</v>
      </c>
      <c r="B1841" s="72">
        <v>6.6382138E7</v>
      </c>
      <c r="C1841" s="74">
        <v>46204.961456261575</v>
      </c>
      <c r="D1841" s="2" t="s">
        <v>628</v>
      </c>
      <c r="F1841" s="2" t="s">
        <v>2300</v>
      </c>
      <c r="G1841" s="72">
        <v>3.12386271E8</v>
      </c>
    </row>
    <row r="1842">
      <c r="A1842" s="2">
        <v>1.877477581E10</v>
      </c>
      <c r="B1842" s="72">
        <v>6.6382138E7</v>
      </c>
      <c r="C1842" s="74">
        <v>46214.75255614583</v>
      </c>
      <c r="D1842" s="2" t="s">
        <v>628</v>
      </c>
      <c r="F1842" s="2" t="s">
        <v>2301</v>
      </c>
      <c r="G1842" s="72">
        <v>3.18919963E8</v>
      </c>
    </row>
    <row r="1843">
      <c r="A1843" s="2">
        <v>1.877477581E10</v>
      </c>
      <c r="B1843" s="72">
        <v>6.6382138E7</v>
      </c>
      <c r="C1843" s="74">
        <v>46205.95973267361</v>
      </c>
      <c r="D1843" s="2" t="s">
        <v>628</v>
      </c>
      <c r="F1843" s="2" t="s">
        <v>2302</v>
      </c>
      <c r="G1843" s="72">
        <v>3.13053293E8</v>
      </c>
    </row>
    <row r="1844">
      <c r="A1844" s="2">
        <v>1.877477581E10</v>
      </c>
      <c r="B1844" s="72">
        <v>6.6382138E7</v>
      </c>
      <c r="C1844" s="74">
        <v>46225.54462784722</v>
      </c>
      <c r="D1844" s="2" t="s">
        <v>628</v>
      </c>
      <c r="F1844" s="2" t="s">
        <v>630</v>
      </c>
      <c r="G1844" s="72">
        <v>3.26231647E8</v>
      </c>
    </row>
    <row r="1845">
      <c r="A1845" s="2">
        <v>1.877477581E10</v>
      </c>
      <c r="B1845" s="72">
        <v>6.6382138E7</v>
      </c>
      <c r="C1845" s="74">
        <v>46204.75235792824</v>
      </c>
      <c r="D1845" s="2" t="s">
        <v>628</v>
      </c>
      <c r="F1845" s="2" t="s">
        <v>943</v>
      </c>
      <c r="G1845" s="72">
        <v>3.1218776E8</v>
      </c>
    </row>
    <row r="1846">
      <c r="A1846" s="2">
        <v>1.877477581E10</v>
      </c>
      <c r="B1846" s="72">
        <v>6.6382138E7</v>
      </c>
      <c r="C1846" s="74">
        <v>46216.75209634259</v>
      </c>
      <c r="D1846" s="2" t="s">
        <v>628</v>
      </c>
      <c r="F1846" s="2" t="s">
        <v>2303</v>
      </c>
      <c r="G1846" s="72">
        <v>3.20290151E8</v>
      </c>
    </row>
    <row r="1847">
      <c r="A1847" s="2">
        <v>1.877477581E10</v>
      </c>
      <c r="B1847" s="72">
        <v>6.6382138E7</v>
      </c>
      <c r="C1847" s="74">
        <v>46219.958982638884</v>
      </c>
      <c r="D1847" s="2" t="s">
        <v>628</v>
      </c>
      <c r="F1847" s="2" t="s">
        <v>2304</v>
      </c>
      <c r="G1847" s="72">
        <v>3.22472069E8</v>
      </c>
    </row>
    <row r="1848">
      <c r="A1848" s="2">
        <v>1.877477581E10</v>
      </c>
      <c r="B1848" s="72">
        <v>6.6382138E7</v>
      </c>
      <c r="C1848" s="74">
        <v>46207.9607159375</v>
      </c>
      <c r="D1848" s="2" t="s">
        <v>628</v>
      </c>
      <c r="F1848" s="2" t="s">
        <v>2305</v>
      </c>
      <c r="G1848" s="72">
        <v>3.1448452E8</v>
      </c>
    </row>
    <row r="1849">
      <c r="A1849" s="2">
        <v>1.9782575928E10</v>
      </c>
      <c r="B1849" s="72">
        <v>1.2238985E7</v>
      </c>
      <c r="C1849" s="74">
        <v>46220.65622899306</v>
      </c>
      <c r="D1849" s="2" t="s">
        <v>705</v>
      </c>
      <c r="F1849" s="2" t="s">
        <v>918</v>
      </c>
      <c r="G1849" s="72">
        <v>3.22910104E8</v>
      </c>
    </row>
    <row r="1850">
      <c r="A1850" s="2">
        <v>1.9782575928E10</v>
      </c>
      <c r="B1850" s="72">
        <v>1.2238985E7</v>
      </c>
      <c r="C1850" s="74">
        <v>46220.65623392361</v>
      </c>
      <c r="D1850" s="2" t="s">
        <v>653</v>
      </c>
      <c r="F1850" s="2" t="s">
        <v>919</v>
      </c>
      <c r="G1850" s="72">
        <v>3.22910109E8</v>
      </c>
    </row>
    <row r="1851">
      <c r="A1851" s="2">
        <v>1.9784076068E10</v>
      </c>
      <c r="B1851" s="72">
        <v>1.074182E7</v>
      </c>
      <c r="C1851" s="74">
        <v>46228.961426759255</v>
      </c>
      <c r="D1851" s="2" t="s">
        <v>628</v>
      </c>
      <c r="F1851" s="2" t="s">
        <v>2306</v>
      </c>
      <c r="G1851" s="72">
        <v>3.28868454E8</v>
      </c>
    </row>
    <row r="1852">
      <c r="A1852" s="2">
        <v>1.9784076068E10</v>
      </c>
      <c r="B1852" s="72">
        <v>1.074182E7</v>
      </c>
      <c r="C1852" s="74">
        <v>46227.75373196759</v>
      </c>
      <c r="D1852" s="2" t="s">
        <v>628</v>
      </c>
      <c r="F1852" s="2" t="s">
        <v>2307</v>
      </c>
      <c r="G1852" s="72">
        <v>3.27883629E8</v>
      </c>
    </row>
    <row r="1853">
      <c r="A1853" s="2">
        <v>1.9785785034E10</v>
      </c>
      <c r="C1853" s="74">
        <v>46218.75322670139</v>
      </c>
      <c r="D1853" s="2" t="s">
        <v>628</v>
      </c>
      <c r="F1853" s="2" t="s">
        <v>1423</v>
      </c>
      <c r="G1853" s="72">
        <v>3.21576281E8</v>
      </c>
    </row>
    <row r="1854">
      <c r="A1854" s="2">
        <v>1.9785785034E10</v>
      </c>
      <c r="B1854" s="72">
        <v>4180132.0</v>
      </c>
      <c r="C1854" s="74">
        <v>46219.96126575231</v>
      </c>
      <c r="D1854" s="2" t="s">
        <v>628</v>
      </c>
      <c r="F1854" s="2" t="s">
        <v>1428</v>
      </c>
      <c r="G1854" s="72">
        <v>3.22479679E8</v>
      </c>
    </row>
    <row r="1855">
      <c r="A1855" s="2">
        <v>1.9786605441E10</v>
      </c>
      <c r="B1855" s="72">
        <v>3.7455915E7</v>
      </c>
      <c r="C1855" s="74">
        <v>46226.95993833333</v>
      </c>
      <c r="D1855" s="2" t="s">
        <v>628</v>
      </c>
      <c r="F1855" s="2" t="s">
        <v>2308</v>
      </c>
      <c r="G1855" s="72">
        <v>3.27335996E8</v>
      </c>
    </row>
    <row r="1856">
      <c r="A1856" s="2">
        <v>1.9786605441E10</v>
      </c>
      <c r="B1856" s="72">
        <v>3.7455915E7</v>
      </c>
      <c r="C1856" s="74">
        <v>46226.54278712963</v>
      </c>
      <c r="D1856" s="2" t="s">
        <v>628</v>
      </c>
      <c r="F1856" s="2" t="s">
        <v>630</v>
      </c>
      <c r="G1856" s="72">
        <v>3.26879724E8</v>
      </c>
    </row>
    <row r="1857">
      <c r="A1857" s="2">
        <v>1.9786605441E10</v>
      </c>
      <c r="B1857" s="72">
        <v>3.7455915E7</v>
      </c>
      <c r="C1857" s="74">
        <v>46224.75149469907</v>
      </c>
      <c r="D1857" s="2" t="s">
        <v>628</v>
      </c>
      <c r="F1857" s="2" t="s">
        <v>2309</v>
      </c>
      <c r="G1857" s="72">
        <v>3.25790149E8</v>
      </c>
    </row>
    <row r="1858">
      <c r="A1858" s="2">
        <v>1.9788885389E10</v>
      </c>
      <c r="B1858" s="72">
        <v>3.1859886E7</v>
      </c>
      <c r="C1858" s="74">
        <v>46220.958864699074</v>
      </c>
      <c r="D1858" s="2" t="s">
        <v>628</v>
      </c>
      <c r="F1858" s="2" t="s">
        <v>2310</v>
      </c>
      <c r="G1858" s="72">
        <v>3.23240359E8</v>
      </c>
    </row>
    <row r="1859">
      <c r="A1859" s="2">
        <v>1.9788885389E10</v>
      </c>
      <c r="B1859" s="72">
        <v>3.1859886E7</v>
      </c>
      <c r="C1859" s="74">
        <v>46220.73611655092</v>
      </c>
      <c r="D1859" s="2" t="s">
        <v>705</v>
      </c>
      <c r="F1859" s="2" t="s">
        <v>2311</v>
      </c>
      <c r="G1859" s="72">
        <v>3.22979646E8</v>
      </c>
    </row>
    <row r="1860">
      <c r="A1860" s="2">
        <v>1.9788885389E10</v>
      </c>
      <c r="C1860" s="74">
        <v>46218.75135061343</v>
      </c>
      <c r="D1860" s="2" t="s">
        <v>628</v>
      </c>
      <c r="F1860" s="2" t="s">
        <v>2312</v>
      </c>
      <c r="G1860" s="72">
        <v>3.21561145E8</v>
      </c>
    </row>
    <row r="1861">
      <c r="A1861" s="2">
        <v>1.9788885389E10</v>
      </c>
      <c r="B1861" s="72">
        <v>3.1859886E7</v>
      </c>
      <c r="C1861" s="74">
        <v>46220.54257788195</v>
      </c>
      <c r="D1861" s="2" t="s">
        <v>628</v>
      </c>
      <c r="F1861" s="2" t="s">
        <v>630</v>
      </c>
      <c r="G1861" s="72">
        <v>3.22747967E8</v>
      </c>
    </row>
    <row r="1862">
      <c r="A1862" s="2">
        <v>1.9788885389E10</v>
      </c>
      <c r="B1862" s="72">
        <v>3.1859886E7</v>
      </c>
      <c r="C1862" s="74">
        <v>46220.938924270835</v>
      </c>
      <c r="D1862" s="2" t="s">
        <v>667</v>
      </c>
      <c r="E1862" s="2" t="s">
        <v>703</v>
      </c>
      <c r="F1862" s="2" t="s">
        <v>2313</v>
      </c>
      <c r="G1862" s="72">
        <v>3.2322409E8</v>
      </c>
    </row>
    <row r="1863">
      <c r="A1863" s="2">
        <v>1.9788885389E10</v>
      </c>
      <c r="B1863" s="72">
        <v>3.1859886E7</v>
      </c>
      <c r="C1863" s="74">
        <v>46220.95452762731</v>
      </c>
      <c r="D1863" s="2" t="s">
        <v>705</v>
      </c>
      <c r="F1863" s="2" t="s">
        <v>2314</v>
      </c>
      <c r="G1863" s="72">
        <v>3.23237019E8</v>
      </c>
    </row>
    <row r="1864">
      <c r="A1864" s="2">
        <v>1.9788885389E10</v>
      </c>
      <c r="B1864" s="72">
        <v>3.1859886E7</v>
      </c>
      <c r="C1864" s="74">
        <v>46220.96150430555</v>
      </c>
      <c r="D1864" s="2" t="s">
        <v>667</v>
      </c>
      <c r="E1864" s="2" t="s">
        <v>703</v>
      </c>
      <c r="F1864" s="2" t="s">
        <v>2315</v>
      </c>
      <c r="G1864" s="72">
        <v>3.23248606E8</v>
      </c>
    </row>
    <row r="1865">
      <c r="A1865" s="2">
        <v>1.978891228E10</v>
      </c>
      <c r="C1865" s="74">
        <v>46218.750817673616</v>
      </c>
      <c r="D1865" s="2" t="s">
        <v>628</v>
      </c>
      <c r="F1865" s="2" t="s">
        <v>2316</v>
      </c>
      <c r="G1865" s="72">
        <v>3.21558384E8</v>
      </c>
    </row>
    <row r="1866">
      <c r="A1866" s="2">
        <v>1.978891228E10</v>
      </c>
      <c r="B1866" s="72">
        <v>3.4035556E7</v>
      </c>
      <c r="C1866" s="74">
        <v>46219.959195601856</v>
      </c>
      <c r="D1866" s="2" t="s">
        <v>628</v>
      </c>
      <c r="F1866" s="2" t="s">
        <v>2317</v>
      </c>
      <c r="G1866" s="72">
        <v>3.22472498E8</v>
      </c>
    </row>
    <row r="1867">
      <c r="A1867" s="2">
        <v>1.9789303563E10</v>
      </c>
      <c r="B1867" s="72">
        <v>8346405.0</v>
      </c>
      <c r="C1867" s="74">
        <v>46207.95993670139</v>
      </c>
      <c r="D1867" s="2" t="s">
        <v>628</v>
      </c>
      <c r="F1867" s="2" t="s">
        <v>2318</v>
      </c>
      <c r="G1867" s="72">
        <v>3.14478605E8</v>
      </c>
    </row>
    <row r="1868">
      <c r="A1868" s="2">
        <v>1.9789303563E10</v>
      </c>
      <c r="B1868" s="72">
        <v>8346405.0</v>
      </c>
      <c r="C1868" s="74">
        <v>46205.751623171294</v>
      </c>
      <c r="D1868" s="2" t="s">
        <v>628</v>
      </c>
      <c r="F1868" s="2" t="s">
        <v>1544</v>
      </c>
      <c r="G1868" s="72">
        <v>3.12819783E8</v>
      </c>
    </row>
    <row r="1869">
      <c r="A1869" s="2">
        <v>1.9789303563E10</v>
      </c>
      <c r="B1869" s="72">
        <v>8346405.0</v>
      </c>
      <c r="C1869" s="74">
        <v>46207.54235853009</v>
      </c>
      <c r="D1869" s="2" t="s">
        <v>628</v>
      </c>
      <c r="F1869" s="2" t="s">
        <v>630</v>
      </c>
      <c r="G1869" s="72">
        <v>3.14058274E8</v>
      </c>
    </row>
    <row r="1870">
      <c r="A1870" s="2">
        <v>2.014198251E9</v>
      </c>
      <c r="B1870" s="72">
        <v>8.5460111E7</v>
      </c>
      <c r="C1870" s="74">
        <v>46219.795575254626</v>
      </c>
      <c r="D1870" s="2" t="s">
        <v>705</v>
      </c>
      <c r="F1870" s="2" t="s">
        <v>2319</v>
      </c>
      <c r="G1870" s="72">
        <v>3.22313057E8</v>
      </c>
    </row>
    <row r="1871">
      <c r="A1871" s="2">
        <v>2.016742846E9</v>
      </c>
      <c r="B1871" s="72">
        <v>8.2078724E7</v>
      </c>
      <c r="C1871" s="74">
        <v>46226.9613275</v>
      </c>
      <c r="D1871" s="2" t="s">
        <v>628</v>
      </c>
      <c r="F1871" s="2" t="s">
        <v>2320</v>
      </c>
      <c r="G1871" s="72">
        <v>3.27341366E8</v>
      </c>
    </row>
    <row r="1872">
      <c r="A1872" s="2">
        <v>2.026748081E9</v>
      </c>
      <c r="B1872" s="72">
        <v>4571666.0</v>
      </c>
      <c r="C1872" s="74">
        <v>46233.75108495371</v>
      </c>
      <c r="D1872" s="2" t="s">
        <v>628</v>
      </c>
      <c r="F1872" s="2" t="s">
        <v>2321</v>
      </c>
      <c r="G1872" s="72">
        <v>3.32058583E8</v>
      </c>
    </row>
    <row r="1873">
      <c r="A1873" s="2">
        <v>2.026748081E9</v>
      </c>
      <c r="B1873" s="72">
        <v>4571666.0</v>
      </c>
      <c r="C1873" s="74">
        <v>46229.75370850695</v>
      </c>
      <c r="D1873" s="2" t="s">
        <v>628</v>
      </c>
      <c r="F1873" s="2" t="s">
        <v>2321</v>
      </c>
      <c r="G1873" s="72">
        <v>3.29433778E8</v>
      </c>
    </row>
    <row r="1874">
      <c r="A1874" s="2">
        <v>2.026748081E9</v>
      </c>
      <c r="B1874" s="72">
        <v>4571666.0</v>
      </c>
      <c r="C1874" s="74">
        <v>46233.9617390162</v>
      </c>
      <c r="D1874" s="2" t="s">
        <v>628</v>
      </c>
      <c r="F1874" s="2" t="s">
        <v>2322</v>
      </c>
      <c r="G1874" s="72">
        <v>3.32310562E8</v>
      </c>
    </row>
    <row r="1875">
      <c r="A1875" s="2">
        <v>2.026748081E9</v>
      </c>
      <c r="B1875" s="72">
        <v>4571666.0</v>
      </c>
      <c r="C1875" s="74">
        <v>46231.545359247684</v>
      </c>
      <c r="D1875" s="2" t="s">
        <v>628</v>
      </c>
      <c r="F1875" s="2" t="s">
        <v>630</v>
      </c>
      <c r="G1875" s="72">
        <v>3.305439E8</v>
      </c>
    </row>
    <row r="1876">
      <c r="A1876" s="2">
        <v>2.033951109E9</v>
      </c>
      <c r="B1876" s="72">
        <v>4107999.0</v>
      </c>
      <c r="C1876" s="74">
        <v>46232.96060806713</v>
      </c>
      <c r="D1876" s="2" t="s">
        <v>628</v>
      </c>
      <c r="F1876" s="2" t="s">
        <v>1690</v>
      </c>
      <c r="G1876" s="72">
        <v>3.31586399E8</v>
      </c>
    </row>
    <row r="1877">
      <c r="A1877" s="2">
        <v>2.033951109E9</v>
      </c>
      <c r="B1877" s="72">
        <v>4107999.0</v>
      </c>
      <c r="C1877" s="74">
        <v>46229.75295657407</v>
      </c>
      <c r="D1877" s="2" t="s">
        <v>628</v>
      </c>
      <c r="F1877" s="2" t="s">
        <v>1691</v>
      </c>
      <c r="G1877" s="72">
        <v>3.29429384E8</v>
      </c>
    </row>
    <row r="1878">
      <c r="A1878" s="2">
        <v>2.033951109E9</v>
      </c>
      <c r="B1878" s="72">
        <v>4107999.0</v>
      </c>
      <c r="C1878" s="74">
        <v>46231.54420643518</v>
      </c>
      <c r="D1878" s="2" t="s">
        <v>628</v>
      </c>
      <c r="F1878" s="2" t="s">
        <v>630</v>
      </c>
      <c r="G1878" s="72">
        <v>3.30525782E8</v>
      </c>
    </row>
    <row r="1879">
      <c r="A1879" s="2">
        <v>2.034170141E9</v>
      </c>
      <c r="C1879" s="74">
        <v>46233.75320839121</v>
      </c>
      <c r="D1879" s="2" t="s">
        <v>628</v>
      </c>
      <c r="F1879" s="2" t="s">
        <v>1430</v>
      </c>
      <c r="G1879" s="72">
        <v>3.32077402E8</v>
      </c>
    </row>
    <row r="1880">
      <c r="A1880" s="2">
        <v>2.035131378E9</v>
      </c>
      <c r="B1880" s="72">
        <v>8.0792622E7</v>
      </c>
      <c r="C1880" s="74">
        <v>46219.960337094904</v>
      </c>
      <c r="D1880" s="2" t="s">
        <v>628</v>
      </c>
      <c r="F1880" s="2" t="s">
        <v>1038</v>
      </c>
      <c r="G1880" s="72">
        <v>3.2247622E8</v>
      </c>
    </row>
    <row r="1881">
      <c r="A1881" s="2">
        <v>2.035131378E9</v>
      </c>
      <c r="B1881" s="72">
        <v>8.0792622E7</v>
      </c>
      <c r="C1881" s="74">
        <v>46219.5432531713</v>
      </c>
      <c r="D1881" s="2" t="s">
        <v>628</v>
      </c>
      <c r="F1881" s="2" t="s">
        <v>630</v>
      </c>
      <c r="G1881" s="72">
        <v>3.2202751E8</v>
      </c>
    </row>
    <row r="1882">
      <c r="A1882" s="2">
        <v>2.035229707E9</v>
      </c>
      <c r="B1882" s="72">
        <v>8.3338272E7</v>
      </c>
      <c r="C1882" s="74">
        <v>46234.54541762732</v>
      </c>
      <c r="D1882" s="2" t="s">
        <v>628</v>
      </c>
      <c r="F1882" s="2" t="s">
        <v>630</v>
      </c>
      <c r="G1882" s="72">
        <v>3.3262742E8</v>
      </c>
    </row>
    <row r="1883">
      <c r="A1883" s="2">
        <v>2.035229707E9</v>
      </c>
      <c r="C1883" s="74">
        <v>46232.75482854167</v>
      </c>
      <c r="D1883" s="2" t="s">
        <v>628</v>
      </c>
      <c r="F1883" s="2" t="s">
        <v>775</v>
      </c>
      <c r="G1883" s="72">
        <v>3.31393458E8</v>
      </c>
    </row>
    <row r="1884">
      <c r="A1884" s="2">
        <v>2.035229707E9</v>
      </c>
      <c r="B1884" s="72">
        <v>8.3338272E7</v>
      </c>
      <c r="C1884" s="74">
        <v>46234.96155943287</v>
      </c>
      <c r="D1884" s="2" t="s">
        <v>628</v>
      </c>
      <c r="F1884" s="2" t="s">
        <v>849</v>
      </c>
      <c r="G1884" s="72">
        <v>3.33103418E8</v>
      </c>
    </row>
    <row r="1885">
      <c r="A1885" s="2">
        <v>2.035262601E9</v>
      </c>
      <c r="B1885" s="72">
        <v>8.0739424E7</v>
      </c>
      <c r="C1885" s="74">
        <v>46218.96062221065</v>
      </c>
      <c r="D1885" s="2" t="s">
        <v>628</v>
      </c>
      <c r="F1885" s="2" t="s">
        <v>2323</v>
      </c>
      <c r="G1885" s="72">
        <v>3.21770727E8</v>
      </c>
    </row>
    <row r="1886">
      <c r="A1886" s="2">
        <v>2.035262601E9</v>
      </c>
      <c r="C1886" s="74">
        <v>46217.785406759256</v>
      </c>
      <c r="D1886" s="2" t="s">
        <v>628</v>
      </c>
      <c r="F1886" s="2" t="s">
        <v>2324</v>
      </c>
      <c r="G1886" s="72">
        <v>3.20952491E8</v>
      </c>
    </row>
    <row r="1887">
      <c r="A1887" s="2">
        <v>2.038248294E9</v>
      </c>
      <c r="B1887" s="72">
        <v>8.0922985E7</v>
      </c>
      <c r="C1887" s="74">
        <v>46219.95967428241</v>
      </c>
      <c r="D1887" s="2" t="s">
        <v>628</v>
      </c>
      <c r="F1887" s="2" t="s">
        <v>2277</v>
      </c>
      <c r="G1887" s="72">
        <v>3.22473758E8</v>
      </c>
    </row>
    <row r="1888">
      <c r="A1888" s="2">
        <v>2.038288058E9</v>
      </c>
      <c r="B1888" s="72">
        <v>3758866.0</v>
      </c>
      <c r="C1888" s="74">
        <v>46223.962166956015</v>
      </c>
      <c r="D1888" s="2" t="s">
        <v>628</v>
      </c>
      <c r="F1888" s="2" t="s">
        <v>849</v>
      </c>
      <c r="G1888" s="72">
        <v>3.25369649E8</v>
      </c>
    </row>
    <row r="1889">
      <c r="A1889" s="2">
        <v>2.038288058E9</v>
      </c>
      <c r="B1889" s="72">
        <v>3758866.0</v>
      </c>
      <c r="C1889" s="74">
        <v>46223.54532134259</v>
      </c>
      <c r="D1889" s="2" t="s">
        <v>628</v>
      </c>
      <c r="F1889" s="2" t="s">
        <v>630</v>
      </c>
      <c r="G1889" s="72">
        <v>3.24994049E8</v>
      </c>
    </row>
    <row r="1890">
      <c r="A1890" s="2">
        <v>2.038288058E9</v>
      </c>
      <c r="B1890" s="72">
        <v>3758866.0</v>
      </c>
      <c r="C1890" s="74">
        <v>46221.75368667824</v>
      </c>
      <c r="D1890" s="2" t="s">
        <v>628</v>
      </c>
      <c r="F1890" s="2" t="s">
        <v>775</v>
      </c>
      <c r="G1890" s="72">
        <v>3.23783576E8</v>
      </c>
    </row>
    <row r="1891">
      <c r="A1891" s="2">
        <v>2.064122962E9</v>
      </c>
      <c r="B1891" s="72">
        <v>8.3021762E7</v>
      </c>
      <c r="C1891" s="74">
        <v>46232.75269256944</v>
      </c>
      <c r="D1891" s="2" t="s">
        <v>628</v>
      </c>
      <c r="F1891" s="2" t="s">
        <v>2325</v>
      </c>
      <c r="G1891" s="72">
        <v>3.31382662E8</v>
      </c>
    </row>
    <row r="1892">
      <c r="A1892" s="2">
        <v>2.064122962E9</v>
      </c>
      <c r="B1892" s="72">
        <v>8.3021762E7</v>
      </c>
      <c r="C1892" s="74">
        <v>46234.54407229167</v>
      </c>
      <c r="D1892" s="2" t="s">
        <v>628</v>
      </c>
      <c r="F1892" s="2" t="s">
        <v>630</v>
      </c>
      <c r="G1892" s="72">
        <v>3.32604568E8</v>
      </c>
    </row>
    <row r="1893">
      <c r="A1893" s="2">
        <v>2.064122962E9</v>
      </c>
      <c r="B1893" s="72">
        <v>8.3021762E7</v>
      </c>
      <c r="C1893" s="74">
        <v>46234.960116863425</v>
      </c>
      <c r="D1893" s="2" t="s">
        <v>628</v>
      </c>
      <c r="F1893" s="2" t="s">
        <v>2326</v>
      </c>
      <c r="G1893" s="72">
        <v>3.33098494E8</v>
      </c>
    </row>
    <row r="1894">
      <c r="A1894" s="2">
        <v>2.072053756E9</v>
      </c>
      <c r="B1894" s="72">
        <v>7.8625768E7</v>
      </c>
      <c r="C1894" s="74">
        <v>46205.75313986111</v>
      </c>
      <c r="D1894" s="2" t="s">
        <v>628</v>
      </c>
      <c r="F1894" s="2" t="s">
        <v>2162</v>
      </c>
      <c r="G1894" s="72">
        <v>3.12837231E8</v>
      </c>
    </row>
    <row r="1895">
      <c r="A1895" s="2">
        <v>2.072053756E9</v>
      </c>
      <c r="B1895" s="72">
        <v>7.8625768E7</v>
      </c>
      <c r="C1895" s="74">
        <v>46207.54437240741</v>
      </c>
      <c r="D1895" s="2" t="s">
        <v>628</v>
      </c>
      <c r="F1895" s="2" t="s">
        <v>630</v>
      </c>
      <c r="G1895" s="72">
        <v>3.14083457E8</v>
      </c>
    </row>
    <row r="1896">
      <c r="A1896" s="2">
        <v>2.072053756E9</v>
      </c>
      <c r="B1896" s="72">
        <v>7.8625768E7</v>
      </c>
      <c r="C1896" s="74">
        <v>46207.96121756945</v>
      </c>
      <c r="D1896" s="2" t="s">
        <v>628</v>
      </c>
      <c r="F1896" s="2" t="s">
        <v>2163</v>
      </c>
      <c r="G1896" s="72">
        <v>3.14487274E8</v>
      </c>
    </row>
    <row r="1897">
      <c r="A1897" s="2">
        <v>2.072156603E9</v>
      </c>
      <c r="B1897" s="72">
        <v>8.3292711E7</v>
      </c>
      <c r="C1897" s="74">
        <v>46234.04282431713</v>
      </c>
      <c r="D1897" s="2" t="s">
        <v>628</v>
      </c>
      <c r="F1897" s="2" t="s">
        <v>1059</v>
      </c>
      <c r="G1897" s="72">
        <v>3.32375711E8</v>
      </c>
    </row>
    <row r="1898">
      <c r="A1898" s="2">
        <v>2.072156603E9</v>
      </c>
      <c r="B1898" s="72">
        <v>8.3292711E7</v>
      </c>
      <c r="C1898" s="74">
        <v>46235.01459497685</v>
      </c>
      <c r="D1898" s="2" t="s">
        <v>628</v>
      </c>
      <c r="F1898" s="2" t="s">
        <v>1627</v>
      </c>
      <c r="G1898" s="72">
        <v>3.33154901E8</v>
      </c>
    </row>
    <row r="1899">
      <c r="A1899" s="2">
        <v>2.072275635E9</v>
      </c>
      <c r="B1899" s="72">
        <v>8.1482186E7</v>
      </c>
      <c r="C1899" s="74">
        <v>46223.54249975695</v>
      </c>
      <c r="D1899" s="2" t="s">
        <v>628</v>
      </c>
      <c r="F1899" s="2" t="s">
        <v>630</v>
      </c>
      <c r="G1899" s="72">
        <v>3.24956143E8</v>
      </c>
    </row>
    <row r="1900">
      <c r="A1900" s="2">
        <v>2.072275635E9</v>
      </c>
      <c r="C1900" s="74">
        <v>46221.75123447916</v>
      </c>
      <c r="D1900" s="2" t="s">
        <v>628</v>
      </c>
      <c r="F1900" s="2" t="s">
        <v>2327</v>
      </c>
      <c r="G1900" s="72">
        <v>3.23766817E8</v>
      </c>
    </row>
    <row r="1901">
      <c r="A1901" s="2">
        <v>2.072275635E9</v>
      </c>
      <c r="B1901" s="72">
        <v>8.1482186E7</v>
      </c>
      <c r="C1901" s="74">
        <v>46223.95885935186</v>
      </c>
      <c r="D1901" s="2" t="s">
        <v>628</v>
      </c>
      <c r="F1901" s="2" t="s">
        <v>2328</v>
      </c>
      <c r="G1901" s="72">
        <v>3.25361487E8</v>
      </c>
    </row>
    <row r="1902">
      <c r="A1902" s="2">
        <v>2.072296521E9</v>
      </c>
      <c r="B1902" s="72">
        <v>5590202.0</v>
      </c>
      <c r="C1902" s="74">
        <v>46226.96142273148</v>
      </c>
      <c r="D1902" s="2" t="s">
        <v>628</v>
      </c>
      <c r="F1902" s="2" t="s">
        <v>2329</v>
      </c>
      <c r="G1902" s="72">
        <v>3.27341765E8</v>
      </c>
    </row>
    <row r="1903">
      <c r="A1903" s="2">
        <v>2.072296521E9</v>
      </c>
      <c r="C1903" s="74">
        <v>46225.75270440972</v>
      </c>
      <c r="D1903" s="2" t="s">
        <v>628</v>
      </c>
      <c r="F1903" s="2" t="s">
        <v>2330</v>
      </c>
      <c r="G1903" s="72">
        <v>3.26434653E8</v>
      </c>
    </row>
    <row r="1904">
      <c r="A1904" s="2">
        <v>2.072994007E9</v>
      </c>
      <c r="B1904" s="72">
        <v>8.1284619E7</v>
      </c>
      <c r="C1904" s="74">
        <v>46221.96197305556</v>
      </c>
      <c r="D1904" s="2" t="s">
        <v>628</v>
      </c>
      <c r="F1904" s="2" t="s">
        <v>2331</v>
      </c>
      <c r="G1904" s="72">
        <v>3.24003169E8</v>
      </c>
    </row>
    <row r="1905">
      <c r="A1905" s="2">
        <v>2.073337205E9</v>
      </c>
      <c r="B1905" s="72">
        <v>8.0629552E7</v>
      </c>
      <c r="C1905" s="74">
        <v>46220.96062837963</v>
      </c>
      <c r="D1905" s="2" t="s">
        <v>628</v>
      </c>
      <c r="F1905" s="2" t="s">
        <v>2332</v>
      </c>
      <c r="G1905" s="72">
        <v>3.23245548E8</v>
      </c>
    </row>
    <row r="1906">
      <c r="A1906" s="2">
        <v>2.073337205E9</v>
      </c>
      <c r="B1906" s="72">
        <v>8.0629552E7</v>
      </c>
      <c r="C1906" s="74">
        <v>46218.54423579861</v>
      </c>
      <c r="D1906" s="2" t="s">
        <v>628</v>
      </c>
      <c r="F1906" s="2" t="s">
        <v>630</v>
      </c>
      <c r="G1906" s="72">
        <v>3.2136834E8</v>
      </c>
    </row>
    <row r="1907">
      <c r="A1907" s="2">
        <v>2.073413631E9</v>
      </c>
      <c r="B1907" s="72">
        <v>1.5675467E7</v>
      </c>
      <c r="C1907" s="74">
        <v>46233.886493391205</v>
      </c>
      <c r="D1907" s="2" t="s">
        <v>628</v>
      </c>
      <c r="F1907" s="2" t="s">
        <v>2116</v>
      </c>
      <c r="G1907" s="72">
        <v>3.32239112E8</v>
      </c>
    </row>
    <row r="1908">
      <c r="A1908" s="2">
        <v>2.073413631E9</v>
      </c>
      <c r="B1908" s="72">
        <v>1.5675467E7</v>
      </c>
      <c r="C1908" s="74">
        <v>46226.80904291666</v>
      </c>
      <c r="D1908" s="2" t="s">
        <v>628</v>
      </c>
      <c r="F1908" s="2" t="s">
        <v>2116</v>
      </c>
      <c r="G1908" s="72">
        <v>3.27189541E8</v>
      </c>
    </row>
    <row r="1909">
      <c r="A1909" s="2">
        <v>2.073413631E9</v>
      </c>
      <c r="B1909" s="72">
        <v>1.5675467E7</v>
      </c>
      <c r="C1909" s="74">
        <v>46227.96167423611</v>
      </c>
      <c r="D1909" s="2" t="s">
        <v>628</v>
      </c>
      <c r="F1909" s="2" t="s">
        <v>2115</v>
      </c>
      <c r="G1909" s="72">
        <v>3.28122069E8</v>
      </c>
    </row>
    <row r="1910">
      <c r="A1910" s="2">
        <v>2.073413631E9</v>
      </c>
      <c r="B1910" s="72">
        <v>1.5675467E7</v>
      </c>
      <c r="C1910" s="74">
        <v>46234.95923003472</v>
      </c>
      <c r="D1910" s="2" t="s">
        <v>628</v>
      </c>
      <c r="F1910" s="2" t="s">
        <v>2115</v>
      </c>
      <c r="G1910" s="72">
        <v>3.33095563E8</v>
      </c>
    </row>
    <row r="1911">
      <c r="A1911" s="2">
        <v>2.073551666E9</v>
      </c>
      <c r="B1911" s="72">
        <v>8.1177377E7</v>
      </c>
      <c r="C1911" s="74">
        <v>46221.54497628473</v>
      </c>
      <c r="D1911" s="2" t="s">
        <v>628</v>
      </c>
      <c r="F1911" s="2" t="s">
        <v>630</v>
      </c>
      <c r="G1911" s="72">
        <v>3.2355657E8</v>
      </c>
    </row>
    <row r="1912">
      <c r="A1912" s="2">
        <v>2.073551666E9</v>
      </c>
      <c r="B1912" s="72">
        <v>8.1177377E7</v>
      </c>
      <c r="C1912" s="74">
        <v>46221.96172561342</v>
      </c>
      <c r="D1912" s="2" t="s">
        <v>628</v>
      </c>
      <c r="F1912" s="2" t="s">
        <v>1420</v>
      </c>
      <c r="G1912" s="72">
        <v>3.2400206E8</v>
      </c>
    </row>
    <row r="1913">
      <c r="A1913" s="2">
        <v>2.073568417E9</v>
      </c>
      <c r="B1913" s="72">
        <v>8.1846189E7</v>
      </c>
      <c r="C1913" s="74">
        <v>46226.96084127315</v>
      </c>
      <c r="D1913" s="2" t="s">
        <v>628</v>
      </c>
      <c r="F1913" s="2" t="s">
        <v>2333</v>
      </c>
      <c r="G1913" s="72">
        <v>3.27339696E8</v>
      </c>
    </row>
    <row r="1914">
      <c r="A1914" s="2">
        <v>2.074600789E9</v>
      </c>
      <c r="B1914" s="72">
        <v>1.0334681E7</v>
      </c>
      <c r="C1914" s="74">
        <v>46221.96078275463</v>
      </c>
      <c r="D1914" s="2" t="s">
        <v>628</v>
      </c>
      <c r="F1914" s="2" t="s">
        <v>2334</v>
      </c>
      <c r="G1914" s="72">
        <v>3.23997218E8</v>
      </c>
    </row>
    <row r="1915">
      <c r="A1915" s="2">
        <v>2.074600789E9</v>
      </c>
      <c r="B1915" s="72">
        <v>1.0334681E7</v>
      </c>
      <c r="C1915" s="74">
        <v>46221.54462534722</v>
      </c>
      <c r="D1915" s="2" t="s">
        <v>628</v>
      </c>
      <c r="F1915" s="2" t="s">
        <v>630</v>
      </c>
      <c r="G1915" s="72">
        <v>3.23552183E8</v>
      </c>
    </row>
    <row r="1916">
      <c r="A1916" s="2">
        <v>2.074783056E9</v>
      </c>
      <c r="B1916" s="72">
        <v>8.2402661E7</v>
      </c>
      <c r="C1916" s="74">
        <v>46229.972235520836</v>
      </c>
      <c r="D1916" s="2" t="s">
        <v>705</v>
      </c>
      <c r="F1916" s="2" t="s">
        <v>2335</v>
      </c>
      <c r="G1916" s="72">
        <v>3.29623593E8</v>
      </c>
    </row>
    <row r="1917">
      <c r="A1917" s="2">
        <v>2.074783056E9</v>
      </c>
      <c r="B1917" s="72">
        <v>8.2402661E7</v>
      </c>
      <c r="C1917" s="74">
        <v>46228.92835646991</v>
      </c>
      <c r="D1917" s="2" t="s">
        <v>705</v>
      </c>
      <c r="F1917" s="2" t="s">
        <v>2336</v>
      </c>
      <c r="G1917" s="72">
        <v>3.2883375E8</v>
      </c>
    </row>
    <row r="1918">
      <c r="A1918" s="2">
        <v>2.074783056E9</v>
      </c>
      <c r="B1918" s="72">
        <v>8.2402661E7</v>
      </c>
      <c r="C1918" s="74">
        <v>46230.88226283564</v>
      </c>
      <c r="D1918" s="2" t="s">
        <v>705</v>
      </c>
      <c r="F1918" s="2" t="s">
        <v>2337</v>
      </c>
      <c r="G1918" s="72">
        <v>3.30199853E8</v>
      </c>
    </row>
    <row r="1919">
      <c r="A1919" s="2">
        <v>2.074783056E9</v>
      </c>
      <c r="B1919" s="72">
        <v>8.2402661E7</v>
      </c>
      <c r="C1919" s="74">
        <v>46230.90264369213</v>
      </c>
      <c r="D1919" s="2" t="s">
        <v>667</v>
      </c>
      <c r="E1919" s="2" t="s">
        <v>886</v>
      </c>
      <c r="F1919" s="2" t="s">
        <v>2338</v>
      </c>
      <c r="G1919" s="72">
        <v>3.30216476E8</v>
      </c>
    </row>
    <row r="1920">
      <c r="A1920" s="2">
        <v>2.074783056E9</v>
      </c>
      <c r="B1920" s="72">
        <v>8.2402661E7</v>
      </c>
      <c r="C1920" s="74">
        <v>46229.96092841435</v>
      </c>
      <c r="D1920" s="2" t="s">
        <v>628</v>
      </c>
      <c r="F1920" s="2" t="s">
        <v>2339</v>
      </c>
      <c r="G1920" s="72">
        <v>3.29612872E8</v>
      </c>
    </row>
    <row r="1921">
      <c r="A1921" s="2">
        <v>2.074783056E9</v>
      </c>
      <c r="B1921" s="72">
        <v>8.2402661E7</v>
      </c>
      <c r="C1921" s="74">
        <v>46228.799264710644</v>
      </c>
      <c r="D1921" s="2" t="s">
        <v>628</v>
      </c>
      <c r="F1921" s="2" t="s">
        <v>1012</v>
      </c>
      <c r="G1921" s="72">
        <v>3.28704155E8</v>
      </c>
    </row>
    <row r="1922">
      <c r="A1922" s="2">
        <v>2.074783401E9</v>
      </c>
      <c r="B1922" s="72">
        <v>8.3333142E7</v>
      </c>
      <c r="C1922" s="74">
        <v>46234.543643680554</v>
      </c>
      <c r="D1922" s="2" t="s">
        <v>628</v>
      </c>
      <c r="F1922" s="2" t="s">
        <v>630</v>
      </c>
      <c r="G1922" s="72">
        <v>3.32598944E8</v>
      </c>
    </row>
    <row r="1923">
      <c r="A1923" s="2">
        <v>2.074915508E9</v>
      </c>
      <c r="C1923" s="74">
        <v>46225.75297065973</v>
      </c>
      <c r="D1923" s="2" t="s">
        <v>628</v>
      </c>
      <c r="F1923" s="2" t="s">
        <v>2340</v>
      </c>
      <c r="G1923" s="72">
        <v>3.26437494E8</v>
      </c>
    </row>
    <row r="1924">
      <c r="A1924" s="2">
        <v>2.074915508E9</v>
      </c>
      <c r="B1924" s="72">
        <v>8.2084089E7</v>
      </c>
      <c r="C1924" s="74">
        <v>46226.971179768516</v>
      </c>
      <c r="D1924" s="2" t="s">
        <v>628</v>
      </c>
      <c r="F1924" s="2" t="s">
        <v>2341</v>
      </c>
      <c r="G1924" s="72">
        <v>3.27351444E8</v>
      </c>
    </row>
    <row r="1925">
      <c r="A1925" s="2">
        <v>2.075138799E9</v>
      </c>
      <c r="C1925" s="74">
        <v>46219.75356172454</v>
      </c>
      <c r="D1925" s="2" t="s">
        <v>628</v>
      </c>
      <c r="F1925" s="2" t="s">
        <v>1416</v>
      </c>
      <c r="G1925" s="72">
        <v>3.2225144E8</v>
      </c>
    </row>
    <row r="1926">
      <c r="A1926" s="2">
        <v>2.075138799E9</v>
      </c>
      <c r="B1926" s="72">
        <v>4.1288501E7</v>
      </c>
      <c r="C1926" s="74">
        <v>46222.960117106486</v>
      </c>
      <c r="D1926" s="2" t="s">
        <v>628</v>
      </c>
      <c r="F1926" s="2" t="s">
        <v>1417</v>
      </c>
      <c r="G1926" s="72">
        <v>3.24724193E8</v>
      </c>
    </row>
    <row r="1927">
      <c r="A1927" s="2">
        <v>2.075138799E9</v>
      </c>
      <c r="B1927" s="72">
        <v>4.1288501E7</v>
      </c>
      <c r="C1927" s="74">
        <v>46221.54427991898</v>
      </c>
      <c r="D1927" s="2" t="s">
        <v>628</v>
      </c>
      <c r="F1927" s="2" t="s">
        <v>630</v>
      </c>
      <c r="G1927" s="72">
        <v>3.23548151E8</v>
      </c>
    </row>
    <row r="1928">
      <c r="A1928" s="2">
        <v>2.075151124E9</v>
      </c>
      <c r="B1928" s="72">
        <v>8.472802E7</v>
      </c>
      <c r="C1928" s="74">
        <v>46229.655440069444</v>
      </c>
      <c r="D1928" s="2" t="s">
        <v>653</v>
      </c>
      <c r="F1928" s="2" t="s">
        <v>2342</v>
      </c>
      <c r="G1928" s="72">
        <v>3.2934932E8</v>
      </c>
    </row>
    <row r="1929">
      <c r="A1929" s="2">
        <v>2.075151124E9</v>
      </c>
      <c r="B1929" s="72">
        <v>8.472802E7</v>
      </c>
      <c r="C1929" s="74">
        <v>46228.54780378472</v>
      </c>
      <c r="D1929" s="2" t="s">
        <v>653</v>
      </c>
      <c r="F1929" s="2" t="s">
        <v>2343</v>
      </c>
      <c r="G1929" s="72">
        <v>3.28446397E8</v>
      </c>
    </row>
    <row r="1930">
      <c r="A1930" s="2">
        <v>2.07557611E9</v>
      </c>
      <c r="B1930" s="72">
        <v>8.0818584E7</v>
      </c>
      <c r="C1930" s="74">
        <v>46219.65506415509</v>
      </c>
      <c r="D1930" s="2" t="s">
        <v>628</v>
      </c>
      <c r="F1930" s="2" t="s">
        <v>1805</v>
      </c>
      <c r="G1930" s="72">
        <v>3.22163062E8</v>
      </c>
    </row>
    <row r="1931">
      <c r="A1931" s="2">
        <v>2.07557611E9</v>
      </c>
      <c r="B1931" s="72">
        <v>8.0818584E7</v>
      </c>
      <c r="C1931" s="74">
        <v>46219.95981554398</v>
      </c>
      <c r="D1931" s="2" t="s">
        <v>628</v>
      </c>
      <c r="F1931" s="2" t="s">
        <v>2344</v>
      </c>
      <c r="G1931" s="72">
        <v>3.2247417E8</v>
      </c>
    </row>
    <row r="1932">
      <c r="A1932" s="2">
        <v>2.075765146E9</v>
      </c>
      <c r="B1932" s="72">
        <v>8.12135E7</v>
      </c>
      <c r="C1932" s="74">
        <v>46222.95947482639</v>
      </c>
      <c r="D1932" s="2" t="s">
        <v>628</v>
      </c>
      <c r="F1932" s="2" t="s">
        <v>2345</v>
      </c>
      <c r="G1932" s="72">
        <v>3.24721729E8</v>
      </c>
    </row>
    <row r="1933">
      <c r="A1933" s="2">
        <v>2.075765146E9</v>
      </c>
      <c r="B1933" s="72">
        <v>8.12135E7</v>
      </c>
      <c r="C1933" s="74">
        <v>46222.54275435185</v>
      </c>
      <c r="D1933" s="2" t="s">
        <v>628</v>
      </c>
      <c r="F1933" s="2" t="s">
        <v>630</v>
      </c>
      <c r="G1933" s="72">
        <v>3.24312597E8</v>
      </c>
    </row>
    <row r="1934">
      <c r="A1934" s="2">
        <v>2.075765146E9</v>
      </c>
      <c r="B1934" s="72">
        <v>8.12135E7</v>
      </c>
      <c r="C1934" s="74">
        <v>46221.74437542824</v>
      </c>
      <c r="D1934" s="2" t="s">
        <v>628</v>
      </c>
      <c r="F1934" s="2" t="s">
        <v>2346</v>
      </c>
      <c r="G1934" s="72">
        <v>3.23759781E8</v>
      </c>
    </row>
    <row r="1935">
      <c r="A1935" s="2">
        <v>2.076494724E9</v>
      </c>
      <c r="B1935" s="72">
        <v>8.3350751E7</v>
      </c>
      <c r="C1935" s="74">
        <v>46234.05164931713</v>
      </c>
      <c r="D1935" s="2" t="s">
        <v>667</v>
      </c>
      <c r="E1935" s="2" t="s">
        <v>1332</v>
      </c>
      <c r="F1935" s="2" t="s">
        <v>2347</v>
      </c>
      <c r="G1935" s="72">
        <v>3.3238512E8</v>
      </c>
    </row>
    <row r="1936">
      <c r="A1936" s="2">
        <v>2.076494724E9</v>
      </c>
      <c r="B1936" s="72">
        <v>8.3350751E7</v>
      </c>
      <c r="C1936" s="74">
        <v>46234.75423997686</v>
      </c>
      <c r="D1936" s="2" t="s">
        <v>667</v>
      </c>
      <c r="E1936" s="2" t="s">
        <v>886</v>
      </c>
      <c r="F1936" s="2" t="s">
        <v>2348</v>
      </c>
      <c r="G1936" s="72">
        <v>3.32857453E8</v>
      </c>
    </row>
    <row r="1937">
      <c r="A1937" s="2">
        <v>2.076494724E9</v>
      </c>
      <c r="B1937" s="72">
        <v>8.3350751E7</v>
      </c>
      <c r="C1937" s="74">
        <v>46234.63297075231</v>
      </c>
      <c r="D1937" s="2" t="s">
        <v>705</v>
      </c>
      <c r="F1937" s="2" t="s">
        <v>2349</v>
      </c>
      <c r="G1937" s="72">
        <v>3.3274007E8</v>
      </c>
    </row>
    <row r="1938">
      <c r="A1938" s="2">
        <v>2.076494724E9</v>
      </c>
      <c r="B1938" s="72">
        <v>8.3350751E7</v>
      </c>
      <c r="C1938" s="74">
        <v>46234.649351643515</v>
      </c>
      <c r="D1938" s="2" t="s">
        <v>667</v>
      </c>
      <c r="E1938" s="2" t="s">
        <v>886</v>
      </c>
      <c r="F1938" s="2" t="s">
        <v>2350</v>
      </c>
      <c r="G1938" s="72">
        <v>3.32748131E8</v>
      </c>
    </row>
    <row r="1939">
      <c r="A1939" s="2">
        <v>2.076494724E9</v>
      </c>
      <c r="B1939" s="72">
        <v>8.3350751E7</v>
      </c>
      <c r="C1939" s="74">
        <v>46234.59415013889</v>
      </c>
      <c r="D1939" s="2" t="s">
        <v>628</v>
      </c>
      <c r="F1939" s="2" t="s">
        <v>915</v>
      </c>
      <c r="G1939" s="72">
        <v>3.32701134E8</v>
      </c>
    </row>
    <row r="1940">
      <c r="A1940" s="2">
        <v>2.076494724E9</v>
      </c>
      <c r="B1940" s="72">
        <v>8.3350751E7</v>
      </c>
      <c r="C1940" s="74">
        <v>46234.039998113425</v>
      </c>
      <c r="D1940" s="2" t="s">
        <v>705</v>
      </c>
      <c r="F1940" s="2" t="s">
        <v>2351</v>
      </c>
      <c r="G1940" s="72">
        <v>3.32371673E8</v>
      </c>
    </row>
    <row r="1941">
      <c r="A1941" s="2">
        <v>2.076494724E9</v>
      </c>
      <c r="B1941" s="72">
        <v>8.3350751E7</v>
      </c>
      <c r="C1941" s="74">
        <v>46235.04465296296</v>
      </c>
      <c r="D1941" s="2" t="s">
        <v>705</v>
      </c>
      <c r="F1941" s="2" t="s">
        <v>2352</v>
      </c>
      <c r="G1941" s="72">
        <v>3.33179723E8</v>
      </c>
    </row>
    <row r="1942">
      <c r="A1942" s="2">
        <v>2.076494724E9</v>
      </c>
      <c r="B1942" s="72">
        <v>8.3350751E7</v>
      </c>
      <c r="C1942" s="74">
        <v>46235.0444825</v>
      </c>
      <c r="D1942" s="2" t="s">
        <v>667</v>
      </c>
      <c r="E1942" s="2" t="s">
        <v>886</v>
      </c>
      <c r="F1942" s="2" t="s">
        <v>2353</v>
      </c>
      <c r="G1942" s="72">
        <v>3.331794E8</v>
      </c>
    </row>
    <row r="1943">
      <c r="A1943" s="2">
        <v>2.076494724E9</v>
      </c>
      <c r="B1943" s="72">
        <v>8.3350751E7</v>
      </c>
      <c r="C1943" s="74">
        <v>46234.06196172454</v>
      </c>
      <c r="D1943" s="2" t="s">
        <v>705</v>
      </c>
      <c r="F1943" s="2" t="s">
        <v>2354</v>
      </c>
      <c r="G1943" s="72">
        <v>3.32390034E8</v>
      </c>
    </row>
    <row r="1944">
      <c r="A1944" s="2">
        <v>2.076494724E9</v>
      </c>
      <c r="B1944" s="72">
        <v>8.3350751E7</v>
      </c>
      <c r="C1944" s="74">
        <v>46234.05265994213</v>
      </c>
      <c r="D1944" s="2" t="s">
        <v>667</v>
      </c>
      <c r="E1944" s="2" t="s">
        <v>1332</v>
      </c>
      <c r="F1944" s="2" t="s">
        <v>2355</v>
      </c>
      <c r="G1944" s="72">
        <v>3.32385639E8</v>
      </c>
    </row>
    <row r="1945">
      <c r="A1945" s="2">
        <v>2.076494724E9</v>
      </c>
      <c r="B1945" s="72">
        <v>8.3350751E7</v>
      </c>
      <c r="C1945" s="74">
        <v>46234.036324733795</v>
      </c>
      <c r="D1945" s="2" t="s">
        <v>705</v>
      </c>
      <c r="F1945" s="2" t="s">
        <v>2356</v>
      </c>
      <c r="G1945" s="72">
        <v>3.32369419E8</v>
      </c>
    </row>
    <row r="1946">
      <c r="A1946" s="2">
        <v>2.076494724E9</v>
      </c>
      <c r="B1946" s="72">
        <v>8.3350751E7</v>
      </c>
      <c r="C1946" s="74">
        <v>46234.06854695602</v>
      </c>
      <c r="D1946" s="2" t="s">
        <v>667</v>
      </c>
      <c r="E1946" s="2" t="s">
        <v>1332</v>
      </c>
      <c r="F1946" s="2" t="s">
        <v>2357</v>
      </c>
      <c r="G1946" s="72">
        <v>3.32393189E8</v>
      </c>
    </row>
    <row r="1947">
      <c r="A1947" s="2">
        <v>2.076494724E9</v>
      </c>
      <c r="B1947" s="72">
        <v>8.3350751E7</v>
      </c>
      <c r="C1947" s="74">
        <v>46234.651392280095</v>
      </c>
      <c r="D1947" s="2" t="s">
        <v>705</v>
      </c>
      <c r="F1947" s="2" t="s">
        <v>2358</v>
      </c>
      <c r="G1947" s="72">
        <v>3.32749036E8</v>
      </c>
    </row>
    <row r="1948">
      <c r="A1948" s="2">
        <v>2.076494724E9</v>
      </c>
      <c r="B1948" s="72">
        <v>8.3350751E7</v>
      </c>
      <c r="C1948" s="74">
        <v>46235.0442037037</v>
      </c>
      <c r="D1948" s="2" t="s">
        <v>705</v>
      </c>
      <c r="F1948" s="2" t="s">
        <v>2359</v>
      </c>
      <c r="G1948" s="72">
        <v>3.33178894E8</v>
      </c>
    </row>
    <row r="1949">
      <c r="A1949" s="2">
        <v>2.076494724E9</v>
      </c>
      <c r="B1949" s="72">
        <v>8.3350751E7</v>
      </c>
      <c r="C1949" s="74">
        <v>46234.06685325231</v>
      </c>
      <c r="D1949" s="2" t="s">
        <v>705</v>
      </c>
      <c r="F1949" s="2" t="s">
        <v>2360</v>
      </c>
      <c r="G1949" s="72">
        <v>3.3239232E8</v>
      </c>
    </row>
    <row r="1950">
      <c r="A1950" s="2">
        <v>2.076494724E9</v>
      </c>
      <c r="B1950" s="72">
        <v>8.3350751E7</v>
      </c>
      <c r="C1950" s="74">
        <v>46234.03812465278</v>
      </c>
      <c r="D1950" s="2" t="s">
        <v>667</v>
      </c>
      <c r="E1950" s="2" t="s">
        <v>1332</v>
      </c>
      <c r="F1950" s="2" t="s">
        <v>2361</v>
      </c>
      <c r="G1950" s="72">
        <v>3.32370671E8</v>
      </c>
    </row>
    <row r="1951">
      <c r="A1951" s="2">
        <v>2.076494724E9</v>
      </c>
      <c r="B1951" s="72">
        <v>8.3350751E7</v>
      </c>
      <c r="C1951" s="74">
        <v>46234.0677412963</v>
      </c>
      <c r="D1951" s="2" t="s">
        <v>667</v>
      </c>
      <c r="E1951" s="2" t="s">
        <v>1332</v>
      </c>
      <c r="F1951" s="2" t="s">
        <v>2362</v>
      </c>
      <c r="G1951" s="72">
        <v>3.32392706E8</v>
      </c>
    </row>
    <row r="1952">
      <c r="A1952" s="2">
        <v>2.076494724E9</v>
      </c>
      <c r="B1952" s="72">
        <v>8.3350751E7</v>
      </c>
      <c r="C1952" s="74">
        <v>46234.068306354166</v>
      </c>
      <c r="D1952" s="2" t="s">
        <v>705</v>
      </c>
      <c r="F1952" s="2" t="s">
        <v>2363</v>
      </c>
      <c r="G1952" s="72">
        <v>3.32392991E8</v>
      </c>
    </row>
    <row r="1953">
      <c r="A1953" s="2">
        <v>2.076494724E9</v>
      </c>
      <c r="B1953" s="72">
        <v>8.3350751E7</v>
      </c>
      <c r="C1953" s="74">
        <v>46234.034226504635</v>
      </c>
      <c r="D1953" s="2" t="s">
        <v>705</v>
      </c>
      <c r="F1953" s="2" t="s">
        <v>2364</v>
      </c>
      <c r="G1953" s="72">
        <v>3.32368258E8</v>
      </c>
    </row>
    <row r="1954">
      <c r="A1954" s="2">
        <v>2.076494724E9</v>
      </c>
      <c r="B1954" s="72">
        <v>8.3350751E7</v>
      </c>
      <c r="C1954" s="74">
        <v>46234.0355056713</v>
      </c>
      <c r="D1954" s="2" t="s">
        <v>667</v>
      </c>
      <c r="E1954" s="2" t="s">
        <v>1332</v>
      </c>
      <c r="F1954" s="2" t="s">
        <v>2365</v>
      </c>
      <c r="G1954" s="72">
        <v>3.32369007E8</v>
      </c>
    </row>
    <row r="1955">
      <c r="A1955" s="2">
        <v>2.076494724E9</v>
      </c>
      <c r="B1955" s="72">
        <v>8.3350751E7</v>
      </c>
      <c r="C1955" s="74">
        <v>46234.07118321759</v>
      </c>
      <c r="D1955" s="2" t="s">
        <v>705</v>
      </c>
      <c r="F1955" s="2" t="s">
        <v>2366</v>
      </c>
      <c r="G1955" s="72">
        <v>3.32394267E8</v>
      </c>
    </row>
    <row r="1956">
      <c r="A1956" s="2">
        <v>2.076494724E9</v>
      </c>
      <c r="B1956" s="72">
        <v>8.3350751E7</v>
      </c>
      <c r="C1956" s="74">
        <v>46234.0647594676</v>
      </c>
      <c r="D1956" s="2" t="s">
        <v>667</v>
      </c>
      <c r="E1956" s="2" t="s">
        <v>1332</v>
      </c>
      <c r="F1956" s="2" t="s">
        <v>2367</v>
      </c>
      <c r="G1956" s="72">
        <v>3.32391343E8</v>
      </c>
    </row>
    <row r="1957">
      <c r="A1957" s="2">
        <v>2.076503521E9</v>
      </c>
      <c r="B1957" s="72">
        <v>8.1173377E7</v>
      </c>
      <c r="C1957" s="74">
        <v>46221.54319024306</v>
      </c>
      <c r="D1957" s="2" t="s">
        <v>628</v>
      </c>
      <c r="F1957" s="2" t="s">
        <v>630</v>
      </c>
      <c r="G1957" s="72">
        <v>3.23533143E8</v>
      </c>
    </row>
    <row r="1958">
      <c r="A1958" s="2">
        <v>2.076503521E9</v>
      </c>
      <c r="C1958" s="74">
        <v>46219.75237324074</v>
      </c>
      <c r="D1958" s="2" t="s">
        <v>628</v>
      </c>
      <c r="F1958" s="2" t="s">
        <v>2368</v>
      </c>
      <c r="G1958" s="72">
        <v>3.22242663E8</v>
      </c>
    </row>
    <row r="1959">
      <c r="A1959" s="2">
        <v>2.076503521E9</v>
      </c>
      <c r="B1959" s="72">
        <v>8.1173377E7</v>
      </c>
      <c r="C1959" s="74">
        <v>46221.960251145836</v>
      </c>
      <c r="D1959" s="2" t="s">
        <v>628</v>
      </c>
      <c r="F1959" s="2" t="s">
        <v>2369</v>
      </c>
      <c r="G1959" s="72">
        <v>3.23994176E8</v>
      </c>
    </row>
    <row r="1960">
      <c r="A1960" s="2">
        <v>2.076507857E9</v>
      </c>
      <c r="B1960" s="72">
        <v>7.8321355E7</v>
      </c>
      <c r="C1960" s="74">
        <v>46204.96186855324</v>
      </c>
      <c r="D1960" s="2" t="s">
        <v>628</v>
      </c>
      <c r="F1960" s="2" t="s">
        <v>2370</v>
      </c>
      <c r="G1960" s="72">
        <v>3.12387411E8</v>
      </c>
    </row>
    <row r="1961">
      <c r="A1961" s="2">
        <v>2.076718328E9</v>
      </c>
      <c r="B1961" s="72">
        <v>8.0739613E7</v>
      </c>
      <c r="C1961" s="74">
        <v>46218.960900185186</v>
      </c>
      <c r="D1961" s="2" t="s">
        <v>628</v>
      </c>
      <c r="F1961" s="2" t="s">
        <v>849</v>
      </c>
      <c r="G1961" s="72">
        <v>3.21771903E8</v>
      </c>
    </row>
    <row r="1962">
      <c r="A1962" s="2">
        <v>2.076718328E9</v>
      </c>
      <c r="C1962" s="74">
        <v>46217.753143657406</v>
      </c>
      <c r="D1962" s="2" t="s">
        <v>628</v>
      </c>
      <c r="F1962" s="2" t="s">
        <v>775</v>
      </c>
      <c r="G1962" s="72">
        <v>3.20926854E8</v>
      </c>
    </row>
    <row r="1963">
      <c r="A1963" s="2">
        <v>2.077358491E9</v>
      </c>
      <c r="B1963" s="72">
        <v>8.31907E7</v>
      </c>
      <c r="C1963" s="74">
        <v>46233.75199587963</v>
      </c>
      <c r="D1963" s="2" t="s">
        <v>628</v>
      </c>
      <c r="F1963" s="2" t="s">
        <v>663</v>
      </c>
      <c r="G1963" s="72">
        <v>3.32065897E8</v>
      </c>
    </row>
    <row r="1964">
      <c r="A1964" s="2">
        <v>2.077456118E9</v>
      </c>
      <c r="B1964" s="72">
        <v>4225645.0</v>
      </c>
      <c r="C1964" s="74">
        <v>46220.55204130787</v>
      </c>
      <c r="D1964" s="2" t="s">
        <v>628</v>
      </c>
      <c r="F1964" s="2" t="s">
        <v>927</v>
      </c>
      <c r="G1964" s="72">
        <v>3.22799557E8</v>
      </c>
    </row>
    <row r="1965">
      <c r="A1965" s="2">
        <v>2.077456118E9</v>
      </c>
      <c r="B1965" s="72">
        <v>4225645.0</v>
      </c>
      <c r="C1965" s="74">
        <v>46220.959412337965</v>
      </c>
      <c r="D1965" s="2" t="s">
        <v>628</v>
      </c>
      <c r="F1965" s="2" t="s">
        <v>928</v>
      </c>
      <c r="G1965" s="72">
        <v>3.23241543E8</v>
      </c>
    </row>
    <row r="1966">
      <c r="A1966" s="2">
        <v>2.077498863E9</v>
      </c>
      <c r="B1966" s="72">
        <v>8.082514E7</v>
      </c>
      <c r="C1966" s="74">
        <v>46219.96156494213</v>
      </c>
      <c r="D1966" s="2" t="s">
        <v>628</v>
      </c>
      <c r="F1966" s="2" t="s">
        <v>2371</v>
      </c>
      <c r="G1966" s="72">
        <v>3.22480797E8</v>
      </c>
    </row>
    <row r="1967">
      <c r="A1967" s="2">
        <v>2.077498863E9</v>
      </c>
      <c r="B1967" s="72">
        <v>8.082514E7</v>
      </c>
      <c r="C1967" s="74">
        <v>46219.686838657406</v>
      </c>
      <c r="D1967" s="2" t="s">
        <v>628</v>
      </c>
      <c r="F1967" s="2" t="s">
        <v>2372</v>
      </c>
      <c r="G1967" s="72">
        <v>3.22194482E8</v>
      </c>
    </row>
    <row r="1968">
      <c r="A1968" s="2">
        <v>2.07776322E9</v>
      </c>
      <c r="B1968" s="72">
        <v>7.8605454E7</v>
      </c>
      <c r="C1968" s="74">
        <v>46205.68920055556</v>
      </c>
      <c r="D1968" s="2" t="s">
        <v>628</v>
      </c>
      <c r="F1968" s="2" t="s">
        <v>1805</v>
      </c>
      <c r="G1968" s="72">
        <v>3.1277984E8</v>
      </c>
    </row>
    <row r="1969">
      <c r="A1969" s="2">
        <v>2.07776322E9</v>
      </c>
      <c r="B1969" s="72">
        <v>7.8605454E7</v>
      </c>
      <c r="C1969" s="74">
        <v>46205.960044861116</v>
      </c>
      <c r="D1969" s="2" t="s">
        <v>628</v>
      </c>
      <c r="F1969" s="2" t="s">
        <v>2373</v>
      </c>
      <c r="G1969" s="72">
        <v>3.13054333E8</v>
      </c>
    </row>
    <row r="1970">
      <c r="A1970" s="2">
        <v>2.079992202E9</v>
      </c>
      <c r="B1970" s="72">
        <v>6790834.0</v>
      </c>
      <c r="C1970" s="74">
        <v>46211.54375887732</v>
      </c>
      <c r="D1970" s="2" t="s">
        <v>628</v>
      </c>
      <c r="F1970" s="2" t="s">
        <v>630</v>
      </c>
      <c r="G1970" s="72">
        <v>3.16602175E8</v>
      </c>
    </row>
    <row r="1971">
      <c r="A1971" s="2">
        <v>2.079992202E9</v>
      </c>
      <c r="B1971" s="72">
        <v>6790834.0</v>
      </c>
      <c r="C1971" s="74">
        <v>46211.96048980324</v>
      </c>
      <c r="D1971" s="2" t="s">
        <v>628</v>
      </c>
      <c r="F1971" s="2" t="s">
        <v>1183</v>
      </c>
      <c r="G1971" s="72">
        <v>3.16986676E8</v>
      </c>
    </row>
    <row r="1972">
      <c r="A1972" s="2">
        <v>2.089121992E9</v>
      </c>
      <c r="B1972" s="72">
        <v>8.23385E7</v>
      </c>
      <c r="C1972" s="74">
        <v>46229.959940092594</v>
      </c>
      <c r="D1972" s="2" t="s">
        <v>628</v>
      </c>
      <c r="F1972" s="2" t="s">
        <v>2374</v>
      </c>
      <c r="G1972" s="72">
        <v>3.29609331E8</v>
      </c>
    </row>
    <row r="1973">
      <c r="A1973" s="2">
        <v>2.089121992E9</v>
      </c>
      <c r="B1973" s="72">
        <v>8.23385E7</v>
      </c>
      <c r="C1973" s="74">
        <v>46228.54323769676</v>
      </c>
      <c r="D1973" s="2" t="s">
        <v>628</v>
      </c>
      <c r="F1973" s="2" t="s">
        <v>630</v>
      </c>
      <c r="G1973" s="72">
        <v>3.28407654E8</v>
      </c>
    </row>
    <row r="1974">
      <c r="A1974" s="2">
        <v>2.145630422E9</v>
      </c>
      <c r="B1974" s="72">
        <v>8.0923201E7</v>
      </c>
      <c r="C1974" s="74">
        <v>46219.960157395835</v>
      </c>
      <c r="D1974" s="2" t="s">
        <v>628</v>
      </c>
      <c r="F1974" s="2" t="s">
        <v>638</v>
      </c>
      <c r="G1974" s="72">
        <v>3.22475371E8</v>
      </c>
    </row>
    <row r="1975">
      <c r="A1975" s="2">
        <v>2.147961594E9</v>
      </c>
      <c r="B1975" s="72">
        <v>8.214329E7</v>
      </c>
      <c r="C1975" s="74">
        <v>46227.54513629629</v>
      </c>
      <c r="D1975" s="2" t="s">
        <v>628</v>
      </c>
      <c r="F1975" s="2" t="s">
        <v>630</v>
      </c>
      <c r="G1975" s="72">
        <v>3.27643944E8</v>
      </c>
    </row>
    <row r="1976">
      <c r="A1976" s="2">
        <v>2.147961594E9</v>
      </c>
      <c r="B1976" s="72">
        <v>8.214329E7</v>
      </c>
      <c r="C1976" s="74">
        <v>46225.75266650463</v>
      </c>
      <c r="D1976" s="2" t="s">
        <v>628</v>
      </c>
      <c r="F1976" s="2" t="s">
        <v>2375</v>
      </c>
      <c r="G1976" s="72">
        <v>3.26434194E8</v>
      </c>
    </row>
    <row r="1977">
      <c r="A1977" s="2">
        <v>2.147961594E9</v>
      </c>
      <c r="B1977" s="72">
        <v>8.214329E7</v>
      </c>
      <c r="C1977" s="74">
        <v>46219.99550104167</v>
      </c>
      <c r="D1977" s="2" t="s">
        <v>705</v>
      </c>
      <c r="F1977" s="2" t="s">
        <v>2376</v>
      </c>
      <c r="G1977" s="72">
        <v>3.22504048E8</v>
      </c>
    </row>
    <row r="1978">
      <c r="A1978" s="2">
        <v>2.147961594E9</v>
      </c>
      <c r="B1978" s="72">
        <v>8.214329E7</v>
      </c>
      <c r="C1978" s="74">
        <v>46228.961080810186</v>
      </c>
      <c r="D1978" s="2" t="s">
        <v>628</v>
      </c>
      <c r="F1978" s="2" t="s">
        <v>2377</v>
      </c>
      <c r="G1978" s="72">
        <v>3.2886701E8</v>
      </c>
    </row>
    <row r="1979">
      <c r="A1979" s="2">
        <v>2.148378688E9</v>
      </c>
      <c r="B1979" s="72">
        <v>8.3018294E7</v>
      </c>
      <c r="C1979" s="74">
        <v>46234.959686041664</v>
      </c>
      <c r="D1979" s="2" t="s">
        <v>628</v>
      </c>
      <c r="F1979" s="2" t="s">
        <v>2255</v>
      </c>
      <c r="G1979" s="72">
        <v>3.33096967E8</v>
      </c>
    </row>
    <row r="1980">
      <c r="A1980" s="2">
        <v>2.148378688E9</v>
      </c>
      <c r="B1980" s="72">
        <v>8.3018294E7</v>
      </c>
      <c r="C1980" s="74">
        <v>46234.542891481484</v>
      </c>
      <c r="D1980" s="2" t="s">
        <v>628</v>
      </c>
      <c r="F1980" s="2" t="s">
        <v>630</v>
      </c>
      <c r="G1980" s="72">
        <v>3.3258963E8</v>
      </c>
    </row>
    <row r="1981">
      <c r="A1981" s="2">
        <v>2.148378688E9</v>
      </c>
      <c r="B1981" s="72">
        <v>8.3018294E7</v>
      </c>
      <c r="C1981" s="74">
        <v>46232.751443263885</v>
      </c>
      <c r="D1981" s="2" t="s">
        <v>628</v>
      </c>
      <c r="F1981" s="2" t="s">
        <v>2256</v>
      </c>
      <c r="G1981" s="72">
        <v>3.31374682E8</v>
      </c>
    </row>
    <row r="1982">
      <c r="A1982" s="2">
        <v>2.397370849E9</v>
      </c>
      <c r="B1982" s="72">
        <v>8.0576996E7</v>
      </c>
      <c r="C1982" s="74">
        <v>46217.961162928244</v>
      </c>
      <c r="D1982" s="2" t="s">
        <v>628</v>
      </c>
      <c r="F1982" s="2" t="s">
        <v>2378</v>
      </c>
      <c r="G1982" s="72">
        <v>3.21115601E8</v>
      </c>
    </row>
    <row r="1983">
      <c r="A1983" s="2">
        <v>2.48420012E9</v>
      </c>
      <c r="C1983" s="74">
        <v>46234.7543089699</v>
      </c>
      <c r="D1983" s="2" t="s">
        <v>628</v>
      </c>
      <c r="F1983" s="2" t="s">
        <v>2379</v>
      </c>
      <c r="G1983" s="72">
        <v>3.32858161E8</v>
      </c>
    </row>
    <row r="1984">
      <c r="A1984" s="2">
        <v>2.625732157E9</v>
      </c>
      <c r="C1984" s="74">
        <v>46218.75227173611</v>
      </c>
      <c r="D1984" s="2" t="s">
        <v>628</v>
      </c>
      <c r="F1984" s="2" t="s">
        <v>2380</v>
      </c>
      <c r="G1984" s="72">
        <v>3.21569274E8</v>
      </c>
    </row>
    <row r="1985">
      <c r="A1985" s="2">
        <v>2.625732157E9</v>
      </c>
      <c r="B1985" s="72">
        <v>3.7129514E7</v>
      </c>
      <c r="C1985" s="74">
        <v>46220.54467783565</v>
      </c>
      <c r="D1985" s="2" t="s">
        <v>628</v>
      </c>
      <c r="F1985" s="2" t="s">
        <v>630</v>
      </c>
      <c r="G1985" s="72">
        <v>3.22771568E8</v>
      </c>
    </row>
    <row r="1986">
      <c r="A1986" s="2">
        <v>2.625732157E9</v>
      </c>
      <c r="B1986" s="72">
        <v>3.7129514E7</v>
      </c>
      <c r="C1986" s="74">
        <v>46222.96060533565</v>
      </c>
      <c r="D1986" s="2" t="s">
        <v>628</v>
      </c>
      <c r="F1986" s="2" t="s">
        <v>2381</v>
      </c>
      <c r="G1986" s="72">
        <v>3.24725737E8</v>
      </c>
    </row>
    <row r="1987">
      <c r="A1987" s="2">
        <v>2.679876116E9</v>
      </c>
      <c r="B1987" s="72">
        <v>4.1906088E7</v>
      </c>
      <c r="C1987" s="74">
        <v>46217.37564668982</v>
      </c>
      <c r="D1987" s="2" t="s">
        <v>705</v>
      </c>
      <c r="F1987" s="2" t="s">
        <v>2382</v>
      </c>
      <c r="G1987" s="72">
        <v>3.2061682E8</v>
      </c>
    </row>
    <row r="1988">
      <c r="A1988" s="2">
        <v>2.679876116E9</v>
      </c>
      <c r="B1988" s="72">
        <v>4.1906088E7</v>
      </c>
      <c r="C1988" s="74">
        <v>46217.37835168981</v>
      </c>
      <c r="D1988" s="2" t="s">
        <v>705</v>
      </c>
      <c r="F1988" s="2" t="s">
        <v>2383</v>
      </c>
      <c r="G1988" s="72">
        <v>3.206174E8</v>
      </c>
    </row>
    <row r="1989">
      <c r="A1989" s="2">
        <v>2.679876116E9</v>
      </c>
      <c r="B1989" s="72">
        <v>4.1906088E7</v>
      </c>
      <c r="C1989" s="74">
        <v>46216.70901515047</v>
      </c>
      <c r="D1989" s="2" t="s">
        <v>705</v>
      </c>
      <c r="F1989" s="2" t="s">
        <v>2384</v>
      </c>
      <c r="G1989" s="72">
        <v>3.20261331E8</v>
      </c>
    </row>
    <row r="1990">
      <c r="A1990" s="2">
        <v>3.025885629E9</v>
      </c>
      <c r="B1990" s="72">
        <v>8.0810029E7</v>
      </c>
      <c r="C1990" s="74">
        <v>46219.59929914352</v>
      </c>
      <c r="D1990" s="2" t="s">
        <v>628</v>
      </c>
      <c r="F1990" s="2" t="s">
        <v>1704</v>
      </c>
      <c r="G1990" s="72">
        <v>3.22122164E8</v>
      </c>
    </row>
    <row r="1991">
      <c r="A1991" s="2">
        <v>3.025885629E9</v>
      </c>
      <c r="B1991" s="72">
        <v>8.0810029E7</v>
      </c>
      <c r="C1991" s="74">
        <v>46219.95916268518</v>
      </c>
      <c r="D1991" s="2" t="s">
        <v>628</v>
      </c>
      <c r="F1991" s="2" t="s">
        <v>2385</v>
      </c>
      <c r="G1991" s="72">
        <v>3.22472422E8</v>
      </c>
    </row>
    <row r="1992">
      <c r="A1992" s="2">
        <v>3.038773194E9</v>
      </c>
      <c r="B1992" s="72">
        <v>8.0739462E7</v>
      </c>
      <c r="C1992" s="74">
        <v>46218.960666307874</v>
      </c>
      <c r="D1992" s="2" t="s">
        <v>628</v>
      </c>
      <c r="F1992" s="2" t="s">
        <v>2386</v>
      </c>
      <c r="G1992" s="72">
        <v>3.21770914E8</v>
      </c>
    </row>
    <row r="1993">
      <c r="A1993" s="2">
        <v>3.055827597E9</v>
      </c>
      <c r="B1993" s="72">
        <v>8.2339104E7</v>
      </c>
      <c r="C1993" s="74">
        <v>46228.95989090278</v>
      </c>
      <c r="D1993" s="2" t="s">
        <v>628</v>
      </c>
      <c r="F1993" s="2" t="s">
        <v>2387</v>
      </c>
      <c r="G1993" s="72">
        <v>3.2886041E8</v>
      </c>
    </row>
    <row r="1994">
      <c r="A1994" s="2">
        <v>3.055827597E9</v>
      </c>
      <c r="B1994" s="72">
        <v>8.2339104E7</v>
      </c>
      <c r="C1994" s="74">
        <v>46228.54351636574</v>
      </c>
      <c r="D1994" s="2" t="s">
        <v>628</v>
      </c>
      <c r="F1994" s="2" t="s">
        <v>630</v>
      </c>
      <c r="G1994" s="72">
        <v>3.28411275E8</v>
      </c>
    </row>
    <row r="1995">
      <c r="A1995" s="2">
        <v>3.072771203E9</v>
      </c>
      <c r="B1995" s="72">
        <v>7.9247989E7</v>
      </c>
      <c r="C1995" s="74">
        <v>46210.961213159724</v>
      </c>
      <c r="D1995" s="2" t="s">
        <v>628</v>
      </c>
      <c r="F1995" s="2" t="s">
        <v>2388</v>
      </c>
      <c r="G1995" s="72">
        <v>3.16371995E8</v>
      </c>
    </row>
    <row r="1996">
      <c r="A1996" s="2">
        <v>3.072771203E9</v>
      </c>
      <c r="B1996" s="72">
        <v>7.9247989E7</v>
      </c>
      <c r="C1996" s="74">
        <v>46209.75373953704</v>
      </c>
      <c r="D1996" s="2" t="s">
        <v>628</v>
      </c>
      <c r="F1996" s="2" t="s">
        <v>2389</v>
      </c>
      <c r="G1996" s="72">
        <v>3.1559502E8</v>
      </c>
    </row>
    <row r="1997">
      <c r="A1997" s="2">
        <v>3.15244011E9</v>
      </c>
      <c r="B1997" s="72">
        <v>7.814338E7</v>
      </c>
      <c r="C1997" s="74">
        <v>46204.96026658565</v>
      </c>
      <c r="D1997" s="2" t="s">
        <v>628</v>
      </c>
      <c r="F1997" s="2" t="s">
        <v>2390</v>
      </c>
      <c r="G1997" s="72">
        <v>3.12382118E8</v>
      </c>
    </row>
    <row r="1998">
      <c r="A1998" s="2">
        <v>3.15250621E9</v>
      </c>
      <c r="B1998" s="72">
        <v>8.2657061E7</v>
      </c>
      <c r="C1998" s="74">
        <v>46231.9611372338</v>
      </c>
      <c r="D1998" s="2" t="s">
        <v>628</v>
      </c>
      <c r="F1998" s="2" t="s">
        <v>1125</v>
      </c>
      <c r="G1998" s="72">
        <v>3.30919796E8</v>
      </c>
    </row>
    <row r="1999">
      <c r="A1999" s="2">
        <v>3.15250621E9</v>
      </c>
      <c r="B1999" s="72">
        <v>8.2657061E7</v>
      </c>
      <c r="C1999" s="74">
        <v>46230.54583771991</v>
      </c>
      <c r="D1999" s="2" t="s">
        <v>628</v>
      </c>
      <c r="F1999" s="2" t="s">
        <v>630</v>
      </c>
      <c r="G1999" s="72">
        <v>3.29880163E8</v>
      </c>
    </row>
    <row r="2000">
      <c r="A2000" s="2">
        <v>3.152718106E9</v>
      </c>
      <c r="B2000" s="72">
        <v>8.2075462E7</v>
      </c>
      <c r="C2000" s="74">
        <v>46228.542600057874</v>
      </c>
      <c r="D2000" s="2" t="s">
        <v>628</v>
      </c>
      <c r="F2000" s="2" t="s">
        <v>630</v>
      </c>
      <c r="G2000" s="72">
        <v>3.28400613E8</v>
      </c>
    </row>
    <row r="2001">
      <c r="A2001" s="2">
        <v>3.152718106E9</v>
      </c>
      <c r="C2001" s="74">
        <v>46226.751228622685</v>
      </c>
      <c r="D2001" s="2" t="s">
        <v>628</v>
      </c>
      <c r="F2001" s="2" t="s">
        <v>2391</v>
      </c>
      <c r="G2001" s="72">
        <v>3.27097411E8</v>
      </c>
    </row>
    <row r="2002">
      <c r="A2002" s="2">
        <v>3.152718106E9</v>
      </c>
      <c r="B2002" s="72">
        <v>8.2075462E7</v>
      </c>
      <c r="C2002" s="74">
        <v>46228.95943802083</v>
      </c>
      <c r="D2002" s="2" t="s">
        <v>628</v>
      </c>
      <c r="F2002" s="2" t="s">
        <v>2392</v>
      </c>
      <c r="G2002" s="72">
        <v>3.28857502E8</v>
      </c>
    </row>
    <row r="2003">
      <c r="A2003" s="2">
        <v>3.154099265E9</v>
      </c>
      <c r="B2003" s="72">
        <v>8.1379867E7</v>
      </c>
      <c r="C2003" s="74">
        <v>46224.543957546295</v>
      </c>
      <c r="D2003" s="2" t="s">
        <v>628</v>
      </c>
      <c r="F2003" s="2" t="s">
        <v>630</v>
      </c>
      <c r="G2003" s="72">
        <v>3.25607531E8</v>
      </c>
    </row>
    <row r="2004">
      <c r="A2004" s="2">
        <v>3.154099265E9</v>
      </c>
      <c r="B2004" s="72">
        <v>8.1379867E7</v>
      </c>
      <c r="C2004" s="74">
        <v>46225.96043274306</v>
      </c>
      <c r="D2004" s="2" t="s">
        <v>628</v>
      </c>
      <c r="F2004" s="2" t="s">
        <v>2393</v>
      </c>
      <c r="G2004" s="72">
        <v>3.26630552E8</v>
      </c>
    </row>
    <row r="2005">
      <c r="A2005" s="2">
        <v>3.154099265E9</v>
      </c>
      <c r="B2005" s="72">
        <v>8.1379867E7</v>
      </c>
      <c r="C2005" s="74">
        <v>46222.75214193287</v>
      </c>
      <c r="D2005" s="2" t="s">
        <v>628</v>
      </c>
      <c r="F2005" s="2" t="s">
        <v>2394</v>
      </c>
      <c r="G2005" s="72">
        <v>3.24541898E8</v>
      </c>
    </row>
    <row r="2006">
      <c r="A2006" s="2">
        <v>3.155275653E9</v>
      </c>
      <c r="B2006" s="72">
        <v>3441411.0</v>
      </c>
      <c r="C2006" s="74">
        <v>46229.96104001158</v>
      </c>
      <c r="D2006" s="2" t="s">
        <v>628</v>
      </c>
      <c r="F2006" s="2" t="s">
        <v>1029</v>
      </c>
      <c r="G2006" s="72">
        <v>3.29613267E8</v>
      </c>
    </row>
    <row r="2007">
      <c r="A2007" s="2">
        <v>3.155275653E9</v>
      </c>
      <c r="B2007" s="72">
        <v>8.1249637E7</v>
      </c>
      <c r="C2007" s="74">
        <v>46228.75299670139</v>
      </c>
      <c r="D2007" s="2" t="s">
        <v>628</v>
      </c>
      <c r="F2007" s="2" t="s">
        <v>1028</v>
      </c>
      <c r="G2007" s="72">
        <v>3.28648894E8</v>
      </c>
    </row>
    <row r="2008">
      <c r="A2008" s="2">
        <v>3.155283693E9</v>
      </c>
      <c r="B2008" s="72">
        <v>8.0981933E7</v>
      </c>
      <c r="C2008" s="74">
        <v>46221.96063954861</v>
      </c>
      <c r="D2008" s="2" t="s">
        <v>628</v>
      </c>
      <c r="F2008" s="2" t="s">
        <v>798</v>
      </c>
      <c r="G2008" s="72">
        <v>3.23996269E8</v>
      </c>
    </row>
    <row r="2009">
      <c r="A2009" s="2">
        <v>3.155283693E9</v>
      </c>
      <c r="B2009" s="72">
        <v>8.0981933E7</v>
      </c>
      <c r="C2009" s="74">
        <v>46220.544734386574</v>
      </c>
      <c r="D2009" s="2" t="s">
        <v>628</v>
      </c>
      <c r="F2009" s="2" t="s">
        <v>630</v>
      </c>
      <c r="G2009" s="72">
        <v>3.22772568E8</v>
      </c>
    </row>
    <row r="2010">
      <c r="A2010" s="2">
        <v>3.155343667E9</v>
      </c>
      <c r="C2010" s="74">
        <v>46228.75362643518</v>
      </c>
      <c r="D2010" s="2" t="s">
        <v>628</v>
      </c>
      <c r="F2010" s="2" t="s">
        <v>1840</v>
      </c>
      <c r="G2010" s="72">
        <v>3.28653186E8</v>
      </c>
    </row>
    <row r="2011">
      <c r="A2011" s="2">
        <v>3.155343667E9</v>
      </c>
      <c r="B2011" s="72">
        <v>4348658.0</v>
      </c>
      <c r="C2011" s="74">
        <v>46230.545710543985</v>
      </c>
      <c r="D2011" s="2" t="s">
        <v>628</v>
      </c>
      <c r="F2011" s="2" t="s">
        <v>630</v>
      </c>
      <c r="G2011" s="72">
        <v>3.29878042E8</v>
      </c>
    </row>
    <row r="2012">
      <c r="A2012" s="2">
        <v>3.155343667E9</v>
      </c>
      <c r="B2012" s="72">
        <v>4348658.0</v>
      </c>
      <c r="C2012" s="74">
        <v>46234.96185412037</v>
      </c>
      <c r="D2012" s="2" t="s">
        <v>628</v>
      </c>
      <c r="F2012" s="2" t="s">
        <v>1841</v>
      </c>
      <c r="G2012" s="72">
        <v>3.33104474E8</v>
      </c>
    </row>
    <row r="2013">
      <c r="A2013" s="2">
        <v>3.157615722E9</v>
      </c>
      <c r="B2013" s="72">
        <v>7.9500175E7</v>
      </c>
      <c r="C2013" s="74">
        <v>46211.545044004626</v>
      </c>
      <c r="D2013" s="2" t="s">
        <v>628</v>
      </c>
      <c r="F2013" s="2" t="s">
        <v>630</v>
      </c>
      <c r="G2013" s="72">
        <v>3.16621884E8</v>
      </c>
    </row>
    <row r="2014">
      <c r="A2014" s="2">
        <v>3.157615722E9</v>
      </c>
      <c r="B2014" s="72">
        <v>7.9500175E7</v>
      </c>
      <c r="C2014" s="74">
        <v>46211.96161737268</v>
      </c>
      <c r="D2014" s="2" t="s">
        <v>628</v>
      </c>
      <c r="F2014" s="2" t="s">
        <v>2053</v>
      </c>
      <c r="G2014" s="72">
        <v>3.16990225E8</v>
      </c>
    </row>
    <row r="2015">
      <c r="A2015" s="2">
        <v>3.157615722E9</v>
      </c>
      <c r="C2015" s="74">
        <v>46209.7537066088</v>
      </c>
      <c r="D2015" s="2" t="s">
        <v>628</v>
      </c>
      <c r="F2015" s="2" t="s">
        <v>2054</v>
      </c>
      <c r="G2015" s="72">
        <v>3.15594771E8</v>
      </c>
    </row>
    <row r="2016">
      <c r="A2016" s="2">
        <v>3.158255222E9</v>
      </c>
      <c r="C2016" s="74">
        <v>46210.752493692125</v>
      </c>
      <c r="D2016" s="2" t="s">
        <v>628</v>
      </c>
      <c r="F2016" s="2" t="s">
        <v>2395</v>
      </c>
      <c r="G2016" s="72">
        <v>3.16192445E8</v>
      </c>
    </row>
    <row r="2017">
      <c r="A2017" s="2">
        <v>3.158255222E9</v>
      </c>
      <c r="B2017" s="72">
        <v>7.9654807E7</v>
      </c>
      <c r="C2017" s="74">
        <v>46212.54441173611</v>
      </c>
      <c r="D2017" s="2" t="s">
        <v>628</v>
      </c>
      <c r="F2017" s="2" t="s">
        <v>630</v>
      </c>
      <c r="G2017" s="72">
        <v>3.17245598E8</v>
      </c>
    </row>
    <row r="2018">
      <c r="A2018" s="2">
        <v>3.158685582E9</v>
      </c>
      <c r="B2018" s="72">
        <v>8.2340484E7</v>
      </c>
      <c r="C2018" s="74">
        <v>46228.55630798611</v>
      </c>
      <c r="D2018" s="2" t="s">
        <v>705</v>
      </c>
      <c r="F2018" s="2" t="s">
        <v>2396</v>
      </c>
      <c r="G2018" s="72">
        <v>3.28450265E8</v>
      </c>
    </row>
    <row r="2019">
      <c r="A2019" s="2">
        <v>3.158685582E9</v>
      </c>
      <c r="B2019" s="72">
        <v>8.2340484E7</v>
      </c>
      <c r="C2019" s="74">
        <v>46228.54407280093</v>
      </c>
      <c r="D2019" s="2" t="s">
        <v>628</v>
      </c>
      <c r="F2019" s="2" t="s">
        <v>630</v>
      </c>
      <c r="G2019" s="72">
        <v>3.28419399E8</v>
      </c>
    </row>
    <row r="2020">
      <c r="A2020" s="2">
        <v>3.158685582E9</v>
      </c>
      <c r="B2020" s="72">
        <v>8.2340484E7</v>
      </c>
      <c r="C2020" s="74">
        <v>46228.960171087965</v>
      </c>
      <c r="D2020" s="2" t="s">
        <v>628</v>
      </c>
      <c r="F2020" s="2" t="s">
        <v>838</v>
      </c>
      <c r="G2020" s="72">
        <v>3.28862461E8</v>
      </c>
    </row>
    <row r="2021">
      <c r="A2021" s="2">
        <v>3.158685582E9</v>
      </c>
      <c r="B2021" s="72">
        <v>8.2340484E7</v>
      </c>
      <c r="C2021" s="74">
        <v>46227.46045270833</v>
      </c>
      <c r="D2021" s="2" t="s">
        <v>628</v>
      </c>
      <c r="F2021" s="2" t="s">
        <v>785</v>
      </c>
      <c r="G2021" s="72">
        <v>3.27507309E8</v>
      </c>
    </row>
    <row r="2022">
      <c r="A2022" s="2">
        <v>3.234946121E9</v>
      </c>
      <c r="C2022" s="74">
        <v>46234.751391701386</v>
      </c>
      <c r="D2022" s="2" t="s">
        <v>628</v>
      </c>
      <c r="F2022" s="2" t="s">
        <v>656</v>
      </c>
      <c r="G2022" s="72">
        <v>3.32838459E8</v>
      </c>
    </row>
    <row r="2023">
      <c r="A2023" s="2">
        <v>3.237193367E9</v>
      </c>
      <c r="B2023" s="72">
        <v>8.0462225E7</v>
      </c>
      <c r="C2023" s="74">
        <v>46217.46068790509</v>
      </c>
      <c r="D2023" s="2" t="s">
        <v>628</v>
      </c>
      <c r="F2023" s="2" t="s">
        <v>2397</v>
      </c>
      <c r="G2023" s="72">
        <v>3.20645009E8</v>
      </c>
    </row>
    <row r="2024">
      <c r="A2024" s="2">
        <v>3.237193367E9</v>
      </c>
      <c r="B2024" s="72">
        <v>8.0462225E7</v>
      </c>
      <c r="C2024" s="74">
        <v>46217.95959680555</v>
      </c>
      <c r="D2024" s="2" t="s">
        <v>628</v>
      </c>
      <c r="F2024" s="2" t="s">
        <v>2398</v>
      </c>
      <c r="G2024" s="72">
        <v>3.21111379E8</v>
      </c>
    </row>
    <row r="2025">
      <c r="A2025" s="2">
        <v>3.392356701E9</v>
      </c>
      <c r="B2025" s="72">
        <v>9619583.0</v>
      </c>
      <c r="C2025" s="74">
        <v>46208.544393344906</v>
      </c>
      <c r="D2025" s="2" t="s">
        <v>628</v>
      </c>
      <c r="F2025" s="2" t="s">
        <v>630</v>
      </c>
      <c r="G2025" s="72">
        <v>3.14798158E8</v>
      </c>
    </row>
    <row r="2026">
      <c r="A2026" s="2">
        <v>3.392356701E9</v>
      </c>
      <c r="B2026" s="72">
        <v>9619583.0</v>
      </c>
      <c r="C2026" s="74">
        <v>46208.96046126157</v>
      </c>
      <c r="D2026" s="2" t="s">
        <v>628</v>
      </c>
      <c r="F2026" s="2" t="s">
        <v>2399</v>
      </c>
      <c r="G2026" s="72">
        <v>3.15165368E8</v>
      </c>
    </row>
    <row r="2027">
      <c r="A2027" s="2">
        <v>3.393680679E9</v>
      </c>
      <c r="B2027" s="72">
        <v>7.8457293E7</v>
      </c>
      <c r="C2027" s="74">
        <v>46204.959926550924</v>
      </c>
      <c r="D2027" s="2" t="s">
        <v>628</v>
      </c>
      <c r="F2027" s="2" t="s">
        <v>1553</v>
      </c>
      <c r="G2027" s="72">
        <v>3.12380653E8</v>
      </c>
    </row>
    <row r="2028">
      <c r="A2028" s="2">
        <v>3.393680679E9</v>
      </c>
      <c r="B2028" s="72">
        <v>7.8457293E7</v>
      </c>
      <c r="C2028" s="74">
        <v>46204.743817395836</v>
      </c>
      <c r="D2028" s="2" t="s">
        <v>628</v>
      </c>
      <c r="F2028" s="2" t="s">
        <v>1552</v>
      </c>
      <c r="G2028" s="72">
        <v>3.12177244E8</v>
      </c>
    </row>
    <row r="2029">
      <c r="A2029" s="2">
        <v>3.528750199E9</v>
      </c>
      <c r="B2029" s="72">
        <v>8.2697182E7</v>
      </c>
      <c r="C2029" s="74">
        <v>46232.96030506944</v>
      </c>
      <c r="D2029" s="2" t="s">
        <v>628</v>
      </c>
      <c r="F2029" s="2" t="s">
        <v>884</v>
      </c>
      <c r="G2029" s="72">
        <v>3.3158532E8</v>
      </c>
    </row>
    <row r="2030">
      <c r="A2030" s="2">
        <v>3.528750199E9</v>
      </c>
      <c r="B2030" s="72">
        <v>8.2697182E7</v>
      </c>
      <c r="C2030" s="74">
        <v>46232.54453665509</v>
      </c>
      <c r="D2030" s="2" t="s">
        <v>628</v>
      </c>
      <c r="F2030" s="2" t="s">
        <v>630</v>
      </c>
      <c r="G2030" s="72">
        <v>3.31174696E8</v>
      </c>
    </row>
    <row r="2031">
      <c r="A2031" s="2">
        <v>3.528750199E9</v>
      </c>
      <c r="B2031" s="72">
        <v>8.2697182E7</v>
      </c>
      <c r="C2031" s="74">
        <v>46230.75316378472</v>
      </c>
      <c r="D2031" s="2" t="s">
        <v>628</v>
      </c>
      <c r="F2031" s="2" t="s">
        <v>883</v>
      </c>
      <c r="G2031" s="72">
        <v>3.30065588E8</v>
      </c>
    </row>
    <row r="2032">
      <c r="A2032" s="2">
        <v>3.615379738E9</v>
      </c>
      <c r="C2032" s="74">
        <v>46219.75479854167</v>
      </c>
      <c r="D2032" s="2" t="s">
        <v>628</v>
      </c>
      <c r="F2032" s="2" t="s">
        <v>2400</v>
      </c>
      <c r="G2032" s="72">
        <v>3.22264957E8</v>
      </c>
    </row>
    <row r="2033">
      <c r="A2033" s="2">
        <v>3.615379738E9</v>
      </c>
      <c r="C2033" s="74">
        <v>46219.75422570602</v>
      </c>
      <c r="D2033" s="2" t="s">
        <v>628</v>
      </c>
      <c r="F2033" s="2" t="s">
        <v>2400</v>
      </c>
      <c r="G2033" s="72">
        <v>3.2225869E8</v>
      </c>
    </row>
    <row r="2034">
      <c r="A2034" s="2">
        <v>3.615379738E9</v>
      </c>
      <c r="B2034" s="72">
        <v>8.1109568E7</v>
      </c>
      <c r="C2034" s="74">
        <v>46220.962670891204</v>
      </c>
      <c r="D2034" s="2" t="s">
        <v>628</v>
      </c>
      <c r="F2034" s="2" t="s">
        <v>2401</v>
      </c>
      <c r="G2034" s="72">
        <v>3.23251401E8</v>
      </c>
    </row>
    <row r="2035">
      <c r="A2035" s="2">
        <v>3.615379738E9</v>
      </c>
      <c r="C2035" s="74">
        <v>46219.75310332176</v>
      </c>
      <c r="D2035" s="2" t="s">
        <v>628</v>
      </c>
      <c r="F2035" s="2" t="s">
        <v>2400</v>
      </c>
      <c r="G2035" s="72">
        <v>3.22247557E8</v>
      </c>
    </row>
    <row r="2036">
      <c r="A2036" s="2">
        <v>3.866907455E9</v>
      </c>
      <c r="B2036" s="72">
        <v>8.062543E7</v>
      </c>
      <c r="C2036" s="74">
        <v>46218.95855092593</v>
      </c>
      <c r="D2036" s="2" t="s">
        <v>628</v>
      </c>
      <c r="F2036" s="2" t="s">
        <v>650</v>
      </c>
      <c r="G2036" s="72">
        <v>3.21765221E8</v>
      </c>
    </row>
    <row r="2037">
      <c r="A2037" s="2">
        <v>3.866907455E9</v>
      </c>
      <c r="B2037" s="72">
        <v>8.062543E7</v>
      </c>
      <c r="C2037" s="74">
        <v>46218.54224784722</v>
      </c>
      <c r="D2037" s="2" t="s">
        <v>628</v>
      </c>
      <c r="F2037" s="2" t="s">
        <v>630</v>
      </c>
      <c r="G2037" s="72">
        <v>3.2134634E8</v>
      </c>
    </row>
    <row r="2038">
      <c r="A2038" s="2" t="s">
        <v>2402</v>
      </c>
      <c r="B2038" s="72">
        <v>1.0163934E7</v>
      </c>
      <c r="C2038" s="74">
        <v>46217.95963619213</v>
      </c>
      <c r="D2038" s="2" t="s">
        <v>628</v>
      </c>
      <c r="F2038" s="2" t="s">
        <v>2403</v>
      </c>
      <c r="G2038" s="72">
        <v>3.21111488E8</v>
      </c>
    </row>
    <row r="2039">
      <c r="A2039" s="2" t="s">
        <v>2402</v>
      </c>
      <c r="C2039" s="74">
        <v>46215.751373391206</v>
      </c>
      <c r="D2039" s="2" t="s">
        <v>628</v>
      </c>
      <c r="F2039" s="2" t="s">
        <v>2404</v>
      </c>
      <c r="G2039" s="72">
        <v>3.19669667E8</v>
      </c>
    </row>
    <row r="2040">
      <c r="A2040" s="2" t="s">
        <v>2402</v>
      </c>
      <c r="B2040" s="72">
        <v>1.0163934E7</v>
      </c>
      <c r="C2040" s="74">
        <v>46217.54304667824</v>
      </c>
      <c r="D2040" s="2" t="s">
        <v>628</v>
      </c>
      <c r="F2040" s="2" t="s">
        <v>630</v>
      </c>
      <c r="G2040" s="72">
        <v>3.2072053E8</v>
      </c>
    </row>
    <row r="2041">
      <c r="A2041" s="2">
        <v>4.012585771E9</v>
      </c>
      <c r="C2041" s="74">
        <v>46224.753636574074</v>
      </c>
      <c r="D2041" s="2" t="s">
        <v>628</v>
      </c>
      <c r="F2041" s="2" t="s">
        <v>2405</v>
      </c>
      <c r="G2041" s="72">
        <v>3.258035E8</v>
      </c>
    </row>
    <row r="2042">
      <c r="A2042" s="2">
        <v>4.012585771E9</v>
      </c>
      <c r="B2042" s="72">
        <v>8.1956654E7</v>
      </c>
      <c r="C2042" s="74">
        <v>46226.96181820602</v>
      </c>
      <c r="D2042" s="2" t="s">
        <v>628</v>
      </c>
      <c r="F2042" s="2" t="s">
        <v>2406</v>
      </c>
      <c r="G2042" s="72">
        <v>3.27343468E8</v>
      </c>
    </row>
    <row r="2043">
      <c r="A2043" s="2">
        <v>4.012585771E9</v>
      </c>
      <c r="C2043" s="74">
        <v>46224.75323987268</v>
      </c>
      <c r="D2043" s="2" t="s">
        <v>628</v>
      </c>
      <c r="F2043" s="2" t="s">
        <v>2405</v>
      </c>
      <c r="G2043" s="72">
        <v>3.25801587E8</v>
      </c>
    </row>
    <row r="2044">
      <c r="A2044" s="2">
        <v>4.012585771E9</v>
      </c>
      <c r="B2044" s="72">
        <v>8.1956654E7</v>
      </c>
      <c r="C2044" s="74">
        <v>46226.54537927083</v>
      </c>
      <c r="D2044" s="2" t="s">
        <v>628</v>
      </c>
      <c r="F2044" s="2" t="s">
        <v>630</v>
      </c>
      <c r="G2044" s="72">
        <v>3.2691024E8</v>
      </c>
    </row>
    <row r="2045">
      <c r="A2045" s="2">
        <v>4.012863223E9</v>
      </c>
      <c r="B2045" s="72">
        <v>8.0850498E7</v>
      </c>
      <c r="C2045" s="74">
        <v>46219.75459678241</v>
      </c>
      <c r="D2045" s="2" t="s">
        <v>628</v>
      </c>
      <c r="F2045" s="2" t="s">
        <v>1430</v>
      </c>
      <c r="G2045" s="72">
        <v>3.22263138E8</v>
      </c>
    </row>
    <row r="2046">
      <c r="A2046" s="2">
        <v>4.012863223E9</v>
      </c>
      <c r="B2046" s="72">
        <v>8.0850498E7</v>
      </c>
      <c r="C2046" s="74">
        <v>46221.54559804398</v>
      </c>
      <c r="D2046" s="2" t="s">
        <v>628</v>
      </c>
      <c r="F2046" s="2" t="s">
        <v>630</v>
      </c>
      <c r="G2046" s="72">
        <v>3.23565569E8</v>
      </c>
    </row>
    <row r="2047">
      <c r="A2047" s="2">
        <v>4.012863223E9</v>
      </c>
      <c r="B2047" s="72">
        <v>8.0850498E7</v>
      </c>
      <c r="C2047" s="74">
        <v>46221.961488217596</v>
      </c>
      <c r="D2047" s="2" t="s">
        <v>628</v>
      </c>
      <c r="F2047" s="2" t="s">
        <v>2407</v>
      </c>
      <c r="G2047" s="72">
        <v>3.2400081E8</v>
      </c>
    </row>
    <row r="2048">
      <c r="A2048" s="2">
        <v>4.013239988E9</v>
      </c>
      <c r="B2048" s="72">
        <v>8.0474545E7</v>
      </c>
      <c r="C2048" s="74">
        <v>46217.95997607639</v>
      </c>
      <c r="D2048" s="2" t="s">
        <v>628</v>
      </c>
      <c r="F2048" s="2" t="s">
        <v>717</v>
      </c>
      <c r="G2048" s="72">
        <v>3.2111262E8</v>
      </c>
    </row>
    <row r="2049">
      <c r="A2049" s="2">
        <v>4.013239988E9</v>
      </c>
      <c r="B2049" s="72">
        <v>8.0474545E7</v>
      </c>
      <c r="C2049" s="74">
        <v>46217.54340079861</v>
      </c>
      <c r="D2049" s="2" t="s">
        <v>628</v>
      </c>
      <c r="F2049" s="2" t="s">
        <v>630</v>
      </c>
      <c r="G2049" s="72">
        <v>3.20725258E8</v>
      </c>
    </row>
    <row r="2050">
      <c r="A2050" s="2">
        <v>4.013653471E9</v>
      </c>
      <c r="B2050" s="72">
        <v>8.0328874E7</v>
      </c>
      <c r="C2050" s="74">
        <v>46216.54547228009</v>
      </c>
      <c r="D2050" s="2" t="s">
        <v>628</v>
      </c>
      <c r="F2050" s="2" t="s">
        <v>630</v>
      </c>
      <c r="G2050" s="72">
        <v>3.20125372E8</v>
      </c>
    </row>
    <row r="2051">
      <c r="A2051" s="2">
        <v>4.013653471E9</v>
      </c>
      <c r="B2051" s="72">
        <v>8.0328874E7</v>
      </c>
      <c r="C2051" s="74">
        <v>46216.96173905092</v>
      </c>
      <c r="D2051" s="2" t="s">
        <v>628</v>
      </c>
      <c r="F2051" s="2" t="s">
        <v>2408</v>
      </c>
      <c r="G2051" s="72">
        <v>3.20488139E8</v>
      </c>
    </row>
    <row r="2052">
      <c r="A2052" s="2">
        <v>4.014398448E9</v>
      </c>
      <c r="B2052" s="72">
        <v>8.276103E7</v>
      </c>
      <c r="C2052" s="74">
        <v>46230.96185600694</v>
      </c>
      <c r="D2052" s="2" t="s">
        <v>628</v>
      </c>
      <c r="F2052" s="2" t="s">
        <v>2409</v>
      </c>
      <c r="G2052" s="72">
        <v>3.30273528E8</v>
      </c>
    </row>
    <row r="2053">
      <c r="A2053" s="2">
        <v>4.014398448E9</v>
      </c>
      <c r="C2053" s="74">
        <v>46229.753619062496</v>
      </c>
      <c r="D2053" s="2" t="s">
        <v>628</v>
      </c>
      <c r="F2053" s="2" t="s">
        <v>2410</v>
      </c>
      <c r="G2053" s="72">
        <v>3.29433253E8</v>
      </c>
    </row>
    <row r="2054">
      <c r="A2054" s="2">
        <v>4.014779513E9</v>
      </c>
      <c r="B2054" s="72">
        <v>8.2080762E7</v>
      </c>
      <c r="C2054" s="74">
        <v>46226.959998819446</v>
      </c>
      <c r="D2054" s="2" t="s">
        <v>628</v>
      </c>
      <c r="F2054" s="2" t="s">
        <v>1526</v>
      </c>
      <c r="G2054" s="72">
        <v>3.27336248E8</v>
      </c>
    </row>
    <row r="2055">
      <c r="A2055" s="2">
        <v>4.014874371E9</v>
      </c>
      <c r="B2055" s="72">
        <v>8.2806788E7</v>
      </c>
      <c r="C2055" s="74">
        <v>46232.961665173614</v>
      </c>
      <c r="D2055" s="2" t="s">
        <v>628</v>
      </c>
      <c r="F2055" s="2" t="s">
        <v>2411</v>
      </c>
      <c r="G2055" s="72">
        <v>3.31589558E8</v>
      </c>
    </row>
    <row r="2056">
      <c r="A2056" s="2">
        <v>4.014874371E9</v>
      </c>
      <c r="B2056" s="72">
        <v>8.2806788E7</v>
      </c>
      <c r="C2056" s="74">
        <v>46231.485866840274</v>
      </c>
      <c r="D2056" s="2" t="s">
        <v>628</v>
      </c>
      <c r="F2056" s="2" t="s">
        <v>2412</v>
      </c>
      <c r="G2056" s="72">
        <v>3.30455154E8</v>
      </c>
    </row>
    <row r="2057">
      <c r="A2057" s="2">
        <v>4.014874371E9</v>
      </c>
      <c r="B2057" s="72">
        <v>8.2806788E7</v>
      </c>
      <c r="C2057" s="74">
        <v>46232.54576835648</v>
      </c>
      <c r="D2057" s="2" t="s">
        <v>628</v>
      </c>
      <c r="F2057" s="2" t="s">
        <v>630</v>
      </c>
      <c r="G2057" s="72">
        <v>3.31195954E8</v>
      </c>
    </row>
    <row r="2058">
      <c r="A2058" s="2">
        <v>4.014971101E9</v>
      </c>
      <c r="B2058" s="72">
        <v>8.2604889E7</v>
      </c>
      <c r="C2058" s="74">
        <v>46229.960932546295</v>
      </c>
      <c r="D2058" s="2" t="s">
        <v>628</v>
      </c>
      <c r="F2058" s="2" t="s">
        <v>2413</v>
      </c>
      <c r="G2058" s="72">
        <v>3.29612889E8</v>
      </c>
    </row>
    <row r="2059">
      <c r="A2059" s="2">
        <v>4.014971525E9</v>
      </c>
      <c r="B2059" s="72">
        <v>7.9384363E7</v>
      </c>
      <c r="C2059" s="74">
        <v>46211.961299560186</v>
      </c>
      <c r="D2059" s="2" t="s">
        <v>628</v>
      </c>
      <c r="F2059" s="2" t="s">
        <v>2414</v>
      </c>
      <c r="G2059" s="72">
        <v>3.16989231E8</v>
      </c>
    </row>
    <row r="2060">
      <c r="A2060" s="2">
        <v>4.014971525E9</v>
      </c>
      <c r="B2060" s="72">
        <v>7.9384363E7</v>
      </c>
      <c r="C2060" s="74">
        <v>46210.72722003472</v>
      </c>
      <c r="D2060" s="2" t="s">
        <v>628</v>
      </c>
      <c r="F2060" s="2" t="s">
        <v>2415</v>
      </c>
      <c r="G2060" s="72">
        <v>3.16172323E8</v>
      </c>
    </row>
    <row r="2061">
      <c r="A2061" s="2">
        <v>4.014971525E9</v>
      </c>
      <c r="B2061" s="72">
        <v>7.9384363E7</v>
      </c>
      <c r="C2061" s="74">
        <v>46211.54499155092</v>
      </c>
      <c r="D2061" s="2" t="s">
        <v>628</v>
      </c>
      <c r="F2061" s="2" t="s">
        <v>630</v>
      </c>
      <c r="G2061" s="72">
        <v>3.16621176E8</v>
      </c>
    </row>
    <row r="2062">
      <c r="A2062" s="2">
        <v>4.015000241E9</v>
      </c>
      <c r="B2062" s="72">
        <v>8.1345988E7</v>
      </c>
      <c r="C2062" s="74">
        <v>46222.544885497686</v>
      </c>
      <c r="D2062" s="2" t="s">
        <v>628</v>
      </c>
      <c r="F2062" s="2" t="s">
        <v>630</v>
      </c>
      <c r="G2062" s="72">
        <v>3.24345234E8</v>
      </c>
    </row>
    <row r="2063">
      <c r="A2063" s="2">
        <v>4.015000241E9</v>
      </c>
      <c r="B2063" s="72">
        <v>8.1345988E7</v>
      </c>
      <c r="C2063" s="74">
        <v>46222.96131637732</v>
      </c>
      <c r="D2063" s="2" t="s">
        <v>628</v>
      </c>
      <c r="F2063" s="2" t="s">
        <v>902</v>
      </c>
      <c r="G2063" s="72">
        <v>3.24727746E8</v>
      </c>
    </row>
    <row r="2064">
      <c r="A2064" s="2">
        <v>4.015453421E9</v>
      </c>
      <c r="B2064" s="72">
        <v>7.949935E7</v>
      </c>
      <c r="C2064" s="74">
        <v>46211.544737372686</v>
      </c>
      <c r="D2064" s="2" t="s">
        <v>628</v>
      </c>
      <c r="F2064" s="2" t="s">
        <v>630</v>
      </c>
      <c r="G2064" s="72">
        <v>3.1661745E8</v>
      </c>
    </row>
    <row r="2065">
      <c r="A2065" s="2">
        <v>4.015453421E9</v>
      </c>
      <c r="B2065" s="72">
        <v>7.949935E7</v>
      </c>
      <c r="C2065" s="74">
        <v>46211.9613183912</v>
      </c>
      <c r="D2065" s="2" t="s">
        <v>628</v>
      </c>
      <c r="F2065" s="2" t="s">
        <v>2416</v>
      </c>
      <c r="G2065" s="72">
        <v>3.16989292E8</v>
      </c>
    </row>
    <row r="2066">
      <c r="A2066" s="2">
        <v>4.015453421E9</v>
      </c>
      <c r="C2066" s="74">
        <v>46209.753704560186</v>
      </c>
      <c r="D2066" s="2" t="s">
        <v>628</v>
      </c>
      <c r="F2066" s="2" t="s">
        <v>2417</v>
      </c>
      <c r="G2066" s="72">
        <v>3.15594759E8</v>
      </c>
    </row>
    <row r="2067">
      <c r="A2067" s="2">
        <v>4.01626167E9</v>
      </c>
      <c r="B2067" s="72">
        <v>8.2343205E7</v>
      </c>
      <c r="C2067" s="74">
        <v>46229.96196393519</v>
      </c>
      <c r="D2067" s="2" t="s">
        <v>628</v>
      </c>
      <c r="F2067" s="2" t="s">
        <v>2418</v>
      </c>
      <c r="G2067" s="72">
        <v>3.29616342E8</v>
      </c>
    </row>
    <row r="2068">
      <c r="A2068" s="2">
        <v>4.01626167E9</v>
      </c>
      <c r="C2068" s="74">
        <v>46226.754953090276</v>
      </c>
      <c r="D2068" s="2" t="s">
        <v>628</v>
      </c>
      <c r="F2068" s="2" t="s">
        <v>2419</v>
      </c>
      <c r="G2068" s="72">
        <v>3.27125812E8</v>
      </c>
    </row>
    <row r="2069">
      <c r="A2069" s="2">
        <v>4.01626167E9</v>
      </c>
      <c r="B2069" s="72">
        <v>8.2343205E7</v>
      </c>
      <c r="C2069" s="74">
        <v>46228.54503807871</v>
      </c>
      <c r="D2069" s="2" t="s">
        <v>628</v>
      </c>
      <c r="F2069" s="2" t="s">
        <v>630</v>
      </c>
      <c r="G2069" s="72">
        <v>3.28435901E8</v>
      </c>
    </row>
    <row r="2070">
      <c r="A2070" s="2">
        <v>4.016266632E9</v>
      </c>
      <c r="B2070" s="72">
        <v>8.0826474E7</v>
      </c>
      <c r="C2070" s="74">
        <v>46219.700616875</v>
      </c>
      <c r="D2070" s="2" t="s">
        <v>628</v>
      </c>
      <c r="F2070" s="2" t="s">
        <v>2420</v>
      </c>
      <c r="G2070" s="72">
        <v>3.22200267E8</v>
      </c>
    </row>
    <row r="2071">
      <c r="A2071" s="2">
        <v>4.016266632E9</v>
      </c>
      <c r="B2071" s="72">
        <v>8.0826474E7</v>
      </c>
      <c r="C2071" s="74">
        <v>46219.96012488426</v>
      </c>
      <c r="D2071" s="2" t="s">
        <v>628</v>
      </c>
      <c r="F2071" s="2" t="s">
        <v>2421</v>
      </c>
      <c r="G2071" s="72">
        <v>3.22475234E8</v>
      </c>
    </row>
    <row r="2072">
      <c r="A2072" s="2">
        <v>4.016368141E9</v>
      </c>
      <c r="B2072" s="72">
        <v>8960215.0</v>
      </c>
      <c r="C2072" s="74">
        <v>46217.95943672454</v>
      </c>
      <c r="D2072" s="2" t="s">
        <v>628</v>
      </c>
      <c r="F2072" s="2" t="s">
        <v>2422</v>
      </c>
      <c r="G2072" s="72">
        <v>3.21110923E8</v>
      </c>
    </row>
    <row r="2073">
      <c r="A2073" s="2">
        <v>4.016630773E9</v>
      </c>
      <c r="B2073" s="72">
        <v>8.0738884E7</v>
      </c>
      <c r="C2073" s="74">
        <v>46218.95972136574</v>
      </c>
      <c r="D2073" s="2" t="s">
        <v>628</v>
      </c>
      <c r="F2073" s="2" t="s">
        <v>680</v>
      </c>
      <c r="G2073" s="72">
        <v>3.2176734E8</v>
      </c>
    </row>
    <row r="2074">
      <c r="A2074" s="2">
        <v>4.01696599E9</v>
      </c>
      <c r="B2074" s="72">
        <v>8.4601751E7</v>
      </c>
      <c r="C2074" s="74">
        <v>46228.561381377316</v>
      </c>
      <c r="D2074" s="2" t="s">
        <v>653</v>
      </c>
      <c r="F2074" s="2" t="s">
        <v>2423</v>
      </c>
      <c r="G2074" s="72">
        <v>3.28452138E8</v>
      </c>
    </row>
    <row r="2075">
      <c r="A2075" s="2">
        <v>4.01696599E9</v>
      </c>
      <c r="B2075" s="72">
        <v>8.4601751E7</v>
      </c>
      <c r="C2075" s="74">
        <v>46229.65377425926</v>
      </c>
      <c r="D2075" s="2" t="s">
        <v>653</v>
      </c>
      <c r="F2075" s="2" t="s">
        <v>2424</v>
      </c>
      <c r="G2075" s="72">
        <v>3.29348761E8</v>
      </c>
    </row>
    <row r="2076">
      <c r="A2076" s="2">
        <v>4.018087613E9</v>
      </c>
      <c r="B2076" s="72">
        <v>8.1331763E7</v>
      </c>
      <c r="C2076" s="74">
        <v>46227.545369513886</v>
      </c>
      <c r="D2076" s="2" t="s">
        <v>628</v>
      </c>
      <c r="F2076" s="2" t="s">
        <v>630</v>
      </c>
      <c r="G2076" s="72">
        <v>3.27646989E8</v>
      </c>
    </row>
    <row r="2077">
      <c r="A2077" s="2">
        <v>4.018087613E9</v>
      </c>
      <c r="B2077" s="72">
        <v>8.1331763E7</v>
      </c>
      <c r="C2077" s="74">
        <v>46227.96146859953</v>
      </c>
      <c r="D2077" s="2" t="s">
        <v>628</v>
      </c>
      <c r="F2077" s="2" t="s">
        <v>2425</v>
      </c>
      <c r="G2077" s="72">
        <v>3.28121341E8</v>
      </c>
    </row>
    <row r="2078">
      <c r="A2078" s="2">
        <v>4.018282256E9</v>
      </c>
      <c r="B2078" s="72">
        <v>8.1343396E7</v>
      </c>
      <c r="C2078" s="74">
        <v>46220.87857152778</v>
      </c>
      <c r="D2078" s="2" t="s">
        <v>705</v>
      </c>
      <c r="F2078" s="2" t="s">
        <v>2426</v>
      </c>
      <c r="G2078" s="72">
        <v>3.23162447E8</v>
      </c>
    </row>
    <row r="2079">
      <c r="A2079" s="2">
        <v>4.018282256E9</v>
      </c>
      <c r="B2079" s="72">
        <v>8.1343396E7</v>
      </c>
      <c r="C2079" s="74">
        <v>46225.95983359954</v>
      </c>
      <c r="D2079" s="2" t="s">
        <v>628</v>
      </c>
      <c r="F2079" s="2" t="s">
        <v>2378</v>
      </c>
      <c r="G2079" s="72">
        <v>3.26628786E8</v>
      </c>
    </row>
    <row r="2080">
      <c r="A2080" s="2">
        <v>4.018282256E9</v>
      </c>
      <c r="B2080" s="72">
        <v>8.1343396E7</v>
      </c>
      <c r="C2080" s="74">
        <v>46222.543763657406</v>
      </c>
      <c r="D2080" s="2" t="s">
        <v>628</v>
      </c>
      <c r="F2080" s="2" t="s">
        <v>630</v>
      </c>
      <c r="G2080" s="72">
        <v>3.24327073E8</v>
      </c>
    </row>
    <row r="2081">
      <c r="A2081" s="2">
        <v>4.018282256E9</v>
      </c>
      <c r="B2081" s="72">
        <v>8.1343396E7</v>
      </c>
      <c r="C2081" s="74">
        <v>46220.83110899305</v>
      </c>
      <c r="D2081" s="2" t="s">
        <v>705</v>
      </c>
      <c r="F2081" s="2" t="s">
        <v>2427</v>
      </c>
      <c r="G2081" s="72">
        <v>3.2309693E8</v>
      </c>
    </row>
    <row r="2082">
      <c r="A2082" s="2">
        <v>4.018282256E9</v>
      </c>
      <c r="B2082" s="72">
        <v>8.1343396E7</v>
      </c>
      <c r="C2082" s="74">
        <v>46226.05679346065</v>
      </c>
      <c r="D2082" s="2" t="s">
        <v>705</v>
      </c>
      <c r="F2082" s="2" t="s">
        <v>2428</v>
      </c>
      <c r="G2082" s="72">
        <v>3.26704272E8</v>
      </c>
    </row>
    <row r="2083">
      <c r="A2083" s="2">
        <v>4.018282256E9</v>
      </c>
      <c r="B2083" s="72">
        <v>8.1343396E7</v>
      </c>
      <c r="C2083" s="74">
        <v>46226.05386451389</v>
      </c>
      <c r="D2083" s="2" t="s">
        <v>705</v>
      </c>
      <c r="F2083" s="2" t="s">
        <v>2429</v>
      </c>
      <c r="G2083" s="72">
        <v>3.26702779E8</v>
      </c>
    </row>
    <row r="2084">
      <c r="A2084" s="2">
        <v>4.018282256E9</v>
      </c>
      <c r="B2084" s="72">
        <v>8.1343396E7</v>
      </c>
      <c r="C2084" s="74">
        <v>46220.83137300926</v>
      </c>
      <c r="D2084" s="2" t="s">
        <v>705</v>
      </c>
      <c r="F2084" s="2" t="s">
        <v>2430</v>
      </c>
      <c r="G2084" s="72">
        <v>3.23097137E8</v>
      </c>
    </row>
    <row r="2085">
      <c r="A2085" s="2">
        <v>4.018282256E9</v>
      </c>
      <c r="B2085" s="72">
        <v>8.1343396E7</v>
      </c>
      <c r="C2085" s="74">
        <v>46226.065962141205</v>
      </c>
      <c r="D2085" s="2" t="s">
        <v>705</v>
      </c>
      <c r="F2085" s="2" t="s">
        <v>2431</v>
      </c>
      <c r="G2085" s="72">
        <v>3.26708077E8</v>
      </c>
    </row>
    <row r="2086">
      <c r="A2086" s="2">
        <v>4.018282256E9</v>
      </c>
      <c r="B2086" s="72">
        <v>8.1343396E7</v>
      </c>
      <c r="C2086" s="74">
        <v>46226.05291013889</v>
      </c>
      <c r="D2086" s="2" t="s">
        <v>705</v>
      </c>
      <c r="F2086" s="2" t="s">
        <v>2432</v>
      </c>
      <c r="G2086" s="72">
        <v>3.26702378E8</v>
      </c>
    </row>
    <row r="2087">
      <c r="A2087" s="2">
        <v>4.018282256E9</v>
      </c>
      <c r="B2087" s="72">
        <v>8.1343396E7</v>
      </c>
      <c r="C2087" s="74">
        <v>46222.68023009259</v>
      </c>
      <c r="D2087" s="2" t="s">
        <v>705</v>
      </c>
      <c r="F2087" s="2" t="s">
        <v>2433</v>
      </c>
      <c r="G2087" s="72">
        <v>3.24495487E8</v>
      </c>
    </row>
    <row r="2088">
      <c r="A2088" s="2">
        <v>4.018282256E9</v>
      </c>
      <c r="B2088" s="72">
        <v>8.1343396E7</v>
      </c>
      <c r="C2088" s="74">
        <v>46226.05706766204</v>
      </c>
      <c r="D2088" s="2" t="s">
        <v>705</v>
      </c>
      <c r="F2088" s="2" t="s">
        <v>2434</v>
      </c>
      <c r="G2088" s="72">
        <v>3.26704385E8</v>
      </c>
    </row>
    <row r="2089">
      <c r="A2089" s="2">
        <v>4.018282256E9</v>
      </c>
      <c r="B2089" s="72">
        <v>8.1343396E7</v>
      </c>
      <c r="C2089" s="74">
        <v>46220.84388114583</v>
      </c>
      <c r="D2089" s="2" t="s">
        <v>667</v>
      </c>
      <c r="E2089" s="2" t="s">
        <v>703</v>
      </c>
      <c r="F2089" s="2" t="s">
        <v>2435</v>
      </c>
      <c r="G2089" s="72">
        <v>3.23119426E8</v>
      </c>
    </row>
    <row r="2090">
      <c r="A2090" s="2">
        <v>4.018670022E9</v>
      </c>
      <c r="B2090" s="72">
        <v>8.2382477E7</v>
      </c>
      <c r="C2090" s="74">
        <v>46229.95891483796</v>
      </c>
      <c r="D2090" s="2" t="s">
        <v>628</v>
      </c>
      <c r="F2090" s="2" t="s">
        <v>674</v>
      </c>
      <c r="G2090" s="72">
        <v>3.29607284E8</v>
      </c>
    </row>
    <row r="2091">
      <c r="A2091" s="2">
        <v>4.018670022E9</v>
      </c>
      <c r="B2091" s="72">
        <v>8.2382477E7</v>
      </c>
      <c r="C2091" s="74">
        <v>46228.75158310185</v>
      </c>
      <c r="D2091" s="2" t="s">
        <v>628</v>
      </c>
      <c r="F2091" s="2" t="s">
        <v>675</v>
      </c>
      <c r="G2091" s="72">
        <v>3.28639171E8</v>
      </c>
    </row>
    <row r="2092">
      <c r="A2092" s="2">
        <v>4.019194193E9</v>
      </c>
      <c r="B2092" s="72">
        <v>8.1011655E7</v>
      </c>
      <c r="C2092" s="74">
        <v>46220.67425809028</v>
      </c>
      <c r="D2092" s="2" t="s">
        <v>628</v>
      </c>
      <c r="F2092" s="2" t="s">
        <v>2436</v>
      </c>
      <c r="G2092" s="72">
        <v>3.22937308E8</v>
      </c>
    </row>
    <row r="2093">
      <c r="A2093" s="2">
        <v>4.019194193E9</v>
      </c>
      <c r="B2093" s="72">
        <v>8.1011655E7</v>
      </c>
      <c r="C2093" s="74">
        <v>46220.96047615741</v>
      </c>
      <c r="D2093" s="2" t="s">
        <v>628</v>
      </c>
      <c r="F2093" s="2" t="s">
        <v>2437</v>
      </c>
      <c r="G2093" s="72">
        <v>3.23244974E8</v>
      </c>
    </row>
    <row r="2094">
      <c r="A2094" s="2">
        <v>4.022828689E9</v>
      </c>
      <c r="B2094" s="72">
        <v>7.8526024E7</v>
      </c>
      <c r="C2094" s="74">
        <v>46204.9595912963</v>
      </c>
      <c r="D2094" s="2" t="s">
        <v>628</v>
      </c>
      <c r="F2094" s="2" t="s">
        <v>2438</v>
      </c>
      <c r="G2094" s="72">
        <v>3.12379552E8</v>
      </c>
    </row>
    <row r="2095">
      <c r="A2095" s="2">
        <v>4.033138613E9</v>
      </c>
      <c r="B2095" s="72">
        <v>8.2450304E7</v>
      </c>
      <c r="C2095" s="74">
        <v>46228.96049359954</v>
      </c>
      <c r="D2095" s="2" t="s">
        <v>628</v>
      </c>
      <c r="F2095" s="2" t="s">
        <v>2408</v>
      </c>
      <c r="G2095" s="72">
        <v>3.28864157E8</v>
      </c>
    </row>
    <row r="2096">
      <c r="A2096" s="2">
        <v>4.072598624E9</v>
      </c>
      <c r="B2096" s="72">
        <v>8.2141673E7</v>
      </c>
      <c r="C2096" s="74">
        <v>46228.96002372685</v>
      </c>
      <c r="D2096" s="2" t="s">
        <v>628</v>
      </c>
      <c r="F2096" s="2" t="s">
        <v>2439</v>
      </c>
      <c r="G2096" s="72">
        <v>3.2886146E8</v>
      </c>
    </row>
    <row r="2097">
      <c r="A2097" s="2">
        <v>4.072598624E9</v>
      </c>
      <c r="B2097" s="72">
        <v>8.2141673E7</v>
      </c>
      <c r="C2097" s="74">
        <v>46227.54449976852</v>
      </c>
      <c r="D2097" s="2" t="s">
        <v>628</v>
      </c>
      <c r="F2097" s="2" t="s">
        <v>630</v>
      </c>
      <c r="G2097" s="72">
        <v>3.2763454E8</v>
      </c>
    </row>
    <row r="2098">
      <c r="A2098" s="2" t="s">
        <v>2440</v>
      </c>
      <c r="B2098" s="72">
        <v>4185067.0</v>
      </c>
      <c r="C2098" s="74">
        <v>46234.75037984954</v>
      </c>
      <c r="D2098" s="2" t="s">
        <v>628</v>
      </c>
      <c r="F2098" s="2" t="s">
        <v>2441</v>
      </c>
      <c r="G2098" s="72">
        <v>3.32834471E8</v>
      </c>
    </row>
    <row r="2099">
      <c r="A2099" s="2" t="s">
        <v>2442</v>
      </c>
      <c r="B2099" s="72">
        <v>4535240.0</v>
      </c>
      <c r="C2099" s="74">
        <v>46230.75421076389</v>
      </c>
      <c r="D2099" s="2" t="s">
        <v>628</v>
      </c>
      <c r="F2099" s="2" t="s">
        <v>757</v>
      </c>
      <c r="G2099" s="72">
        <v>3.30071554E8</v>
      </c>
    </row>
    <row r="2100">
      <c r="A2100" s="2" t="s">
        <v>2442</v>
      </c>
      <c r="B2100" s="72">
        <v>4535240.0</v>
      </c>
      <c r="C2100" s="74">
        <v>46232.545442939816</v>
      </c>
      <c r="D2100" s="2" t="s">
        <v>628</v>
      </c>
      <c r="F2100" s="2" t="s">
        <v>630</v>
      </c>
      <c r="G2100" s="72">
        <v>3.31189987E8</v>
      </c>
    </row>
    <row r="2101">
      <c r="A2101" s="2" t="s">
        <v>2442</v>
      </c>
      <c r="B2101" s="72">
        <v>4535240.0</v>
      </c>
      <c r="C2101" s="74">
        <v>46232.96206215278</v>
      </c>
      <c r="D2101" s="2" t="s">
        <v>628</v>
      </c>
      <c r="F2101" s="2" t="s">
        <v>759</v>
      </c>
      <c r="G2101" s="72">
        <v>3.31590581E8</v>
      </c>
    </row>
    <row r="2102">
      <c r="A2102" s="2" t="s">
        <v>2443</v>
      </c>
      <c r="B2102" s="72">
        <v>1.1728825E7</v>
      </c>
      <c r="C2102" s="74">
        <v>46215.751089745376</v>
      </c>
      <c r="D2102" s="2" t="s">
        <v>628</v>
      </c>
      <c r="F2102" s="2" t="s">
        <v>1186</v>
      </c>
      <c r="G2102" s="72">
        <v>3.19667957E8</v>
      </c>
    </row>
    <row r="2103">
      <c r="A2103" s="2" t="s">
        <v>2443</v>
      </c>
      <c r="B2103" s="72">
        <v>1.1728825E7</v>
      </c>
      <c r="C2103" s="74">
        <v>46217.543044942126</v>
      </c>
      <c r="D2103" s="2" t="s">
        <v>628</v>
      </c>
      <c r="F2103" s="2" t="s">
        <v>630</v>
      </c>
      <c r="G2103" s="72">
        <v>3.20720506E8</v>
      </c>
    </row>
    <row r="2104">
      <c r="A2104" s="2" t="s">
        <v>2443</v>
      </c>
      <c r="B2104" s="72">
        <v>1.1728825E7</v>
      </c>
      <c r="C2104" s="74">
        <v>46218.95908107639</v>
      </c>
      <c r="D2104" s="2" t="s">
        <v>628</v>
      </c>
      <c r="F2104" s="2" t="s">
        <v>1185</v>
      </c>
      <c r="G2104" s="72">
        <v>3.2176579E8</v>
      </c>
    </row>
    <row r="2105">
      <c r="A2105" s="2">
        <v>4.132090028E9</v>
      </c>
      <c r="B2105" s="72">
        <v>8.2512923E7</v>
      </c>
      <c r="C2105" s="74">
        <v>46229.54614869213</v>
      </c>
      <c r="D2105" s="2" t="s">
        <v>628</v>
      </c>
      <c r="F2105" s="2" t="s">
        <v>630</v>
      </c>
      <c r="G2105" s="72">
        <v>3.2922234E8</v>
      </c>
    </row>
    <row r="2106">
      <c r="A2106" s="2">
        <v>4.132090028E9</v>
      </c>
      <c r="B2106" s="72">
        <v>8.2512923E7</v>
      </c>
      <c r="C2106" s="74">
        <v>46229.96143725695</v>
      </c>
      <c r="D2106" s="2" t="s">
        <v>628</v>
      </c>
      <c r="F2106" s="2" t="s">
        <v>1690</v>
      </c>
      <c r="G2106" s="72">
        <v>3.29614691E8</v>
      </c>
    </row>
    <row r="2107">
      <c r="A2107" s="2">
        <v>4.132090028E9</v>
      </c>
      <c r="C2107" s="74">
        <v>46227.75334159722</v>
      </c>
      <c r="D2107" s="2" t="s">
        <v>628</v>
      </c>
      <c r="F2107" s="2" t="s">
        <v>1691</v>
      </c>
      <c r="G2107" s="72">
        <v>3.27880002E8</v>
      </c>
    </row>
    <row r="2108">
      <c r="A2108" s="2">
        <v>4.132193128E9</v>
      </c>
      <c r="B2108" s="72">
        <v>8.2786494E7</v>
      </c>
      <c r="C2108" s="74">
        <v>46232.54538422453</v>
      </c>
      <c r="D2108" s="2" t="s">
        <v>628</v>
      </c>
      <c r="F2108" s="2" t="s">
        <v>630</v>
      </c>
      <c r="G2108" s="72">
        <v>3.31188976E8</v>
      </c>
    </row>
    <row r="2109">
      <c r="A2109" s="2">
        <v>4.132193128E9</v>
      </c>
      <c r="B2109" s="72">
        <v>8.2786494E7</v>
      </c>
      <c r="C2109" s="74">
        <v>46231.07924224537</v>
      </c>
      <c r="D2109" s="2" t="s">
        <v>628</v>
      </c>
      <c r="F2109" s="2" t="s">
        <v>2444</v>
      </c>
      <c r="G2109" s="72">
        <v>3.30355798E8</v>
      </c>
    </row>
    <row r="2110">
      <c r="A2110" s="2">
        <v>4.132193128E9</v>
      </c>
      <c r="B2110" s="72">
        <v>8.2786494E7</v>
      </c>
      <c r="C2110" s="74">
        <v>46232.96155798611</v>
      </c>
      <c r="D2110" s="2" t="s">
        <v>628</v>
      </c>
      <c r="F2110" s="2" t="s">
        <v>2445</v>
      </c>
      <c r="G2110" s="72">
        <v>3.31589253E8</v>
      </c>
    </row>
    <row r="2111">
      <c r="A2111" s="2">
        <v>4.132193409E9</v>
      </c>
      <c r="B2111" s="72">
        <v>2.6944417E7</v>
      </c>
      <c r="C2111" s="74">
        <v>46207.54382140047</v>
      </c>
      <c r="D2111" s="2" t="s">
        <v>628</v>
      </c>
      <c r="F2111" s="2" t="s">
        <v>630</v>
      </c>
      <c r="G2111" s="72">
        <v>3.14072359E8</v>
      </c>
    </row>
    <row r="2112">
      <c r="A2112" s="2">
        <v>4.132193409E9</v>
      </c>
      <c r="B2112" s="72">
        <v>2.6944417E7</v>
      </c>
      <c r="C2112" s="74">
        <v>46205.75208608796</v>
      </c>
      <c r="D2112" s="2" t="s">
        <v>628</v>
      </c>
      <c r="F2112" s="2" t="s">
        <v>2446</v>
      </c>
      <c r="G2112" s="72">
        <v>3.12824098E8</v>
      </c>
    </row>
    <row r="2113">
      <c r="A2113" s="2">
        <v>4.132193409E9</v>
      </c>
      <c r="B2113" s="72">
        <v>2.6944417E7</v>
      </c>
      <c r="C2113" s="74">
        <v>46209.95956236111</v>
      </c>
      <c r="D2113" s="2" t="s">
        <v>628</v>
      </c>
      <c r="F2113" s="2" t="s">
        <v>2447</v>
      </c>
      <c r="G2113" s="72">
        <v>3.15777554E8</v>
      </c>
    </row>
    <row r="2114">
      <c r="A2114" s="2">
        <v>4.132219857E9</v>
      </c>
      <c r="B2114" s="72">
        <v>7.8524133E7</v>
      </c>
      <c r="C2114" s="74">
        <v>46204.949257581015</v>
      </c>
      <c r="D2114" s="2" t="s">
        <v>628</v>
      </c>
      <c r="F2114" s="2" t="s">
        <v>2448</v>
      </c>
      <c r="G2114" s="72">
        <v>3.12373051E8</v>
      </c>
    </row>
    <row r="2115">
      <c r="A2115" s="2">
        <v>4.132219857E9</v>
      </c>
      <c r="B2115" s="72">
        <v>7.8524133E7</v>
      </c>
      <c r="C2115" s="74">
        <v>46206.96093011574</v>
      </c>
      <c r="D2115" s="2" t="s">
        <v>628</v>
      </c>
      <c r="F2115" s="2" t="s">
        <v>2449</v>
      </c>
      <c r="G2115" s="72">
        <v>3.13802819E8</v>
      </c>
    </row>
    <row r="2116">
      <c r="A2116" s="2">
        <v>4.132219857E9</v>
      </c>
      <c r="B2116" s="72">
        <v>7.8524133E7</v>
      </c>
      <c r="C2116" s="74">
        <v>46206.54495527778</v>
      </c>
      <c r="D2116" s="2" t="s">
        <v>628</v>
      </c>
      <c r="F2116" s="2" t="s">
        <v>630</v>
      </c>
      <c r="G2116" s="72">
        <v>3.13352285E8</v>
      </c>
    </row>
    <row r="2117">
      <c r="A2117" s="2">
        <v>4.132224695E9</v>
      </c>
      <c r="B2117" s="72">
        <v>1.0072327E7</v>
      </c>
      <c r="C2117" s="74">
        <v>46218.95881383102</v>
      </c>
      <c r="D2117" s="2" t="s">
        <v>628</v>
      </c>
      <c r="F2117" s="2" t="s">
        <v>1185</v>
      </c>
      <c r="G2117" s="72">
        <v>3.21765487E8</v>
      </c>
    </row>
    <row r="2118">
      <c r="A2118" s="2">
        <v>4.132305614E9</v>
      </c>
      <c r="B2118" s="72">
        <v>8.0666743E7</v>
      </c>
      <c r="C2118" s="74">
        <v>46218.743043634255</v>
      </c>
      <c r="D2118" s="2" t="s">
        <v>628</v>
      </c>
      <c r="F2118" s="2" t="s">
        <v>2450</v>
      </c>
      <c r="G2118" s="72">
        <v>3.21553055E8</v>
      </c>
    </row>
    <row r="2119">
      <c r="A2119" s="2">
        <v>4.132305614E9</v>
      </c>
      <c r="B2119" s="72">
        <v>8.0666743E7</v>
      </c>
      <c r="C2119" s="74">
        <v>46218.96129222222</v>
      </c>
      <c r="D2119" s="2" t="s">
        <v>628</v>
      </c>
      <c r="F2119" s="2" t="s">
        <v>2451</v>
      </c>
      <c r="G2119" s="72">
        <v>3.21773141E8</v>
      </c>
    </row>
    <row r="2120">
      <c r="A2120" s="2">
        <v>4.132370176E9</v>
      </c>
      <c r="B2120" s="72">
        <v>7.9601951E7</v>
      </c>
      <c r="C2120" s="74">
        <v>46211.96051174769</v>
      </c>
      <c r="D2120" s="2" t="s">
        <v>628</v>
      </c>
      <c r="F2120" s="2" t="s">
        <v>2411</v>
      </c>
      <c r="G2120" s="72">
        <v>3.16986764E8</v>
      </c>
    </row>
    <row r="2121">
      <c r="A2121" s="2">
        <v>4.132379352E9</v>
      </c>
      <c r="B2121" s="72">
        <v>8.1468877E7</v>
      </c>
      <c r="C2121" s="74">
        <v>46224.54372181713</v>
      </c>
      <c r="D2121" s="2" t="s">
        <v>628</v>
      </c>
      <c r="F2121" s="2" t="s">
        <v>630</v>
      </c>
      <c r="G2121" s="72">
        <v>3.25604482E8</v>
      </c>
    </row>
    <row r="2122">
      <c r="A2122" s="2">
        <v>4.132379352E9</v>
      </c>
      <c r="B2122" s="72">
        <v>8.1468877E7</v>
      </c>
      <c r="C2122" s="74">
        <v>46225.95985424769</v>
      </c>
      <c r="D2122" s="2" t="s">
        <v>628</v>
      </c>
      <c r="F2122" s="2" t="s">
        <v>998</v>
      </c>
      <c r="G2122" s="72">
        <v>3.2662882E8</v>
      </c>
    </row>
    <row r="2123">
      <c r="A2123" s="2">
        <v>4.132379352E9</v>
      </c>
      <c r="B2123" s="72">
        <v>8.1468877E7</v>
      </c>
      <c r="C2123" s="74">
        <v>46223.45992193287</v>
      </c>
      <c r="D2123" s="2" t="s">
        <v>628</v>
      </c>
      <c r="F2123" s="2" t="s">
        <v>997</v>
      </c>
      <c r="G2123" s="72">
        <v>3.24864816E8</v>
      </c>
    </row>
    <row r="2124">
      <c r="A2124" s="2">
        <v>4.132447308E9</v>
      </c>
      <c r="B2124" s="72">
        <v>8.1435519E7</v>
      </c>
      <c r="C2124" s="74">
        <v>46222.96065331019</v>
      </c>
      <c r="D2124" s="2" t="s">
        <v>628</v>
      </c>
      <c r="F2124" s="2" t="s">
        <v>1977</v>
      </c>
      <c r="G2124" s="72">
        <v>3.24725884E8</v>
      </c>
    </row>
    <row r="2125">
      <c r="A2125" s="2">
        <v>4.132669835E9</v>
      </c>
      <c r="B2125" s="72">
        <v>4.1081094E7</v>
      </c>
      <c r="C2125" s="74">
        <v>46204.54436792824</v>
      </c>
      <c r="D2125" s="2" t="s">
        <v>628</v>
      </c>
      <c r="F2125" s="2" t="s">
        <v>630</v>
      </c>
      <c r="G2125" s="72">
        <v>3.12013863E8</v>
      </c>
    </row>
    <row r="2126">
      <c r="A2126" s="2">
        <v>4.132669835E9</v>
      </c>
      <c r="B2126" s="72">
        <v>4.1081094E7</v>
      </c>
      <c r="C2126" s="74">
        <v>46205.96115693287</v>
      </c>
      <c r="D2126" s="2" t="s">
        <v>628</v>
      </c>
      <c r="F2126" s="2" t="s">
        <v>1771</v>
      </c>
      <c r="G2126" s="72">
        <v>3.13058356E8</v>
      </c>
    </row>
    <row r="2127">
      <c r="A2127" s="2">
        <v>4.132816745E9</v>
      </c>
      <c r="B2127" s="72">
        <v>1.382401E7</v>
      </c>
      <c r="C2127" s="74">
        <v>46217.544822662036</v>
      </c>
      <c r="D2127" s="2" t="s">
        <v>628</v>
      </c>
      <c r="F2127" s="2" t="s">
        <v>630</v>
      </c>
      <c r="G2127" s="72">
        <v>3.20743494E8</v>
      </c>
    </row>
    <row r="2128">
      <c r="A2128" s="2">
        <v>4.132816745E9</v>
      </c>
      <c r="B2128" s="72">
        <v>1.382401E7</v>
      </c>
      <c r="C2128" s="74">
        <v>46216.461712372686</v>
      </c>
      <c r="D2128" s="2" t="s">
        <v>628</v>
      </c>
      <c r="F2128" s="2" t="s">
        <v>2452</v>
      </c>
      <c r="G2128" s="72">
        <v>3.20020283E8</v>
      </c>
    </row>
    <row r="2129">
      <c r="A2129" s="2">
        <v>4.132816745E9</v>
      </c>
      <c r="B2129" s="72">
        <v>1.382401E7</v>
      </c>
      <c r="C2129" s="74">
        <v>46218.9617162037</v>
      </c>
      <c r="D2129" s="2" t="s">
        <v>628</v>
      </c>
      <c r="F2129" s="2" t="s">
        <v>2453</v>
      </c>
      <c r="G2129" s="72">
        <v>3.21774409E8</v>
      </c>
    </row>
    <row r="2130">
      <c r="A2130" s="2">
        <v>4.132816745E9</v>
      </c>
      <c r="B2130" s="72">
        <v>1.382401E7</v>
      </c>
      <c r="C2130" s="74">
        <v>46217.54699357639</v>
      </c>
      <c r="D2130" s="2" t="s">
        <v>705</v>
      </c>
      <c r="F2130" s="2" t="s">
        <v>2454</v>
      </c>
      <c r="G2130" s="72">
        <v>3.20751785E8</v>
      </c>
    </row>
    <row r="2131">
      <c r="A2131" s="2">
        <v>4.132816745E9</v>
      </c>
      <c r="B2131" s="72">
        <v>1.382401E7</v>
      </c>
      <c r="C2131" s="74">
        <v>46217.54775787037</v>
      </c>
      <c r="D2131" s="2" t="s">
        <v>667</v>
      </c>
      <c r="E2131" s="2" t="s">
        <v>829</v>
      </c>
      <c r="F2131" s="2" t="s">
        <v>2455</v>
      </c>
      <c r="G2131" s="72">
        <v>3.20752277E8</v>
      </c>
    </row>
    <row r="2132">
      <c r="A2132" s="2">
        <v>4.133740551E9</v>
      </c>
      <c r="B2132" s="72">
        <v>3.4766368E7</v>
      </c>
      <c r="C2132" s="74">
        <v>46233.75087638889</v>
      </c>
      <c r="D2132" s="2" t="s">
        <v>628</v>
      </c>
      <c r="F2132" s="2" t="s">
        <v>1535</v>
      </c>
      <c r="G2132" s="72">
        <v>3.32057549E8</v>
      </c>
    </row>
    <row r="2133">
      <c r="A2133" s="2">
        <v>4.133740551E9</v>
      </c>
      <c r="B2133" s="72">
        <v>3.4766368E7</v>
      </c>
      <c r="C2133" s="74">
        <v>46234.9601128125</v>
      </c>
      <c r="D2133" s="2" t="s">
        <v>628</v>
      </c>
      <c r="F2133" s="2" t="s">
        <v>2456</v>
      </c>
      <c r="G2133" s="72">
        <v>3.33098474E8</v>
      </c>
    </row>
    <row r="2134">
      <c r="A2134" s="2">
        <v>4.134267646E9</v>
      </c>
      <c r="B2134" s="72">
        <v>8.3359642E7</v>
      </c>
      <c r="C2134" s="74">
        <v>46234.96071625</v>
      </c>
      <c r="D2134" s="2" t="s">
        <v>628</v>
      </c>
      <c r="F2134" s="2" t="s">
        <v>2378</v>
      </c>
      <c r="G2134" s="72">
        <v>3.33100733E8</v>
      </c>
    </row>
    <row r="2135">
      <c r="A2135" s="2">
        <v>4.134267646E9</v>
      </c>
      <c r="B2135" s="72">
        <v>8.3359642E7</v>
      </c>
      <c r="C2135" s="74">
        <v>46234.709099155094</v>
      </c>
      <c r="D2135" s="2" t="s">
        <v>705</v>
      </c>
      <c r="F2135" s="2" t="s">
        <v>2457</v>
      </c>
      <c r="G2135" s="72">
        <v>3.32800511E8</v>
      </c>
    </row>
    <row r="2136">
      <c r="A2136" s="2">
        <v>4.134267646E9</v>
      </c>
      <c r="B2136" s="72">
        <v>8.3359642E7</v>
      </c>
      <c r="C2136" s="74">
        <v>46234.642504930554</v>
      </c>
      <c r="D2136" s="2" t="s">
        <v>628</v>
      </c>
      <c r="F2136" s="2" t="s">
        <v>2458</v>
      </c>
      <c r="G2136" s="72">
        <v>3.32745025E8</v>
      </c>
    </row>
    <row r="2137">
      <c r="A2137" s="2">
        <v>4.134267646E9</v>
      </c>
      <c r="B2137" s="72">
        <v>8.3359642E7</v>
      </c>
      <c r="C2137" s="74">
        <v>46234.753381319446</v>
      </c>
      <c r="D2137" s="2" t="s">
        <v>667</v>
      </c>
      <c r="E2137" s="2" t="s">
        <v>886</v>
      </c>
      <c r="F2137" s="2" t="s">
        <v>704</v>
      </c>
      <c r="G2137" s="72">
        <v>3.32851633E8</v>
      </c>
    </row>
    <row r="2138">
      <c r="A2138" s="2">
        <v>4.13426776E9</v>
      </c>
      <c r="B2138" s="72">
        <v>8.2192069E7</v>
      </c>
      <c r="C2138" s="74">
        <v>46229.545275</v>
      </c>
      <c r="D2138" s="2" t="s">
        <v>628</v>
      </c>
      <c r="F2138" s="2" t="s">
        <v>630</v>
      </c>
      <c r="G2138" s="72">
        <v>3.29209152E8</v>
      </c>
    </row>
    <row r="2139">
      <c r="A2139" s="2">
        <v>4.13426776E9</v>
      </c>
      <c r="B2139" s="72">
        <v>8.2192069E7</v>
      </c>
      <c r="C2139" s="74">
        <v>46227.75273378472</v>
      </c>
      <c r="D2139" s="2" t="s">
        <v>628</v>
      </c>
      <c r="F2139" s="2" t="s">
        <v>2459</v>
      </c>
      <c r="G2139" s="72">
        <v>3.27873602E8</v>
      </c>
    </row>
    <row r="2140">
      <c r="A2140" s="2">
        <v>4.13426776E9</v>
      </c>
      <c r="B2140" s="72">
        <v>8.2192069E7</v>
      </c>
      <c r="C2140" s="74">
        <v>46229.960618067125</v>
      </c>
      <c r="D2140" s="2" t="s">
        <v>628</v>
      </c>
      <c r="F2140" s="2" t="s">
        <v>2460</v>
      </c>
      <c r="G2140" s="72">
        <v>3.29611877E8</v>
      </c>
    </row>
    <row r="2141">
      <c r="A2141" s="2">
        <v>4.134410356E9</v>
      </c>
      <c r="C2141" s="74">
        <v>46233.75293204861</v>
      </c>
      <c r="D2141" s="2" t="s">
        <v>628</v>
      </c>
      <c r="F2141" s="2" t="s">
        <v>659</v>
      </c>
      <c r="G2141" s="72">
        <v>3.32075398E8</v>
      </c>
    </row>
    <row r="2142">
      <c r="A2142" s="2">
        <v>4.134782484E9</v>
      </c>
      <c r="B2142" s="72">
        <v>4158600.0</v>
      </c>
      <c r="C2142" s="74">
        <v>46214.9598346412</v>
      </c>
      <c r="D2142" s="2" t="s">
        <v>628</v>
      </c>
      <c r="F2142" s="2" t="s">
        <v>2461</v>
      </c>
      <c r="G2142" s="72">
        <v>3.1913167E8</v>
      </c>
    </row>
    <row r="2143">
      <c r="A2143" s="2">
        <v>4.134782484E9</v>
      </c>
      <c r="B2143" s="72">
        <v>4158600.0</v>
      </c>
      <c r="C2143" s="74">
        <v>46212.5439141088</v>
      </c>
      <c r="D2143" s="2" t="s">
        <v>628</v>
      </c>
      <c r="F2143" s="2" t="s">
        <v>630</v>
      </c>
      <c r="G2143" s="72">
        <v>3.17238192E8</v>
      </c>
    </row>
    <row r="2144">
      <c r="A2144" s="2">
        <v>4.134901688E9</v>
      </c>
      <c r="B2144" s="72">
        <v>7.9447167E7</v>
      </c>
      <c r="C2144" s="74">
        <v>46210.96019643519</v>
      </c>
      <c r="D2144" s="2" t="s">
        <v>628</v>
      </c>
      <c r="F2144" s="2" t="s">
        <v>2462</v>
      </c>
      <c r="G2144" s="72">
        <v>3.16368997E8</v>
      </c>
    </row>
    <row r="2145">
      <c r="A2145" s="2">
        <v>4.134901688E9</v>
      </c>
      <c r="C2145" s="74">
        <v>46209.753120023146</v>
      </c>
      <c r="D2145" s="2" t="s">
        <v>628</v>
      </c>
      <c r="F2145" s="2" t="s">
        <v>740</v>
      </c>
      <c r="G2145" s="72">
        <v>3.15590586E8</v>
      </c>
    </row>
    <row r="2146">
      <c r="A2146" s="2">
        <v>4.135152017E9</v>
      </c>
      <c r="B2146" s="72">
        <v>8.354137E7</v>
      </c>
      <c r="C2146" s="74">
        <v>46221.408480150465</v>
      </c>
      <c r="D2146" s="2" t="s">
        <v>705</v>
      </c>
      <c r="F2146" s="2" t="s">
        <v>2463</v>
      </c>
      <c r="G2146" s="72">
        <v>3.23399519E8</v>
      </c>
    </row>
    <row r="2147">
      <c r="A2147" s="2">
        <v>4.135152017E9</v>
      </c>
      <c r="B2147" s="72">
        <v>8.354137E7</v>
      </c>
      <c r="C2147" s="74">
        <v>46220.90836043982</v>
      </c>
      <c r="D2147" s="2" t="s">
        <v>705</v>
      </c>
      <c r="F2147" s="2" t="s">
        <v>2464</v>
      </c>
      <c r="G2147" s="72">
        <v>3.23190268E8</v>
      </c>
    </row>
    <row r="2148">
      <c r="A2148" s="2">
        <v>4.135152017E9</v>
      </c>
      <c r="B2148" s="72">
        <v>8.354137E7</v>
      </c>
      <c r="C2148" s="74">
        <v>46220.932899039355</v>
      </c>
      <c r="D2148" s="2" t="s">
        <v>667</v>
      </c>
      <c r="E2148" s="2" t="s">
        <v>703</v>
      </c>
      <c r="F2148" s="2" t="s">
        <v>2465</v>
      </c>
      <c r="G2148" s="72">
        <v>3.23218555E8</v>
      </c>
    </row>
    <row r="2149">
      <c r="A2149" s="2">
        <v>4.135220223E9</v>
      </c>
      <c r="B2149" s="72">
        <v>8.0476864E7</v>
      </c>
      <c r="C2149" s="74">
        <v>46217.961125856484</v>
      </c>
      <c r="D2149" s="2" t="s">
        <v>628</v>
      </c>
      <c r="F2149" s="2" t="s">
        <v>838</v>
      </c>
      <c r="G2149" s="72">
        <v>3.211155E8</v>
      </c>
    </row>
    <row r="2150">
      <c r="A2150" s="2">
        <v>4.135220223E9</v>
      </c>
      <c r="B2150" s="72">
        <v>8.0476864E7</v>
      </c>
      <c r="C2150" s="74">
        <v>46217.54435273148</v>
      </c>
      <c r="D2150" s="2" t="s">
        <v>628</v>
      </c>
      <c r="F2150" s="2" t="s">
        <v>630</v>
      </c>
      <c r="G2150" s="72">
        <v>3.20737925E8</v>
      </c>
    </row>
    <row r="2151">
      <c r="A2151" s="2">
        <v>4.135301276E9</v>
      </c>
      <c r="B2151" s="72">
        <v>8.0185732E7</v>
      </c>
      <c r="C2151" s="74">
        <v>46215.95968759259</v>
      </c>
      <c r="D2151" s="2" t="s">
        <v>628</v>
      </c>
      <c r="F2151" s="2" t="s">
        <v>2277</v>
      </c>
      <c r="G2151" s="72">
        <v>3.19857062E8</v>
      </c>
    </row>
    <row r="2152">
      <c r="A2152" s="2">
        <v>4.135301276E9</v>
      </c>
      <c r="B2152" s="72">
        <v>8.0185732E7</v>
      </c>
      <c r="C2152" s="74">
        <v>46215.54313859953</v>
      </c>
      <c r="D2152" s="2" t="s">
        <v>628</v>
      </c>
      <c r="F2152" s="2" t="s">
        <v>630</v>
      </c>
      <c r="G2152" s="72">
        <v>3.19453917E8</v>
      </c>
    </row>
    <row r="2153">
      <c r="A2153" s="2">
        <v>4.135316668E9</v>
      </c>
      <c r="B2153" s="72">
        <v>4181484.0</v>
      </c>
      <c r="C2153" s="74">
        <v>46204.26110344907</v>
      </c>
      <c r="D2153" s="2" t="s">
        <v>667</v>
      </c>
      <c r="E2153" s="2" t="s">
        <v>886</v>
      </c>
      <c r="F2153" s="2" t="s">
        <v>2466</v>
      </c>
      <c r="G2153" s="72">
        <v>3.11877171E8</v>
      </c>
    </row>
    <row r="2154">
      <c r="A2154" s="2">
        <v>4.135316668E9</v>
      </c>
      <c r="B2154" s="72">
        <v>4181484.0</v>
      </c>
      <c r="C2154" s="74">
        <v>46204.95967571759</v>
      </c>
      <c r="D2154" s="2" t="s">
        <v>628</v>
      </c>
      <c r="F2154" s="2" t="s">
        <v>2467</v>
      </c>
      <c r="G2154" s="72">
        <v>3.12379788E8</v>
      </c>
    </row>
    <row r="2155">
      <c r="A2155" s="2">
        <v>4.135394898E9</v>
      </c>
      <c r="B2155" s="72">
        <v>8.2449522E7</v>
      </c>
      <c r="C2155" s="74">
        <v>46228.959281655094</v>
      </c>
      <c r="D2155" s="2" t="s">
        <v>628</v>
      </c>
      <c r="F2155" s="2" t="s">
        <v>2468</v>
      </c>
      <c r="G2155" s="72">
        <v>3.2885676E8</v>
      </c>
    </row>
    <row r="2156">
      <c r="A2156" s="2">
        <v>4.135449487E9</v>
      </c>
      <c r="B2156" s="72">
        <v>9078234.0</v>
      </c>
      <c r="C2156" s="74">
        <v>46220.54591226851</v>
      </c>
      <c r="D2156" s="2" t="s">
        <v>628</v>
      </c>
      <c r="F2156" s="2" t="s">
        <v>630</v>
      </c>
      <c r="G2156" s="72">
        <v>3.22792759E8</v>
      </c>
    </row>
    <row r="2157">
      <c r="A2157" s="2">
        <v>4.135449487E9</v>
      </c>
      <c r="B2157" s="72">
        <v>9078234.0</v>
      </c>
      <c r="C2157" s="74">
        <v>46221.96205403935</v>
      </c>
      <c r="D2157" s="2" t="s">
        <v>628</v>
      </c>
      <c r="F2157" s="2" t="s">
        <v>638</v>
      </c>
      <c r="G2157" s="72">
        <v>3.24003529E8</v>
      </c>
    </row>
    <row r="2158">
      <c r="A2158" s="2">
        <v>4.135846124E9</v>
      </c>
      <c r="B2158" s="72">
        <v>1.0307876E7</v>
      </c>
      <c r="C2158" s="74">
        <v>46212.544440937505</v>
      </c>
      <c r="D2158" s="2" t="s">
        <v>628</v>
      </c>
      <c r="F2158" s="2" t="s">
        <v>630</v>
      </c>
      <c r="G2158" s="72">
        <v>3.17246134E8</v>
      </c>
    </row>
    <row r="2159">
      <c r="A2159" s="2">
        <v>4.135846124E9</v>
      </c>
      <c r="B2159" s="72">
        <v>1.0307876E7</v>
      </c>
      <c r="C2159" s="74">
        <v>46211.68355782407</v>
      </c>
      <c r="D2159" s="2" t="s">
        <v>628</v>
      </c>
      <c r="F2159" s="2" t="s">
        <v>2469</v>
      </c>
      <c r="G2159" s="72">
        <v>3.16745305E8</v>
      </c>
    </row>
    <row r="2160">
      <c r="A2160" s="2">
        <v>4.135846124E9</v>
      </c>
      <c r="B2160" s="72">
        <v>1.0307876E7</v>
      </c>
      <c r="C2160" s="74">
        <v>46211.82917387731</v>
      </c>
      <c r="D2160" s="2" t="s">
        <v>667</v>
      </c>
      <c r="E2160" s="2" t="s">
        <v>668</v>
      </c>
      <c r="F2160" s="2" t="s">
        <v>2470</v>
      </c>
      <c r="G2160" s="72">
        <v>3.16868363E8</v>
      </c>
    </row>
    <row r="2161">
      <c r="A2161" s="2">
        <v>4.135846124E9</v>
      </c>
      <c r="B2161" s="72">
        <v>1.0307876E7</v>
      </c>
      <c r="C2161" s="74">
        <v>46214.96099399305</v>
      </c>
      <c r="D2161" s="2" t="s">
        <v>628</v>
      </c>
      <c r="F2161" s="2" t="s">
        <v>2461</v>
      </c>
      <c r="G2161" s="72">
        <v>3.19138127E8</v>
      </c>
    </row>
    <row r="2162">
      <c r="A2162" s="2">
        <v>4.136264272E9</v>
      </c>
      <c r="B2162" s="72">
        <v>8.1268872E7</v>
      </c>
      <c r="C2162" s="74">
        <v>46222.961394768514</v>
      </c>
      <c r="D2162" s="2" t="s">
        <v>628</v>
      </c>
      <c r="F2162" s="2" t="s">
        <v>1118</v>
      </c>
      <c r="G2162" s="72">
        <v>3.2472798E8</v>
      </c>
    </row>
    <row r="2163">
      <c r="A2163" s="2">
        <v>4.136264272E9</v>
      </c>
      <c r="B2163" s="72">
        <v>8.1268872E7</v>
      </c>
      <c r="C2163" s="74">
        <v>46223.523048055555</v>
      </c>
      <c r="D2163" s="2" t="s">
        <v>628</v>
      </c>
      <c r="F2163" s="2" t="s">
        <v>1119</v>
      </c>
      <c r="G2163" s="72">
        <v>3.24946703E8</v>
      </c>
    </row>
    <row r="2164">
      <c r="A2164" s="2">
        <v>4.136264272E9</v>
      </c>
      <c r="B2164" s="72">
        <v>8.1268872E7</v>
      </c>
      <c r="C2164" s="74">
        <v>46223.961200289355</v>
      </c>
      <c r="D2164" s="2" t="s">
        <v>628</v>
      </c>
      <c r="F2164" s="2" t="s">
        <v>1118</v>
      </c>
      <c r="G2164" s="72">
        <v>3.25367509E8</v>
      </c>
    </row>
    <row r="2165">
      <c r="A2165" s="2">
        <v>4.136264272E9</v>
      </c>
      <c r="B2165" s="72">
        <v>8.1268872E7</v>
      </c>
      <c r="C2165" s="74">
        <v>46221.9034140625</v>
      </c>
      <c r="D2165" s="2" t="s">
        <v>628</v>
      </c>
      <c r="F2165" s="2" t="s">
        <v>1119</v>
      </c>
      <c r="G2165" s="72">
        <v>3.23935364E8</v>
      </c>
    </row>
    <row r="2166">
      <c r="A2166" s="2">
        <v>4.136266327E9</v>
      </c>
      <c r="B2166" s="72">
        <v>8.2190338E7</v>
      </c>
      <c r="C2166" s="74">
        <v>46229.54488840278</v>
      </c>
      <c r="D2166" s="2" t="s">
        <v>628</v>
      </c>
      <c r="F2166" s="2" t="s">
        <v>630</v>
      </c>
      <c r="G2166" s="72">
        <v>3.29203684E8</v>
      </c>
    </row>
    <row r="2167">
      <c r="A2167" s="2">
        <v>4.136266327E9</v>
      </c>
      <c r="B2167" s="72">
        <v>8.2190338E7</v>
      </c>
      <c r="C2167" s="74">
        <v>46227.752304305555</v>
      </c>
      <c r="D2167" s="2" t="s">
        <v>628</v>
      </c>
      <c r="F2167" s="2" t="s">
        <v>1544</v>
      </c>
      <c r="G2167" s="72">
        <v>3.27869969E8</v>
      </c>
    </row>
    <row r="2168">
      <c r="A2168" s="2">
        <v>4.136266327E9</v>
      </c>
      <c r="B2168" s="72">
        <v>8.2190338E7</v>
      </c>
      <c r="C2168" s="74">
        <v>46229.960143819444</v>
      </c>
      <c r="D2168" s="2" t="s">
        <v>628</v>
      </c>
      <c r="F2168" s="2" t="s">
        <v>1543</v>
      </c>
      <c r="G2168" s="72">
        <v>3.2961015E8</v>
      </c>
    </row>
    <row r="2169">
      <c r="A2169" s="2">
        <v>4.136266573E9</v>
      </c>
      <c r="B2169" s="72">
        <v>7.9493941E7</v>
      </c>
      <c r="C2169" s="74">
        <v>46211.542510127314</v>
      </c>
      <c r="D2169" s="2" t="s">
        <v>628</v>
      </c>
      <c r="F2169" s="2" t="s">
        <v>630</v>
      </c>
      <c r="G2169" s="72">
        <v>3.16588178E8</v>
      </c>
    </row>
    <row r="2170">
      <c r="A2170" s="2">
        <v>4.136266573E9</v>
      </c>
      <c r="B2170" s="72">
        <v>7.9493941E7</v>
      </c>
      <c r="C2170" s="74">
        <v>46212.959176261575</v>
      </c>
      <c r="D2170" s="2" t="s">
        <v>628</v>
      </c>
      <c r="F2170" s="2" t="s">
        <v>717</v>
      </c>
      <c r="G2170" s="72">
        <v>3.17654897E8</v>
      </c>
    </row>
    <row r="2171">
      <c r="A2171" s="2">
        <v>4.136266573E9</v>
      </c>
      <c r="C2171" s="74">
        <v>46209.75102516204</v>
      </c>
      <c r="D2171" s="2" t="s">
        <v>628</v>
      </c>
      <c r="F2171" s="2" t="s">
        <v>683</v>
      </c>
      <c r="G2171" s="72">
        <v>3.15581676E8</v>
      </c>
    </row>
    <row r="2172">
      <c r="A2172" s="2">
        <v>4.136368607E9</v>
      </c>
      <c r="B2172" s="72">
        <v>8.2137907E7</v>
      </c>
      <c r="C2172" s="74">
        <v>46227.54229170139</v>
      </c>
      <c r="D2172" s="2" t="s">
        <v>628</v>
      </c>
      <c r="F2172" s="2" t="s">
        <v>630</v>
      </c>
      <c r="G2172" s="72">
        <v>3.27612114E8</v>
      </c>
    </row>
    <row r="2173">
      <c r="A2173" s="2">
        <v>4.136368607E9</v>
      </c>
      <c r="B2173" s="72">
        <v>8.2137907E7</v>
      </c>
      <c r="C2173" s="74">
        <v>46227.95983814815</v>
      </c>
      <c r="D2173" s="2" t="s">
        <v>628</v>
      </c>
      <c r="F2173" s="2" t="s">
        <v>737</v>
      </c>
      <c r="G2173" s="72">
        <v>3.28115489E8</v>
      </c>
    </row>
    <row r="2174">
      <c r="A2174" s="2">
        <v>4.137706304E9</v>
      </c>
      <c r="B2174" s="72">
        <v>3951904.0</v>
      </c>
      <c r="C2174" s="74">
        <v>46210.75360328704</v>
      </c>
      <c r="D2174" s="2" t="s">
        <v>705</v>
      </c>
      <c r="F2174" s="2" t="s">
        <v>2471</v>
      </c>
      <c r="G2174" s="72">
        <v>3.16199401E8</v>
      </c>
    </row>
    <row r="2175">
      <c r="A2175" s="2">
        <v>4.137706304E9</v>
      </c>
      <c r="B2175" s="72">
        <v>3951904.0</v>
      </c>
      <c r="C2175" s="74">
        <v>46213.961120300926</v>
      </c>
      <c r="D2175" s="2" t="s">
        <v>628</v>
      </c>
      <c r="F2175" s="2" t="s">
        <v>2472</v>
      </c>
      <c r="G2175" s="72">
        <v>3.18410272E8</v>
      </c>
    </row>
    <row r="2176">
      <c r="A2176" s="2">
        <v>4.137706304E9</v>
      </c>
      <c r="B2176" s="72">
        <v>3951904.0</v>
      </c>
      <c r="C2176" s="74">
        <v>46212.54455734954</v>
      </c>
      <c r="D2176" s="2" t="s">
        <v>628</v>
      </c>
      <c r="F2176" s="2" t="s">
        <v>630</v>
      </c>
      <c r="G2176" s="72">
        <v>3.17247957E8</v>
      </c>
    </row>
    <row r="2177">
      <c r="A2177" s="2">
        <v>4.137706304E9</v>
      </c>
      <c r="B2177" s="72">
        <v>3951904.0</v>
      </c>
      <c r="C2177" s="74">
        <v>46210.75270384259</v>
      </c>
      <c r="D2177" s="2" t="s">
        <v>628</v>
      </c>
      <c r="F2177" s="2" t="s">
        <v>2473</v>
      </c>
      <c r="G2177" s="72">
        <v>3.16194209E8</v>
      </c>
    </row>
    <row r="2178">
      <c r="A2178" s="2">
        <v>4.137706754E9</v>
      </c>
      <c r="B2178" s="72">
        <v>7.9887162E7</v>
      </c>
      <c r="C2178" s="74">
        <v>46213.753878495365</v>
      </c>
      <c r="D2178" s="2" t="s">
        <v>628</v>
      </c>
      <c r="F2178" s="2" t="s">
        <v>675</v>
      </c>
      <c r="G2178" s="72">
        <v>3.18187733E8</v>
      </c>
    </row>
    <row r="2179">
      <c r="A2179" s="2">
        <v>4.137706754E9</v>
      </c>
      <c r="B2179" s="72">
        <v>7.9887162E7</v>
      </c>
      <c r="C2179" s="74">
        <v>46215.545315324074</v>
      </c>
      <c r="D2179" s="2" t="s">
        <v>628</v>
      </c>
      <c r="F2179" s="2" t="s">
        <v>630</v>
      </c>
      <c r="G2179" s="72">
        <v>3.19490501E8</v>
      </c>
    </row>
    <row r="2180">
      <c r="A2180" s="2">
        <v>4.137706754E9</v>
      </c>
      <c r="B2180" s="72">
        <v>7.9887162E7</v>
      </c>
      <c r="C2180" s="74">
        <v>46215.96193802083</v>
      </c>
      <c r="D2180" s="2" t="s">
        <v>628</v>
      </c>
      <c r="F2180" s="2" t="s">
        <v>674</v>
      </c>
      <c r="G2180" s="72">
        <v>3.19863872E8</v>
      </c>
    </row>
    <row r="2181">
      <c r="A2181" s="2">
        <v>4.137707005E9</v>
      </c>
      <c r="B2181" s="72">
        <v>8.1607143E7</v>
      </c>
      <c r="C2181" s="74">
        <v>46225.54641363426</v>
      </c>
      <c r="D2181" s="2" t="s">
        <v>628</v>
      </c>
      <c r="F2181" s="2" t="s">
        <v>630</v>
      </c>
      <c r="G2181" s="72">
        <v>3.26254576E8</v>
      </c>
    </row>
    <row r="2182">
      <c r="A2182" s="2">
        <v>4.137707005E9</v>
      </c>
      <c r="B2182" s="72">
        <v>8.1607143E7</v>
      </c>
      <c r="C2182" s="74">
        <v>46224.06240628472</v>
      </c>
      <c r="D2182" s="2" t="s">
        <v>628</v>
      </c>
      <c r="F2182" s="2" t="s">
        <v>1562</v>
      </c>
      <c r="G2182" s="72">
        <v>3.25439702E8</v>
      </c>
    </row>
    <row r="2183">
      <c r="A2183" s="2">
        <v>4.137707005E9</v>
      </c>
      <c r="B2183" s="72">
        <v>8.1607143E7</v>
      </c>
      <c r="C2183" s="74">
        <v>46225.96175844908</v>
      </c>
      <c r="D2183" s="2" t="s">
        <v>628</v>
      </c>
      <c r="F2183" s="2" t="s">
        <v>1563</v>
      </c>
      <c r="G2183" s="72">
        <v>3.26635717E8</v>
      </c>
    </row>
    <row r="2184">
      <c r="A2184" s="2">
        <v>4.138135604E9</v>
      </c>
      <c r="B2184" s="72">
        <v>8.0752034E7</v>
      </c>
      <c r="C2184" s="74">
        <v>46219.95996774305</v>
      </c>
      <c r="D2184" s="2" t="s">
        <v>628</v>
      </c>
      <c r="F2184" s="2" t="s">
        <v>2474</v>
      </c>
      <c r="G2184" s="72">
        <v>3.22474661E8</v>
      </c>
    </row>
    <row r="2185">
      <c r="A2185" s="2">
        <v>4.138135604E9</v>
      </c>
      <c r="B2185" s="72">
        <v>8.0752034E7</v>
      </c>
      <c r="C2185" s="74">
        <v>46219.00913800926</v>
      </c>
      <c r="D2185" s="2" t="s">
        <v>628</v>
      </c>
      <c r="F2185" s="2" t="s">
        <v>2475</v>
      </c>
      <c r="G2185" s="72">
        <v>3.21814872E8</v>
      </c>
    </row>
    <row r="2186">
      <c r="A2186" s="2">
        <v>4.138224861E9</v>
      </c>
      <c r="B2186" s="72">
        <v>8.0738799E7</v>
      </c>
      <c r="C2186" s="74">
        <v>46218.9595609838</v>
      </c>
      <c r="D2186" s="2" t="s">
        <v>628</v>
      </c>
      <c r="F2186" s="2" t="s">
        <v>1347</v>
      </c>
      <c r="G2186" s="72">
        <v>3.21766884E8</v>
      </c>
    </row>
    <row r="2187">
      <c r="A2187" s="2">
        <v>4.138224861E9</v>
      </c>
      <c r="C2187" s="74">
        <v>46217.75152857639</v>
      </c>
      <c r="D2187" s="2" t="s">
        <v>628</v>
      </c>
      <c r="F2187" s="2" t="s">
        <v>1346</v>
      </c>
      <c r="G2187" s="72">
        <v>3.20918975E8</v>
      </c>
    </row>
    <row r="2188">
      <c r="A2188" s="2">
        <v>4.138755377E9</v>
      </c>
      <c r="B2188" s="72">
        <v>8.3379658E7</v>
      </c>
      <c r="C2188" s="74">
        <v>46234.74984175926</v>
      </c>
      <c r="D2188" s="2" t="s">
        <v>628</v>
      </c>
      <c r="F2188" s="2" t="s">
        <v>2476</v>
      </c>
      <c r="G2188" s="72">
        <v>3.32833882E8</v>
      </c>
    </row>
    <row r="2189">
      <c r="A2189" s="2">
        <v>4.13883645E9</v>
      </c>
      <c r="C2189" s="74">
        <v>46216.752098425924</v>
      </c>
      <c r="D2189" s="2" t="s">
        <v>628</v>
      </c>
      <c r="F2189" s="2" t="s">
        <v>743</v>
      </c>
      <c r="G2189" s="72">
        <v>3.20290168E8</v>
      </c>
    </row>
    <row r="2190">
      <c r="A2190" s="2">
        <v>4.13883645E9</v>
      </c>
      <c r="B2190" s="72">
        <v>4390903.0</v>
      </c>
      <c r="C2190" s="74">
        <v>46218.543789375</v>
      </c>
      <c r="D2190" s="2" t="s">
        <v>628</v>
      </c>
      <c r="F2190" s="2" t="s">
        <v>630</v>
      </c>
      <c r="G2190" s="72">
        <v>3.21362184E8</v>
      </c>
    </row>
    <row r="2191">
      <c r="A2191" s="2">
        <v>4.13883645E9</v>
      </c>
      <c r="B2191" s="72">
        <v>4390903.0</v>
      </c>
      <c r="C2191" s="74">
        <v>46218.960142384254</v>
      </c>
      <c r="D2191" s="2" t="s">
        <v>628</v>
      </c>
      <c r="F2191" s="2" t="s">
        <v>744</v>
      </c>
      <c r="G2191" s="72">
        <v>3.21768861E8</v>
      </c>
    </row>
    <row r="2192">
      <c r="A2192" s="2">
        <v>4.13883645E9</v>
      </c>
      <c r="C2192" s="74">
        <v>46216.75464247685</v>
      </c>
      <c r="D2192" s="2" t="s">
        <v>628</v>
      </c>
      <c r="F2192" s="2" t="s">
        <v>743</v>
      </c>
      <c r="G2192" s="72">
        <v>3.20302092E8</v>
      </c>
    </row>
    <row r="2193">
      <c r="A2193" s="2">
        <v>4.138874028E9</v>
      </c>
      <c r="B2193" s="72">
        <v>8.1178125E7</v>
      </c>
      <c r="C2193" s="74">
        <v>46221.9615180324</v>
      </c>
      <c r="D2193" s="2" t="s">
        <v>628</v>
      </c>
      <c r="F2193" s="2" t="s">
        <v>657</v>
      </c>
      <c r="G2193" s="72">
        <v>3.24000965E8</v>
      </c>
    </row>
    <row r="2194">
      <c r="A2194" s="2">
        <v>4.138874028E9</v>
      </c>
      <c r="B2194" s="72">
        <v>8.1178125E7</v>
      </c>
      <c r="C2194" s="74">
        <v>46221.545296701384</v>
      </c>
      <c r="D2194" s="2" t="s">
        <v>628</v>
      </c>
      <c r="F2194" s="2" t="s">
        <v>630</v>
      </c>
      <c r="G2194" s="72">
        <v>3.23561043E8</v>
      </c>
    </row>
    <row r="2195">
      <c r="A2195" s="2">
        <v>4.13896282E9</v>
      </c>
      <c r="B2195" s="72">
        <v>8.1283717E7</v>
      </c>
      <c r="C2195" s="74">
        <v>46221.96028939815</v>
      </c>
      <c r="D2195" s="2" t="s">
        <v>628</v>
      </c>
      <c r="F2195" s="2" t="s">
        <v>777</v>
      </c>
      <c r="G2195" s="72">
        <v>3.23994395E8</v>
      </c>
    </row>
    <row r="2196">
      <c r="A2196" s="2">
        <v>4.139492407E9</v>
      </c>
      <c r="C2196" s="74">
        <v>46214.46137076389</v>
      </c>
      <c r="D2196" s="2" t="s">
        <v>628</v>
      </c>
      <c r="F2196" s="2" t="s">
        <v>997</v>
      </c>
      <c r="G2196" s="72">
        <v>3.18603196E8</v>
      </c>
    </row>
    <row r="2197">
      <c r="A2197" s="2">
        <v>4.139492407E9</v>
      </c>
      <c r="B2197" s="72">
        <v>8.0130596E7</v>
      </c>
      <c r="C2197" s="74">
        <v>46214.96061844907</v>
      </c>
      <c r="D2197" s="2" t="s">
        <v>628</v>
      </c>
      <c r="F2197" s="2" t="s">
        <v>998</v>
      </c>
      <c r="G2197" s="72">
        <v>3.19136201E8</v>
      </c>
    </row>
    <row r="2198">
      <c r="A2198" s="2">
        <v>4.139773426E9</v>
      </c>
      <c r="B2198" s="72">
        <v>5100233.0</v>
      </c>
      <c r="C2198" s="74">
        <v>46212.7519712037</v>
      </c>
      <c r="D2198" s="2" t="s">
        <v>628</v>
      </c>
      <c r="F2198" s="2" t="s">
        <v>2477</v>
      </c>
      <c r="G2198" s="72">
        <v>3.17434068E8</v>
      </c>
    </row>
    <row r="2199">
      <c r="A2199" s="2">
        <v>4.139773426E9</v>
      </c>
      <c r="B2199" s="72">
        <v>5100233.0</v>
      </c>
      <c r="C2199" s="74">
        <v>46214.96032383102</v>
      </c>
      <c r="D2199" s="2" t="s">
        <v>628</v>
      </c>
      <c r="F2199" s="2" t="s">
        <v>2478</v>
      </c>
      <c r="G2199" s="72">
        <v>3.19134566E8</v>
      </c>
    </row>
    <row r="2200">
      <c r="A2200" s="2">
        <v>4.139773426E9</v>
      </c>
      <c r="B2200" s="72">
        <v>5100233.0</v>
      </c>
      <c r="C2200" s="74">
        <v>46214.54375136574</v>
      </c>
      <c r="D2200" s="2" t="s">
        <v>628</v>
      </c>
      <c r="F2200" s="2" t="s">
        <v>630</v>
      </c>
      <c r="G2200" s="72">
        <v>3.18698446E8</v>
      </c>
    </row>
    <row r="2201">
      <c r="A2201" s="2">
        <v>4.148392177E9</v>
      </c>
      <c r="B2201" s="72">
        <v>8.0136345E7</v>
      </c>
      <c r="C2201" s="74">
        <v>46215.00895607639</v>
      </c>
      <c r="D2201" s="2" t="s">
        <v>705</v>
      </c>
      <c r="F2201" s="2" t="s">
        <v>2479</v>
      </c>
      <c r="G2201" s="72">
        <v>3.19184526E8</v>
      </c>
    </row>
    <row r="2202">
      <c r="A2202" s="2">
        <v>4.148392177E9</v>
      </c>
      <c r="B2202" s="72">
        <v>8.0136345E7</v>
      </c>
      <c r="C2202" s="74">
        <v>46214.98438174769</v>
      </c>
      <c r="D2202" s="2" t="s">
        <v>628</v>
      </c>
      <c r="F2202" s="2" t="s">
        <v>1183</v>
      </c>
      <c r="G2202" s="72">
        <v>3.19158269E8</v>
      </c>
    </row>
    <row r="2203">
      <c r="A2203" s="2" t="s">
        <v>2480</v>
      </c>
      <c r="B2203" s="72">
        <v>9487358.0</v>
      </c>
      <c r="C2203" s="74">
        <v>46231.75335266204</v>
      </c>
      <c r="D2203" s="2" t="s">
        <v>628</v>
      </c>
      <c r="F2203" s="2" t="s">
        <v>1566</v>
      </c>
      <c r="G2203" s="72">
        <v>3.30730185E8</v>
      </c>
    </row>
    <row r="2204">
      <c r="A2204" s="2" t="s">
        <v>2480</v>
      </c>
      <c r="B2204" s="72">
        <v>9487358.0</v>
      </c>
      <c r="C2204" s="74">
        <v>46234.961202499995</v>
      </c>
      <c r="D2204" s="2" t="s">
        <v>628</v>
      </c>
      <c r="F2204" s="2" t="s">
        <v>1567</v>
      </c>
      <c r="G2204" s="72">
        <v>3.33102252E8</v>
      </c>
    </row>
    <row r="2205">
      <c r="A2205" s="2" t="s">
        <v>2480</v>
      </c>
      <c r="B2205" s="72">
        <v>9487358.0</v>
      </c>
      <c r="C2205" s="74">
        <v>46233.54524368056</v>
      </c>
      <c r="D2205" s="2" t="s">
        <v>628</v>
      </c>
      <c r="F2205" s="2" t="s">
        <v>630</v>
      </c>
      <c r="G2205" s="72">
        <v>3.31861391E8</v>
      </c>
    </row>
    <row r="2206">
      <c r="A2206" s="2">
        <v>4.18225152E9</v>
      </c>
      <c r="B2206" s="72">
        <v>8.2605336E7</v>
      </c>
      <c r="C2206" s="74">
        <v>46229.96204731481</v>
      </c>
      <c r="D2206" s="2" t="s">
        <v>628</v>
      </c>
      <c r="F2206" s="2" t="s">
        <v>2481</v>
      </c>
      <c r="G2206" s="72">
        <v>3.29616582E8</v>
      </c>
    </row>
    <row r="2207">
      <c r="A2207" s="2">
        <v>4.182265975E9</v>
      </c>
      <c r="B2207" s="72">
        <v>8.1637042E7</v>
      </c>
      <c r="C2207" s="74">
        <v>46224.54327699074</v>
      </c>
      <c r="D2207" s="2" t="s">
        <v>628</v>
      </c>
      <c r="F2207" s="2" t="s">
        <v>630</v>
      </c>
      <c r="G2207" s="72">
        <v>3.25598196E8</v>
      </c>
    </row>
    <row r="2208">
      <c r="A2208" s="2">
        <v>4.182265975E9</v>
      </c>
      <c r="B2208" s="72">
        <v>8.1637042E7</v>
      </c>
      <c r="C2208" s="74">
        <v>46225.96046989583</v>
      </c>
      <c r="D2208" s="2" t="s">
        <v>628</v>
      </c>
      <c r="F2208" s="2" t="s">
        <v>2422</v>
      </c>
      <c r="G2208" s="72">
        <v>3.2663068E8</v>
      </c>
    </row>
    <row r="2209">
      <c r="A2209" s="2">
        <v>4.182269699E9</v>
      </c>
      <c r="B2209" s="72">
        <v>4201083.0</v>
      </c>
      <c r="C2209" s="74">
        <v>46227.54328787037</v>
      </c>
      <c r="D2209" s="2" t="s">
        <v>628</v>
      </c>
      <c r="F2209" s="2" t="s">
        <v>630</v>
      </c>
      <c r="G2209" s="72">
        <v>3.27619769E8</v>
      </c>
    </row>
    <row r="2210">
      <c r="A2210" s="2">
        <v>4.182269699E9</v>
      </c>
      <c r="C2210" s="74">
        <v>46225.75199053241</v>
      </c>
      <c r="D2210" s="2" t="s">
        <v>628</v>
      </c>
      <c r="F2210" s="2" t="s">
        <v>2482</v>
      </c>
      <c r="G2210" s="72">
        <v>3.26427737E8</v>
      </c>
    </row>
    <row r="2211">
      <c r="A2211" s="2">
        <v>4.182269699E9</v>
      </c>
      <c r="C2211" s="74">
        <v>46225.752286365736</v>
      </c>
      <c r="D2211" s="2" t="s">
        <v>628</v>
      </c>
      <c r="F2211" s="2" t="s">
        <v>2482</v>
      </c>
      <c r="G2211" s="72">
        <v>3.26430164E8</v>
      </c>
    </row>
    <row r="2212">
      <c r="A2212" s="2">
        <v>4.182269699E9</v>
      </c>
      <c r="B2212" s="72">
        <v>4201083.0</v>
      </c>
      <c r="C2212" s="74">
        <v>46227.959751828705</v>
      </c>
      <c r="D2212" s="2" t="s">
        <v>628</v>
      </c>
      <c r="F2212" s="2" t="s">
        <v>2483</v>
      </c>
      <c r="G2212" s="72">
        <v>3.28115233E8</v>
      </c>
    </row>
    <row r="2213">
      <c r="A2213" s="2">
        <v>4.183137058E9</v>
      </c>
      <c r="B2213" s="72">
        <v>8.1483904E7</v>
      </c>
      <c r="C2213" s="74">
        <v>46224.960149293984</v>
      </c>
      <c r="D2213" s="2" t="s">
        <v>628</v>
      </c>
      <c r="F2213" s="2" t="s">
        <v>2484</v>
      </c>
      <c r="G2213" s="72">
        <v>3.25986811E8</v>
      </c>
    </row>
    <row r="2214">
      <c r="A2214" s="2">
        <v>4.183137058E9</v>
      </c>
      <c r="B2214" s="72">
        <v>8.1483904E7</v>
      </c>
      <c r="C2214" s="74">
        <v>46223.54350986111</v>
      </c>
      <c r="D2214" s="2" t="s">
        <v>628</v>
      </c>
      <c r="F2214" s="2" t="s">
        <v>630</v>
      </c>
      <c r="G2214" s="72">
        <v>3.24967013E8</v>
      </c>
    </row>
    <row r="2215">
      <c r="A2215" s="2">
        <v>4.183327021E9</v>
      </c>
      <c r="B2215" s="72">
        <v>8.2818378E7</v>
      </c>
      <c r="C2215" s="74">
        <v>46232.96089033565</v>
      </c>
      <c r="D2215" s="2" t="s">
        <v>628</v>
      </c>
      <c r="F2215" s="2" t="s">
        <v>1146</v>
      </c>
      <c r="G2215" s="72">
        <v>3.31587228E8</v>
      </c>
    </row>
    <row r="2216">
      <c r="A2216" s="2">
        <v>4.183327021E9</v>
      </c>
      <c r="B2216" s="72">
        <v>8.2818378E7</v>
      </c>
      <c r="C2216" s="74">
        <v>46231.54450554398</v>
      </c>
      <c r="D2216" s="2" t="s">
        <v>628</v>
      </c>
      <c r="F2216" s="2" t="s">
        <v>630</v>
      </c>
      <c r="G2216" s="72">
        <v>3.30530812E8</v>
      </c>
    </row>
    <row r="2217">
      <c r="A2217" s="2">
        <v>4.18655535E9</v>
      </c>
      <c r="B2217" s="72">
        <v>8.2656006E7</v>
      </c>
      <c r="C2217" s="74">
        <v>46232.96150532407</v>
      </c>
      <c r="D2217" s="2" t="s">
        <v>628</v>
      </c>
      <c r="F2217" s="2" t="s">
        <v>2485</v>
      </c>
      <c r="G2217" s="72">
        <v>3.31589083E8</v>
      </c>
    </row>
    <row r="2218">
      <c r="A2218" s="2">
        <v>4.18655535E9</v>
      </c>
      <c r="B2218" s="72">
        <v>8.2656006E7</v>
      </c>
      <c r="C2218" s="74">
        <v>46230.54545405092</v>
      </c>
      <c r="D2218" s="2" t="s">
        <v>628</v>
      </c>
      <c r="F2218" s="2" t="s">
        <v>630</v>
      </c>
      <c r="G2218" s="72">
        <v>3.29873401E8</v>
      </c>
    </row>
    <row r="2219">
      <c r="A2219" s="2">
        <v>4.188653061E9</v>
      </c>
      <c r="B2219" s="72">
        <v>7.9704681E7</v>
      </c>
      <c r="C2219" s="74">
        <v>46214.545332430556</v>
      </c>
      <c r="D2219" s="2" t="s">
        <v>628</v>
      </c>
      <c r="F2219" s="2" t="s">
        <v>630</v>
      </c>
      <c r="G2219" s="72">
        <v>3.18725078E8</v>
      </c>
    </row>
    <row r="2220">
      <c r="A2220" s="2">
        <v>4.188653061E9</v>
      </c>
      <c r="B2220" s="72">
        <v>7.9704681E7</v>
      </c>
      <c r="C2220" s="74">
        <v>46212.75521609954</v>
      </c>
      <c r="D2220" s="2" t="s">
        <v>628</v>
      </c>
      <c r="F2220" s="2" t="s">
        <v>2486</v>
      </c>
      <c r="G2220" s="72">
        <v>3.17451288E8</v>
      </c>
    </row>
    <row r="2221">
      <c r="A2221" s="2">
        <v>4.188653061E9</v>
      </c>
      <c r="B2221" s="72">
        <v>7.9704681E7</v>
      </c>
      <c r="C2221" s="74">
        <v>46214.96227221064</v>
      </c>
      <c r="D2221" s="2" t="s">
        <v>628</v>
      </c>
      <c r="F2221" s="2" t="s">
        <v>2487</v>
      </c>
      <c r="G2221" s="72">
        <v>3.19143483E8</v>
      </c>
    </row>
    <row r="2222">
      <c r="A2222" s="2">
        <v>4.188800054E9</v>
      </c>
      <c r="B2222" s="72">
        <v>8.1410738E7</v>
      </c>
      <c r="C2222" s="74">
        <v>46222.864675150464</v>
      </c>
      <c r="D2222" s="2" t="s">
        <v>628</v>
      </c>
      <c r="F2222" s="2" t="s">
        <v>2488</v>
      </c>
      <c r="G2222" s="72">
        <v>3.24642675E8</v>
      </c>
    </row>
    <row r="2223">
      <c r="A2223" s="2">
        <v>4.188800054E9</v>
      </c>
      <c r="B2223" s="72">
        <v>8.1410738E7</v>
      </c>
      <c r="C2223" s="74">
        <v>46220.98528945602</v>
      </c>
      <c r="D2223" s="2" t="s">
        <v>705</v>
      </c>
      <c r="F2223" s="2" t="s">
        <v>2489</v>
      </c>
      <c r="G2223" s="72">
        <v>3.23268675E8</v>
      </c>
    </row>
    <row r="2224">
      <c r="A2224" s="2">
        <v>4.188800054E9</v>
      </c>
      <c r="B2224" s="72">
        <v>8.1410738E7</v>
      </c>
      <c r="C2224" s="74">
        <v>46220.984298564814</v>
      </c>
      <c r="D2224" s="2" t="s">
        <v>667</v>
      </c>
      <c r="E2224" s="2" t="s">
        <v>703</v>
      </c>
      <c r="F2224" s="2" t="s">
        <v>2490</v>
      </c>
      <c r="G2224" s="72">
        <v>3.2326794E8</v>
      </c>
    </row>
    <row r="2225">
      <c r="A2225" s="2">
        <v>4.188800054E9</v>
      </c>
      <c r="B2225" s="72">
        <v>8.1410738E7</v>
      </c>
      <c r="C2225" s="74">
        <v>46221.011337696764</v>
      </c>
      <c r="D2225" s="2" t="s">
        <v>667</v>
      </c>
      <c r="E2225" s="2" t="s">
        <v>1332</v>
      </c>
      <c r="F2225" s="2" t="s">
        <v>2491</v>
      </c>
      <c r="G2225" s="72">
        <v>3.23294112E8</v>
      </c>
    </row>
    <row r="2226">
      <c r="A2226" s="2">
        <v>4.188800054E9</v>
      </c>
      <c r="B2226" s="72">
        <v>8.1410738E7</v>
      </c>
      <c r="C2226" s="74">
        <v>46220.999281875</v>
      </c>
      <c r="D2226" s="2" t="s">
        <v>705</v>
      </c>
      <c r="F2226" s="2" t="s">
        <v>2492</v>
      </c>
      <c r="G2226" s="72">
        <v>3.23278889E8</v>
      </c>
    </row>
    <row r="2227">
      <c r="A2227" s="2">
        <v>4.188800054E9</v>
      </c>
      <c r="B2227" s="72">
        <v>8.1410738E7</v>
      </c>
      <c r="C2227" s="74">
        <v>46220.99229420139</v>
      </c>
      <c r="D2227" s="2" t="s">
        <v>667</v>
      </c>
      <c r="E2227" s="2" t="s">
        <v>1332</v>
      </c>
      <c r="F2227" s="2" t="s">
        <v>2493</v>
      </c>
      <c r="G2227" s="72">
        <v>3.23273174E8</v>
      </c>
    </row>
    <row r="2228">
      <c r="A2228" s="2">
        <v>4.188800054E9</v>
      </c>
      <c r="B2228" s="72">
        <v>8.1410738E7</v>
      </c>
      <c r="C2228" s="74">
        <v>46227.959956412036</v>
      </c>
      <c r="D2228" s="2" t="s">
        <v>628</v>
      </c>
      <c r="F2228" s="2" t="s">
        <v>2494</v>
      </c>
      <c r="G2228" s="72">
        <v>3.28115856E8</v>
      </c>
    </row>
    <row r="2229">
      <c r="A2229" s="2">
        <v>4.188800054E9</v>
      </c>
      <c r="B2229" s="72">
        <v>8.1410738E7</v>
      </c>
      <c r="C2229" s="74">
        <v>46220.98110070602</v>
      </c>
      <c r="D2229" s="2" t="s">
        <v>705</v>
      </c>
      <c r="F2229" s="2" t="s">
        <v>2495</v>
      </c>
      <c r="G2229" s="72">
        <v>3.23265664E8</v>
      </c>
    </row>
    <row r="2230">
      <c r="A2230" s="2">
        <v>4.188800054E9</v>
      </c>
      <c r="B2230" s="72">
        <v>8.1410738E7</v>
      </c>
      <c r="C2230" s="74">
        <v>46224.543924363425</v>
      </c>
      <c r="D2230" s="2" t="s">
        <v>628</v>
      </c>
      <c r="F2230" s="2" t="s">
        <v>630</v>
      </c>
      <c r="G2230" s="72">
        <v>3.25607091E8</v>
      </c>
    </row>
    <row r="2231">
      <c r="A2231" s="2">
        <v>4.189574099E9</v>
      </c>
      <c r="B2231" s="72">
        <v>8.2654421E7</v>
      </c>
      <c r="C2231" s="74">
        <v>46230.96022712963</v>
      </c>
      <c r="D2231" s="2" t="s">
        <v>628</v>
      </c>
      <c r="F2231" s="2" t="s">
        <v>1200</v>
      </c>
      <c r="G2231" s="72">
        <v>3.30268883E8</v>
      </c>
    </row>
    <row r="2232">
      <c r="A2232" s="2">
        <v>4.189574099E9</v>
      </c>
      <c r="B2232" s="72">
        <v>8.2654421E7</v>
      </c>
      <c r="C2232" s="74">
        <v>46230.54479457176</v>
      </c>
      <c r="D2232" s="2" t="s">
        <v>628</v>
      </c>
      <c r="F2232" s="2" t="s">
        <v>630</v>
      </c>
      <c r="G2232" s="72">
        <v>3.29863367E8</v>
      </c>
    </row>
    <row r="2233">
      <c r="A2233" s="2">
        <v>4.189579105E9</v>
      </c>
      <c r="B2233" s="72">
        <v>8.2814813E7</v>
      </c>
      <c r="C2233" s="74">
        <v>46231.54282667824</v>
      </c>
      <c r="D2233" s="2" t="s">
        <v>628</v>
      </c>
      <c r="F2233" s="2" t="s">
        <v>630</v>
      </c>
      <c r="G2233" s="72">
        <v>3.3051003E8</v>
      </c>
    </row>
    <row r="2234">
      <c r="A2234" s="2">
        <v>4.189579105E9</v>
      </c>
      <c r="B2234" s="72">
        <v>8.2814813E7</v>
      </c>
      <c r="C2234" s="74">
        <v>46231.959896886576</v>
      </c>
      <c r="D2234" s="2" t="s">
        <v>628</v>
      </c>
      <c r="F2234" s="2" t="s">
        <v>2496</v>
      </c>
      <c r="G2234" s="72">
        <v>3.30915341E8</v>
      </c>
    </row>
    <row r="2235">
      <c r="A2235" s="2">
        <v>4.254445503E9</v>
      </c>
      <c r="B2235" s="72">
        <v>7.9679277E7</v>
      </c>
      <c r="C2235" s="74">
        <v>46212.66919665509</v>
      </c>
      <c r="D2235" s="2" t="s">
        <v>628</v>
      </c>
      <c r="F2235" s="2" t="s">
        <v>2497</v>
      </c>
      <c r="G2235" s="72">
        <v>3.17372894E8</v>
      </c>
    </row>
    <row r="2236">
      <c r="A2236" s="2">
        <v>4.254445503E9</v>
      </c>
      <c r="B2236" s="72">
        <v>7.9679277E7</v>
      </c>
      <c r="C2236" s="74">
        <v>46212.95979997685</v>
      </c>
      <c r="D2236" s="2" t="s">
        <v>628</v>
      </c>
      <c r="F2236" s="2" t="s">
        <v>2498</v>
      </c>
      <c r="G2236" s="72">
        <v>3.17656824E8</v>
      </c>
    </row>
    <row r="2237">
      <c r="A2237" s="2">
        <v>4.388880525E9</v>
      </c>
      <c r="B2237" s="72">
        <v>8.2138742E7</v>
      </c>
      <c r="C2237" s="74">
        <v>46227.543038460644</v>
      </c>
      <c r="D2237" s="2" t="s">
        <v>628</v>
      </c>
      <c r="F2237" s="2" t="s">
        <v>630</v>
      </c>
      <c r="G2237" s="72">
        <v>3.27617177E8</v>
      </c>
    </row>
    <row r="2238">
      <c r="A2238" s="2">
        <v>4.388880525E9</v>
      </c>
      <c r="B2238" s="72">
        <v>8.2138742E7</v>
      </c>
      <c r="C2238" s="74">
        <v>46228.95936267361</v>
      </c>
      <c r="D2238" s="2" t="s">
        <v>628</v>
      </c>
      <c r="F2238" s="2" t="s">
        <v>2499</v>
      </c>
      <c r="G2238" s="72">
        <v>3.28857128E8</v>
      </c>
    </row>
    <row r="2239">
      <c r="A2239" s="2">
        <v>4.42036847925E11</v>
      </c>
      <c r="B2239" s="72">
        <v>7.0772678E7</v>
      </c>
      <c r="C2239" s="74">
        <v>46229.96200991898</v>
      </c>
      <c r="D2239" s="2" t="s">
        <v>628</v>
      </c>
      <c r="F2239" s="2" t="s">
        <v>2500</v>
      </c>
      <c r="G2239" s="72">
        <v>3.29616466E8</v>
      </c>
    </row>
    <row r="2240">
      <c r="A2240" s="2">
        <v>4.42036847925E11</v>
      </c>
      <c r="B2240" s="72">
        <v>7.0772678E7</v>
      </c>
      <c r="C2240" s="74">
        <v>46228.753586493054</v>
      </c>
      <c r="D2240" s="2" t="s">
        <v>628</v>
      </c>
      <c r="F2240" s="2" t="s">
        <v>2501</v>
      </c>
      <c r="G2240" s="72">
        <v>3.28652944E8</v>
      </c>
    </row>
    <row r="2241">
      <c r="A2241" s="2">
        <v>4.47307902964E11</v>
      </c>
      <c r="B2241" s="72">
        <v>8.1676981E7</v>
      </c>
      <c r="C2241" s="74">
        <v>46227.960634131945</v>
      </c>
      <c r="D2241" s="2" t="s">
        <v>628</v>
      </c>
      <c r="F2241" s="2" t="s">
        <v>838</v>
      </c>
      <c r="G2241" s="72">
        <v>3.28118008E8</v>
      </c>
    </row>
    <row r="2242">
      <c r="A2242" s="2">
        <v>4.47307902964E11</v>
      </c>
      <c r="B2242" s="72">
        <v>8.1676981E7</v>
      </c>
      <c r="C2242" s="74">
        <v>46226.54382575232</v>
      </c>
      <c r="D2242" s="2" t="s">
        <v>628</v>
      </c>
      <c r="F2242" s="2" t="s">
        <v>630</v>
      </c>
      <c r="G2242" s="72">
        <v>3.26891624E8</v>
      </c>
    </row>
    <row r="2243">
      <c r="A2243" s="2">
        <v>4.47307902964E11</v>
      </c>
      <c r="B2243" s="72">
        <v>8.1676981E7</v>
      </c>
      <c r="C2243" s="74">
        <v>46224.751839131946</v>
      </c>
      <c r="D2243" s="2" t="s">
        <v>628</v>
      </c>
      <c r="F2243" s="2" t="s">
        <v>785</v>
      </c>
      <c r="G2243" s="72">
        <v>3.25792718E8</v>
      </c>
    </row>
    <row r="2244">
      <c r="A2244" s="2">
        <v>4.505770655E9</v>
      </c>
      <c r="B2244" s="72">
        <v>8.0052027E7</v>
      </c>
      <c r="C2244" s="74">
        <v>46214.679684664356</v>
      </c>
      <c r="D2244" s="2" t="s">
        <v>628</v>
      </c>
      <c r="F2244" s="2" t="s">
        <v>2502</v>
      </c>
      <c r="G2244" s="72">
        <v>3.18859497E8</v>
      </c>
    </row>
    <row r="2245">
      <c r="A2245" s="2">
        <v>4.505770655E9</v>
      </c>
      <c r="B2245" s="72">
        <v>8.0052027E7</v>
      </c>
      <c r="C2245" s="74">
        <v>46215.54434778936</v>
      </c>
      <c r="D2245" s="2" t="s">
        <v>628</v>
      </c>
      <c r="F2245" s="2" t="s">
        <v>630</v>
      </c>
      <c r="G2245" s="72">
        <v>3.19471947E8</v>
      </c>
    </row>
    <row r="2246">
      <c r="A2246" s="2">
        <v>4.505770655E9</v>
      </c>
      <c r="B2246" s="72">
        <v>8.0052027E7</v>
      </c>
      <c r="C2246" s="74">
        <v>46217.96092704861</v>
      </c>
      <c r="D2246" s="2" t="s">
        <v>628</v>
      </c>
      <c r="F2246" s="2" t="s">
        <v>2503</v>
      </c>
      <c r="G2246" s="72">
        <v>3.21115026E8</v>
      </c>
    </row>
    <row r="2247">
      <c r="A2247" s="2">
        <v>4.507760031E9</v>
      </c>
      <c r="B2247" s="72">
        <v>7.965101E7</v>
      </c>
      <c r="C2247" s="74">
        <v>46212.54297032407</v>
      </c>
      <c r="D2247" s="2" t="s">
        <v>628</v>
      </c>
      <c r="F2247" s="2" t="s">
        <v>630</v>
      </c>
      <c r="G2247" s="72">
        <v>3.17226306E8</v>
      </c>
    </row>
    <row r="2248">
      <c r="A2248" s="2">
        <v>4.507760031E9</v>
      </c>
      <c r="B2248" s="72">
        <v>7.965101E7</v>
      </c>
      <c r="C2248" s="74">
        <v>46215.959175358796</v>
      </c>
      <c r="D2248" s="2" t="s">
        <v>628</v>
      </c>
      <c r="F2248" s="2" t="s">
        <v>2504</v>
      </c>
      <c r="G2248" s="72">
        <v>3.19855583E8</v>
      </c>
    </row>
    <row r="2249">
      <c r="A2249" s="2">
        <v>4.802428789E9</v>
      </c>
      <c r="B2249" s="72">
        <v>8.3272424E7</v>
      </c>
      <c r="C2249" s="74">
        <v>46233.958971921296</v>
      </c>
      <c r="D2249" s="2" t="s">
        <v>628</v>
      </c>
      <c r="F2249" s="2" t="s">
        <v>2505</v>
      </c>
      <c r="G2249" s="72">
        <v>3.32299713E8</v>
      </c>
    </row>
    <row r="2250">
      <c r="A2250" s="2">
        <v>4.807381999E9</v>
      </c>
      <c r="B2250" s="72">
        <v>8.2820076E7</v>
      </c>
      <c r="C2250" s="74">
        <v>46231.54509119213</v>
      </c>
      <c r="D2250" s="2" t="s">
        <v>628</v>
      </c>
      <c r="F2250" s="2" t="s">
        <v>630</v>
      </c>
      <c r="G2250" s="72">
        <v>3.30540643E8</v>
      </c>
    </row>
    <row r="2251">
      <c r="A2251" s="2">
        <v>4.807381999E9</v>
      </c>
      <c r="B2251" s="72">
        <v>8.2820076E7</v>
      </c>
      <c r="C2251" s="74">
        <v>46232.96206144676</v>
      </c>
      <c r="D2251" s="2" t="s">
        <v>628</v>
      </c>
      <c r="F2251" s="2" t="s">
        <v>717</v>
      </c>
      <c r="G2251" s="72">
        <v>3.31590578E8</v>
      </c>
    </row>
    <row r="2252">
      <c r="A2252" s="2">
        <v>5.04319113E9</v>
      </c>
      <c r="B2252" s="72">
        <v>8.1043457E7</v>
      </c>
      <c r="C2252" s="74">
        <v>46221.7188140162</v>
      </c>
      <c r="D2252" s="2" t="s">
        <v>628</v>
      </c>
      <c r="F2252" s="2" t="s">
        <v>997</v>
      </c>
      <c r="G2252" s="72">
        <v>3.23745357E8</v>
      </c>
    </row>
    <row r="2253">
      <c r="A2253" s="2">
        <v>5.04319113E9</v>
      </c>
      <c r="B2253" s="72">
        <v>8.1043457E7</v>
      </c>
      <c r="C2253" s="74">
        <v>46222.50254690972</v>
      </c>
      <c r="D2253" s="2" t="s">
        <v>705</v>
      </c>
      <c r="F2253" s="2" t="s">
        <v>2506</v>
      </c>
      <c r="G2253" s="72">
        <v>3.2424243E8</v>
      </c>
    </row>
    <row r="2254">
      <c r="A2254" s="2">
        <v>5.04319113E9</v>
      </c>
      <c r="B2254" s="72">
        <v>8.1043457E7</v>
      </c>
      <c r="C2254" s="74">
        <v>46222.54399371528</v>
      </c>
      <c r="D2254" s="2" t="s">
        <v>628</v>
      </c>
      <c r="F2254" s="2" t="s">
        <v>630</v>
      </c>
      <c r="G2254" s="72">
        <v>3.2433071E8</v>
      </c>
    </row>
    <row r="2255">
      <c r="A2255" s="2">
        <v>5.04319113E9</v>
      </c>
      <c r="B2255" s="72">
        <v>8.1043457E7</v>
      </c>
      <c r="C2255" s="74">
        <v>46223.95977918981</v>
      </c>
      <c r="D2255" s="2" t="s">
        <v>628</v>
      </c>
      <c r="F2255" s="2" t="s">
        <v>998</v>
      </c>
      <c r="G2255" s="72">
        <v>3.25363644E8</v>
      </c>
    </row>
    <row r="2256">
      <c r="A2256" s="2">
        <v>5.062611343E9</v>
      </c>
      <c r="B2256" s="72">
        <v>8.0279681E7</v>
      </c>
      <c r="C2256" s="74">
        <v>46215.96158001157</v>
      </c>
      <c r="D2256" s="2" t="s">
        <v>628</v>
      </c>
      <c r="F2256" s="2" t="s">
        <v>2507</v>
      </c>
      <c r="G2256" s="72">
        <v>3.19862853E8</v>
      </c>
    </row>
    <row r="2257">
      <c r="A2257" s="2">
        <v>5.064250509E9</v>
      </c>
      <c r="B2257" s="72">
        <v>8.2760923E7</v>
      </c>
      <c r="C2257" s="74">
        <v>46230.96158700231</v>
      </c>
      <c r="D2257" s="2" t="s">
        <v>628</v>
      </c>
      <c r="F2257" s="2" t="s">
        <v>2508</v>
      </c>
      <c r="G2257" s="72">
        <v>3.30272808E8</v>
      </c>
    </row>
    <row r="2258">
      <c r="A2258" s="2">
        <v>5.068668206E9</v>
      </c>
      <c r="B2258" s="72">
        <v>8.1435809E7</v>
      </c>
      <c r="C2258" s="74">
        <v>46222.96139715277</v>
      </c>
      <c r="D2258" s="2" t="s">
        <v>628</v>
      </c>
      <c r="F2258" s="2" t="s">
        <v>798</v>
      </c>
      <c r="G2258" s="72">
        <v>3.24727994E8</v>
      </c>
    </row>
    <row r="2259">
      <c r="A2259" s="2">
        <v>5.068668206E9</v>
      </c>
      <c r="C2259" s="74">
        <v>46221.75310731481</v>
      </c>
      <c r="D2259" s="2" t="s">
        <v>628</v>
      </c>
      <c r="F2259" s="2" t="s">
        <v>643</v>
      </c>
      <c r="G2259" s="72">
        <v>3.23779891E8</v>
      </c>
    </row>
    <row r="2260">
      <c r="A2260" s="2" t="s">
        <v>2509</v>
      </c>
      <c r="B2260" s="72">
        <v>1.2606782E7</v>
      </c>
      <c r="C2260" s="74">
        <v>46205.75329620371</v>
      </c>
      <c r="D2260" s="2" t="s">
        <v>628</v>
      </c>
      <c r="F2260" s="2" t="s">
        <v>2510</v>
      </c>
      <c r="G2260" s="72">
        <v>3.12839139E8</v>
      </c>
    </row>
    <row r="2261">
      <c r="A2261" s="2" t="s">
        <v>2509</v>
      </c>
      <c r="B2261" s="72">
        <v>1.2606782E7</v>
      </c>
      <c r="C2261" s="74">
        <v>46207.96059354166</v>
      </c>
      <c r="D2261" s="2" t="s">
        <v>628</v>
      </c>
      <c r="F2261" s="2" t="s">
        <v>2511</v>
      </c>
      <c r="G2261" s="72">
        <v>3.14483637E8</v>
      </c>
    </row>
    <row r="2262">
      <c r="A2262" s="2" t="s">
        <v>2509</v>
      </c>
      <c r="B2262" s="72">
        <v>1.2606782E7</v>
      </c>
      <c r="C2262" s="74">
        <v>46207.54452527778</v>
      </c>
      <c r="D2262" s="2" t="s">
        <v>628</v>
      </c>
      <c r="F2262" s="2" t="s">
        <v>630</v>
      </c>
      <c r="G2262" s="72">
        <v>3.14086053E8</v>
      </c>
    </row>
    <row r="2263">
      <c r="A2263" s="2">
        <v>5.082075331E9</v>
      </c>
      <c r="B2263" s="72">
        <v>7.9774292E7</v>
      </c>
      <c r="C2263" s="74">
        <v>46213.96086255787</v>
      </c>
      <c r="D2263" s="2" t="s">
        <v>628</v>
      </c>
      <c r="F2263" s="2" t="s">
        <v>2512</v>
      </c>
      <c r="G2263" s="72">
        <v>3.18409715E8</v>
      </c>
    </row>
    <row r="2264">
      <c r="A2264" s="2">
        <v>5.082075331E9</v>
      </c>
      <c r="B2264" s="72">
        <v>7.9774292E7</v>
      </c>
      <c r="C2264" s="74">
        <v>46212.95634346065</v>
      </c>
      <c r="D2264" s="2" t="s">
        <v>628</v>
      </c>
      <c r="F2264" s="2" t="s">
        <v>2513</v>
      </c>
      <c r="G2264" s="72">
        <v>3.1765245E8</v>
      </c>
    </row>
    <row r="2265">
      <c r="A2265" s="2">
        <v>5.082121747E9</v>
      </c>
      <c r="B2265" s="72">
        <v>7.9833019E7</v>
      </c>
      <c r="C2265" s="74">
        <v>46214.96018849537</v>
      </c>
      <c r="D2265" s="2" t="s">
        <v>628</v>
      </c>
      <c r="F2265" s="2" t="s">
        <v>1487</v>
      </c>
      <c r="G2265" s="72">
        <v>3.19133802E8</v>
      </c>
    </row>
    <row r="2266">
      <c r="A2266" s="2">
        <v>5.082121747E9</v>
      </c>
      <c r="C2266" s="74">
        <v>46211.75274575231</v>
      </c>
      <c r="D2266" s="2" t="s">
        <v>628</v>
      </c>
      <c r="F2266" s="2" t="s">
        <v>2514</v>
      </c>
      <c r="G2266" s="72">
        <v>3.16797047E8</v>
      </c>
    </row>
    <row r="2267">
      <c r="A2267" s="2">
        <v>5.082121747E9</v>
      </c>
      <c r="B2267" s="72">
        <v>7.9833019E7</v>
      </c>
      <c r="C2267" s="74">
        <v>46213.544355034726</v>
      </c>
      <c r="D2267" s="2" t="s">
        <v>628</v>
      </c>
      <c r="F2267" s="2" t="s">
        <v>630</v>
      </c>
      <c r="G2267" s="72">
        <v>3.17943946E8</v>
      </c>
    </row>
    <row r="2268">
      <c r="A2268" s="2">
        <v>5.082434614E9</v>
      </c>
      <c r="C2268" s="74">
        <v>46233.75083881944</v>
      </c>
      <c r="D2268" s="2" t="s">
        <v>628</v>
      </c>
      <c r="F2268" s="2" t="s">
        <v>2119</v>
      </c>
      <c r="G2268" s="72">
        <v>3.32057405E8</v>
      </c>
    </row>
    <row r="2269">
      <c r="A2269" s="2">
        <v>5.082436006E9</v>
      </c>
      <c r="B2269" s="72">
        <v>7.8322259E7</v>
      </c>
      <c r="C2269" s="74">
        <v>46204.961462708336</v>
      </c>
      <c r="D2269" s="2" t="s">
        <v>628</v>
      </c>
      <c r="F2269" s="2" t="s">
        <v>1240</v>
      </c>
      <c r="G2269" s="72">
        <v>3.12386294E8</v>
      </c>
    </row>
    <row r="2270">
      <c r="A2270" s="2">
        <v>5.082770386E9</v>
      </c>
      <c r="B2270" s="72">
        <v>7.9775922E7</v>
      </c>
      <c r="C2270" s="74">
        <v>46212.96124548611</v>
      </c>
      <c r="D2270" s="2" t="s">
        <v>628</v>
      </c>
      <c r="F2270" s="2" t="s">
        <v>1998</v>
      </c>
      <c r="G2270" s="72">
        <v>3.17662282E8</v>
      </c>
    </row>
    <row r="2271">
      <c r="A2271" s="2">
        <v>5.082770386E9</v>
      </c>
      <c r="C2271" s="74">
        <v>46211.75271188657</v>
      </c>
      <c r="D2271" s="2" t="s">
        <v>628</v>
      </c>
      <c r="F2271" s="2" t="s">
        <v>642</v>
      </c>
      <c r="G2271" s="72">
        <v>3.16796785E8</v>
      </c>
    </row>
    <row r="2272">
      <c r="A2272" s="2">
        <v>5.0832642E9</v>
      </c>
      <c r="B2272" s="72">
        <v>8.1742378E7</v>
      </c>
      <c r="C2272" s="74">
        <v>46226.95932553241</v>
      </c>
      <c r="D2272" s="2" t="s">
        <v>628</v>
      </c>
      <c r="F2272" s="2" t="s">
        <v>849</v>
      </c>
      <c r="G2272" s="72">
        <v>3.27334263E8</v>
      </c>
    </row>
    <row r="2273">
      <c r="A2273" s="2">
        <v>5.083269186E9</v>
      </c>
      <c r="B2273" s="72">
        <v>8.2513775E7</v>
      </c>
      <c r="C2273" s="74">
        <v>46229.96171628472</v>
      </c>
      <c r="D2273" s="2" t="s">
        <v>628</v>
      </c>
      <c r="F2273" s="2" t="s">
        <v>1690</v>
      </c>
      <c r="G2273" s="72">
        <v>3.29615639E8</v>
      </c>
    </row>
    <row r="2274">
      <c r="A2274" s="2">
        <v>5.083269186E9</v>
      </c>
      <c r="C2274" s="74">
        <v>46227.75346604167</v>
      </c>
      <c r="D2274" s="2" t="s">
        <v>628</v>
      </c>
      <c r="F2274" s="2" t="s">
        <v>1691</v>
      </c>
      <c r="G2274" s="72">
        <v>3.2788129E8</v>
      </c>
    </row>
    <row r="2275">
      <c r="A2275" s="2">
        <v>5.083269186E9</v>
      </c>
      <c r="B2275" s="72">
        <v>8.2513775E7</v>
      </c>
      <c r="C2275" s="74">
        <v>46229.546632314814</v>
      </c>
      <c r="D2275" s="2" t="s">
        <v>628</v>
      </c>
      <c r="F2275" s="2" t="s">
        <v>630</v>
      </c>
      <c r="G2275" s="72">
        <v>3.29229006E8</v>
      </c>
    </row>
    <row r="2276">
      <c r="A2276" s="2">
        <v>5.083352213E9</v>
      </c>
      <c r="C2276" s="74">
        <v>46209.7528934838</v>
      </c>
      <c r="D2276" s="2" t="s">
        <v>628</v>
      </c>
      <c r="F2276" s="2" t="s">
        <v>2515</v>
      </c>
      <c r="G2276" s="72">
        <v>3.15589387E8</v>
      </c>
    </row>
    <row r="2277">
      <c r="A2277" s="2">
        <v>5.083352213E9</v>
      </c>
      <c r="B2277" s="72">
        <v>7341091.0</v>
      </c>
      <c r="C2277" s="74">
        <v>46211.96095283565</v>
      </c>
      <c r="D2277" s="2" t="s">
        <v>628</v>
      </c>
      <c r="F2277" s="2" t="s">
        <v>2516</v>
      </c>
      <c r="G2277" s="72">
        <v>3.16988283E8</v>
      </c>
    </row>
    <row r="2278">
      <c r="A2278" s="2">
        <v>5.083352213E9</v>
      </c>
      <c r="B2278" s="72">
        <v>7341091.0</v>
      </c>
      <c r="C2278" s="74">
        <v>46211.5442544213</v>
      </c>
      <c r="D2278" s="2" t="s">
        <v>628</v>
      </c>
      <c r="F2278" s="2" t="s">
        <v>630</v>
      </c>
      <c r="G2278" s="72">
        <v>3.16610176E8</v>
      </c>
    </row>
    <row r="2279">
      <c r="A2279" s="2">
        <v>5.083353889E9</v>
      </c>
      <c r="B2279" s="72">
        <v>8.2979036E7</v>
      </c>
      <c r="C2279" s="74">
        <v>46232.96124938657</v>
      </c>
      <c r="D2279" s="2" t="s">
        <v>628</v>
      </c>
      <c r="F2279" s="2" t="s">
        <v>744</v>
      </c>
      <c r="G2279" s="72">
        <v>3.31588289E8</v>
      </c>
    </row>
    <row r="2280">
      <c r="A2280" s="2">
        <v>5.083353889E9</v>
      </c>
      <c r="B2280" s="72">
        <v>8.2979036E7</v>
      </c>
      <c r="C2280" s="74">
        <v>46232.545366527775</v>
      </c>
      <c r="D2280" s="2" t="s">
        <v>628</v>
      </c>
      <c r="F2280" s="2" t="s">
        <v>630</v>
      </c>
      <c r="G2280" s="72">
        <v>3.31188642E8</v>
      </c>
    </row>
    <row r="2281">
      <c r="A2281" s="2">
        <v>5.083353889E9</v>
      </c>
      <c r="B2281" s="72">
        <v>8.2979036E7</v>
      </c>
      <c r="C2281" s="74">
        <v>46230.75382150463</v>
      </c>
      <c r="D2281" s="2" t="s">
        <v>628</v>
      </c>
      <c r="F2281" s="2" t="s">
        <v>743</v>
      </c>
      <c r="G2281" s="72">
        <v>3.3006888E8</v>
      </c>
    </row>
    <row r="2282">
      <c r="A2282" s="2">
        <v>5.083388648E9</v>
      </c>
      <c r="B2282" s="72">
        <v>8.2344644E7</v>
      </c>
      <c r="C2282" s="74">
        <v>46229.96219712963</v>
      </c>
      <c r="D2282" s="2" t="s">
        <v>628</v>
      </c>
      <c r="F2282" s="2" t="s">
        <v>1709</v>
      </c>
      <c r="G2282" s="72">
        <v>3.29616956E8</v>
      </c>
    </row>
    <row r="2283">
      <c r="A2283" s="2">
        <v>5.083388648E9</v>
      </c>
      <c r="B2283" s="72">
        <v>8.2344644E7</v>
      </c>
      <c r="C2283" s="74">
        <v>46219.41630556713</v>
      </c>
      <c r="D2283" s="2" t="s">
        <v>705</v>
      </c>
      <c r="F2283" s="2" t="s">
        <v>2517</v>
      </c>
      <c r="G2283" s="72">
        <v>3.21905434E8</v>
      </c>
    </row>
    <row r="2284">
      <c r="A2284" s="2">
        <v>5.083388648E9</v>
      </c>
      <c r="B2284" s="72">
        <v>8.2344644E7</v>
      </c>
      <c r="C2284" s="74">
        <v>46228.545596655094</v>
      </c>
      <c r="D2284" s="2" t="s">
        <v>628</v>
      </c>
      <c r="F2284" s="2" t="s">
        <v>630</v>
      </c>
      <c r="G2284" s="72">
        <v>3.28444139E8</v>
      </c>
    </row>
    <row r="2285">
      <c r="A2285" s="2">
        <v>5.083615497E9</v>
      </c>
      <c r="B2285" s="72">
        <v>8.2271122E7</v>
      </c>
      <c r="C2285" s="74">
        <v>46227.95953969908</v>
      </c>
      <c r="D2285" s="2" t="s">
        <v>628</v>
      </c>
      <c r="F2285" s="2" t="s">
        <v>2518</v>
      </c>
      <c r="G2285" s="72">
        <v>3.28114569E8</v>
      </c>
    </row>
    <row r="2286">
      <c r="A2286" s="2">
        <v>5.083807899E9</v>
      </c>
      <c r="B2286" s="72">
        <v>7.9431536E7</v>
      </c>
      <c r="C2286" s="74">
        <v>46211.96168449074</v>
      </c>
      <c r="D2286" s="2" t="s">
        <v>628</v>
      </c>
      <c r="F2286" s="2" t="s">
        <v>715</v>
      </c>
      <c r="G2286" s="72">
        <v>3.16990417E8</v>
      </c>
    </row>
    <row r="2287">
      <c r="A2287" s="2">
        <v>5.083807899E9</v>
      </c>
      <c r="B2287" s="72">
        <v>7.9431536E7</v>
      </c>
      <c r="C2287" s="74">
        <v>46210.8899865162</v>
      </c>
      <c r="D2287" s="2" t="s">
        <v>628</v>
      </c>
      <c r="F2287" s="2" t="s">
        <v>714</v>
      </c>
      <c r="G2287" s="72">
        <v>3.16314956E8</v>
      </c>
    </row>
    <row r="2288">
      <c r="A2288" s="2">
        <v>5.083955201E9</v>
      </c>
      <c r="B2288" s="72">
        <v>8.1382434E7</v>
      </c>
      <c r="C2288" s="74">
        <v>46223.83970622685</v>
      </c>
      <c r="D2288" s="2" t="s">
        <v>667</v>
      </c>
      <c r="E2288" s="2" t="s">
        <v>1332</v>
      </c>
      <c r="F2288" s="2" t="s">
        <v>2519</v>
      </c>
      <c r="G2288" s="72">
        <v>3.25257116E8</v>
      </c>
    </row>
    <row r="2289">
      <c r="A2289" s="2">
        <v>5.083955201E9</v>
      </c>
      <c r="B2289" s="72">
        <v>8.1382434E7</v>
      </c>
      <c r="C2289" s="74">
        <v>46224.96113725695</v>
      </c>
      <c r="D2289" s="2" t="s">
        <v>628</v>
      </c>
      <c r="F2289" s="2" t="s">
        <v>1608</v>
      </c>
      <c r="G2289" s="72">
        <v>3.25989663E8</v>
      </c>
    </row>
    <row r="2290">
      <c r="A2290" s="2">
        <v>5.083955201E9</v>
      </c>
      <c r="B2290" s="72">
        <v>8.1382434E7</v>
      </c>
      <c r="C2290" s="74">
        <v>46222.753081006944</v>
      </c>
      <c r="D2290" s="2" t="s">
        <v>628</v>
      </c>
      <c r="F2290" s="2" t="s">
        <v>1606</v>
      </c>
      <c r="G2290" s="72">
        <v>3.24548907E8</v>
      </c>
    </row>
    <row r="2291">
      <c r="A2291" s="2">
        <v>5.083955201E9</v>
      </c>
      <c r="B2291" s="72">
        <v>8.1382434E7</v>
      </c>
      <c r="C2291" s="74">
        <v>46224.544547129626</v>
      </c>
      <c r="D2291" s="2" t="s">
        <v>628</v>
      </c>
      <c r="F2291" s="2" t="s">
        <v>630</v>
      </c>
      <c r="G2291" s="72">
        <v>3.25615599E8</v>
      </c>
    </row>
    <row r="2292">
      <c r="A2292" s="2">
        <v>5.083977231E9</v>
      </c>
      <c r="B2292" s="72">
        <v>8.0517813E7</v>
      </c>
      <c r="C2292" s="74">
        <v>46219.54495454861</v>
      </c>
      <c r="D2292" s="2" t="s">
        <v>628</v>
      </c>
      <c r="F2292" s="2" t="s">
        <v>630</v>
      </c>
      <c r="G2292" s="72">
        <v>3.22050462E8</v>
      </c>
    </row>
    <row r="2293">
      <c r="A2293" s="2">
        <v>5.083977231E9</v>
      </c>
      <c r="B2293" s="72">
        <v>8.0517813E7</v>
      </c>
      <c r="C2293" s="74">
        <v>46217.75314840278</v>
      </c>
      <c r="D2293" s="2" t="s">
        <v>628</v>
      </c>
      <c r="F2293" s="2" t="s">
        <v>2520</v>
      </c>
      <c r="G2293" s="72">
        <v>3.20926898E8</v>
      </c>
    </row>
    <row r="2294">
      <c r="A2294" s="2">
        <v>5.083977231E9</v>
      </c>
      <c r="B2294" s="72">
        <v>8.0517813E7</v>
      </c>
      <c r="C2294" s="74">
        <v>46219.961248217594</v>
      </c>
      <c r="D2294" s="2" t="s">
        <v>628</v>
      </c>
      <c r="F2294" s="2" t="s">
        <v>2521</v>
      </c>
      <c r="G2294" s="72">
        <v>3.22479628E8</v>
      </c>
    </row>
    <row r="2295">
      <c r="A2295" s="2">
        <v>5.084235882E9</v>
      </c>
      <c r="B2295" s="72">
        <v>4.1395265E7</v>
      </c>
      <c r="C2295" s="74">
        <v>46215.961041585644</v>
      </c>
      <c r="D2295" s="2" t="s">
        <v>628</v>
      </c>
      <c r="F2295" s="2" t="s">
        <v>2522</v>
      </c>
      <c r="G2295" s="72">
        <v>3.19861252E8</v>
      </c>
    </row>
    <row r="2296">
      <c r="A2296" s="2">
        <v>5.084235882E9</v>
      </c>
      <c r="B2296" s="72">
        <v>4.1395265E7</v>
      </c>
      <c r="C2296" s="74">
        <v>46214.752960046295</v>
      </c>
      <c r="D2296" s="2" t="s">
        <v>628</v>
      </c>
      <c r="F2296" s="2" t="s">
        <v>2523</v>
      </c>
      <c r="G2296" s="72">
        <v>3.18923426E8</v>
      </c>
    </row>
    <row r="2297">
      <c r="A2297" s="2">
        <v>5.084505443E9</v>
      </c>
      <c r="B2297" s="72">
        <v>8.2341907E7</v>
      </c>
      <c r="C2297" s="74">
        <v>46228.96102447917</v>
      </c>
      <c r="D2297" s="2" t="s">
        <v>628</v>
      </c>
      <c r="F2297" s="2" t="s">
        <v>2524</v>
      </c>
      <c r="G2297" s="72">
        <v>3.28866771E8</v>
      </c>
    </row>
    <row r="2298">
      <c r="A2298" s="2">
        <v>5.084505443E9</v>
      </c>
      <c r="B2298" s="72">
        <v>8.2341907E7</v>
      </c>
      <c r="C2298" s="74">
        <v>46228.54459497685</v>
      </c>
      <c r="D2298" s="2" t="s">
        <v>628</v>
      </c>
      <c r="F2298" s="2" t="s">
        <v>630</v>
      </c>
      <c r="G2298" s="72">
        <v>3.28427993E8</v>
      </c>
    </row>
    <row r="2299">
      <c r="A2299" s="2">
        <v>5.084505443E9</v>
      </c>
      <c r="C2299" s="74">
        <v>46226.75358496528</v>
      </c>
      <c r="D2299" s="2" t="s">
        <v>628</v>
      </c>
      <c r="F2299" s="2" t="s">
        <v>2525</v>
      </c>
      <c r="G2299" s="72">
        <v>3.27113826E8</v>
      </c>
    </row>
    <row r="2300">
      <c r="A2300" s="2">
        <v>5.084507163E9</v>
      </c>
      <c r="B2300" s="72">
        <v>8.1435171E7</v>
      </c>
      <c r="C2300" s="74">
        <v>46222.959976087965</v>
      </c>
      <c r="D2300" s="2" t="s">
        <v>628</v>
      </c>
      <c r="F2300" s="2" t="s">
        <v>2526</v>
      </c>
      <c r="G2300" s="72">
        <v>3.2472357E8</v>
      </c>
    </row>
    <row r="2301">
      <c r="A2301" s="2">
        <v>5.084515919E9</v>
      </c>
      <c r="B2301" s="72">
        <v>7.6647977E7</v>
      </c>
      <c r="C2301" s="74">
        <v>46220.96174829861</v>
      </c>
      <c r="D2301" s="2" t="s">
        <v>628</v>
      </c>
      <c r="F2301" s="2" t="s">
        <v>1303</v>
      </c>
      <c r="G2301" s="72">
        <v>3.23249451E8</v>
      </c>
    </row>
    <row r="2302">
      <c r="A2302" s="2">
        <v>5.084726664E9</v>
      </c>
      <c r="C2302" s="74">
        <v>46209.75365351852</v>
      </c>
      <c r="D2302" s="2" t="s">
        <v>628</v>
      </c>
      <c r="F2302" s="2" t="s">
        <v>2157</v>
      </c>
      <c r="G2302" s="72">
        <v>3.15594362E8</v>
      </c>
    </row>
    <row r="2303">
      <c r="A2303" s="2">
        <v>5.084726664E9</v>
      </c>
      <c r="B2303" s="72">
        <v>4119538.0</v>
      </c>
      <c r="C2303" s="74">
        <v>46211.54518903935</v>
      </c>
      <c r="D2303" s="2" t="s">
        <v>628</v>
      </c>
      <c r="F2303" s="2" t="s">
        <v>630</v>
      </c>
      <c r="G2303" s="72">
        <v>3.16623711E8</v>
      </c>
    </row>
    <row r="2304">
      <c r="A2304" s="2">
        <v>5.084989739E9</v>
      </c>
      <c r="B2304" s="72">
        <v>8.2449595E7</v>
      </c>
      <c r="C2304" s="74">
        <v>46228.95942211806</v>
      </c>
      <c r="D2304" s="2" t="s">
        <v>628</v>
      </c>
      <c r="F2304" s="2" t="s">
        <v>2527</v>
      </c>
      <c r="G2304" s="72">
        <v>3.2885742E8</v>
      </c>
    </row>
    <row r="2305">
      <c r="A2305" s="2">
        <v>5.0852536E9</v>
      </c>
      <c r="B2305" s="72">
        <v>8.2375579E7</v>
      </c>
      <c r="C2305" s="74">
        <v>46228.71627476852</v>
      </c>
      <c r="D2305" s="2" t="s">
        <v>628</v>
      </c>
      <c r="F2305" s="2" t="s">
        <v>2528</v>
      </c>
      <c r="G2305" s="72">
        <v>3.28614479E8</v>
      </c>
    </row>
    <row r="2306">
      <c r="A2306" s="2">
        <v>5.0852536E9</v>
      </c>
      <c r="B2306" s="72">
        <v>8.2375579E7</v>
      </c>
      <c r="C2306" s="74">
        <v>46228.96164912037</v>
      </c>
      <c r="D2306" s="2" t="s">
        <v>628</v>
      </c>
      <c r="F2306" s="2" t="s">
        <v>2529</v>
      </c>
      <c r="G2306" s="72">
        <v>3.28869503E8</v>
      </c>
    </row>
    <row r="2307">
      <c r="A2307" s="2">
        <v>5.0852536E9</v>
      </c>
      <c r="B2307" s="72">
        <v>8.2375579E7</v>
      </c>
      <c r="C2307" s="74">
        <v>46228.66479776621</v>
      </c>
      <c r="D2307" s="2" t="s">
        <v>705</v>
      </c>
      <c r="F2307" s="2" t="s">
        <v>2530</v>
      </c>
      <c r="G2307" s="72">
        <v>3.28555579E8</v>
      </c>
    </row>
    <row r="2308">
      <c r="A2308" s="2">
        <v>5.08649362E9</v>
      </c>
      <c r="B2308" s="72">
        <v>8.2604351E7</v>
      </c>
      <c r="C2308" s="74">
        <v>46229.95967575231</v>
      </c>
      <c r="D2308" s="2" t="s">
        <v>628</v>
      </c>
      <c r="F2308" s="2" t="s">
        <v>925</v>
      </c>
      <c r="G2308" s="72">
        <v>3.29608691E8</v>
      </c>
    </row>
    <row r="2309">
      <c r="A2309" s="2">
        <v>5.086866851E9</v>
      </c>
      <c r="B2309" s="72">
        <v>8.0660477E7</v>
      </c>
      <c r="C2309" s="74">
        <v>46218.95973785879</v>
      </c>
      <c r="D2309" s="2" t="s">
        <v>628</v>
      </c>
      <c r="F2309" s="2" t="s">
        <v>660</v>
      </c>
      <c r="G2309" s="72">
        <v>3.21767392E8</v>
      </c>
    </row>
    <row r="2310">
      <c r="A2310" s="2">
        <v>5.086866851E9</v>
      </c>
      <c r="B2310" s="72">
        <v>8.0660477E7</v>
      </c>
      <c r="C2310" s="74">
        <v>46218.70731704861</v>
      </c>
      <c r="D2310" s="2" t="s">
        <v>628</v>
      </c>
      <c r="F2310" s="2" t="s">
        <v>659</v>
      </c>
      <c r="G2310" s="72">
        <v>3.21524705E8</v>
      </c>
    </row>
    <row r="2311">
      <c r="A2311" s="2">
        <v>5.087356638E9</v>
      </c>
      <c r="B2311" s="72">
        <v>8.3273236E7</v>
      </c>
      <c r="C2311" s="74">
        <v>46233.68987541666</v>
      </c>
      <c r="D2311" s="2" t="s">
        <v>628</v>
      </c>
      <c r="F2311" s="2" t="s">
        <v>2531</v>
      </c>
      <c r="G2311" s="72">
        <v>3.32016972E8</v>
      </c>
    </row>
    <row r="2312">
      <c r="A2312" s="2">
        <v>5.087356638E9</v>
      </c>
      <c r="B2312" s="72">
        <v>8.3273236E7</v>
      </c>
      <c r="C2312" s="74">
        <v>46233.960581666666</v>
      </c>
      <c r="D2312" s="2" t="s">
        <v>628</v>
      </c>
      <c r="F2312" s="2" t="s">
        <v>2532</v>
      </c>
      <c r="G2312" s="72">
        <v>3.32306187E8</v>
      </c>
    </row>
    <row r="2313">
      <c r="A2313" s="2">
        <v>5.087363707E9</v>
      </c>
      <c r="B2313" s="72">
        <v>3134120.0</v>
      </c>
      <c r="C2313" s="74">
        <v>46234.7510072338</v>
      </c>
      <c r="D2313" s="2" t="s">
        <v>628</v>
      </c>
      <c r="F2313" s="2" t="s">
        <v>2533</v>
      </c>
      <c r="G2313" s="72">
        <v>3.32836211E8</v>
      </c>
    </row>
    <row r="2314">
      <c r="A2314" s="2">
        <v>5.087695477E9</v>
      </c>
      <c r="B2314" s="72">
        <v>8.265427E7</v>
      </c>
      <c r="C2314" s="74">
        <v>46230.54472987269</v>
      </c>
      <c r="D2314" s="2" t="s">
        <v>628</v>
      </c>
      <c r="F2314" s="2" t="s">
        <v>630</v>
      </c>
      <c r="G2314" s="72">
        <v>3.29862353E8</v>
      </c>
    </row>
    <row r="2315">
      <c r="A2315" s="2">
        <v>5.087695477E9</v>
      </c>
      <c r="B2315" s="72">
        <v>8.265427E7</v>
      </c>
      <c r="C2315" s="74">
        <v>46230.96091819444</v>
      </c>
      <c r="D2315" s="2" t="s">
        <v>628</v>
      </c>
      <c r="F2315" s="2" t="s">
        <v>762</v>
      </c>
      <c r="G2315" s="72">
        <v>3.30270846E8</v>
      </c>
    </row>
    <row r="2316">
      <c r="A2316" s="2">
        <v>5.0876972E9</v>
      </c>
      <c r="B2316" s="72">
        <v>1.118378E7</v>
      </c>
      <c r="C2316" s="74">
        <v>46226.75321142361</v>
      </c>
      <c r="D2316" s="2" t="s">
        <v>628</v>
      </c>
      <c r="F2316" s="2" t="s">
        <v>2534</v>
      </c>
      <c r="G2316" s="72">
        <v>3.27111173E8</v>
      </c>
    </row>
    <row r="2317">
      <c r="A2317" s="2">
        <v>5.0876972E9</v>
      </c>
      <c r="B2317" s="72">
        <v>1.118378E7</v>
      </c>
      <c r="C2317" s="74">
        <v>46227.72373217593</v>
      </c>
      <c r="D2317" s="2" t="s">
        <v>667</v>
      </c>
      <c r="E2317" s="2" t="s">
        <v>703</v>
      </c>
      <c r="F2317" s="2" t="s">
        <v>2535</v>
      </c>
      <c r="G2317" s="72">
        <v>3.27844546E8</v>
      </c>
    </row>
    <row r="2318">
      <c r="A2318" s="2">
        <v>5.0876972E9</v>
      </c>
      <c r="B2318" s="72">
        <v>1.118378E7</v>
      </c>
      <c r="C2318" s="74">
        <v>46228.960770000005</v>
      </c>
      <c r="D2318" s="2" t="s">
        <v>628</v>
      </c>
      <c r="F2318" s="2" t="s">
        <v>2536</v>
      </c>
      <c r="G2318" s="72">
        <v>3.28865563E8</v>
      </c>
    </row>
    <row r="2319">
      <c r="A2319" s="2">
        <v>5.0876972E9</v>
      </c>
      <c r="B2319" s="72">
        <v>1.118378E7</v>
      </c>
      <c r="C2319" s="74">
        <v>46228.544630115735</v>
      </c>
      <c r="D2319" s="2" t="s">
        <v>628</v>
      </c>
      <c r="F2319" s="2" t="s">
        <v>630</v>
      </c>
      <c r="G2319" s="72">
        <v>3.28428589E8</v>
      </c>
    </row>
    <row r="2320">
      <c r="A2320" s="2">
        <v>5.087699559E9</v>
      </c>
      <c r="B2320" s="72">
        <v>8.1013873E7</v>
      </c>
      <c r="C2320" s="74">
        <v>46220.695646527776</v>
      </c>
      <c r="D2320" s="2" t="s">
        <v>705</v>
      </c>
      <c r="F2320" s="2" t="s">
        <v>2537</v>
      </c>
      <c r="G2320" s="72">
        <v>3.22948418E8</v>
      </c>
    </row>
    <row r="2321">
      <c r="A2321" s="2">
        <v>5.087699559E9</v>
      </c>
      <c r="B2321" s="72">
        <v>8.1013873E7</v>
      </c>
      <c r="C2321" s="74">
        <v>46221.961701493055</v>
      </c>
      <c r="D2321" s="2" t="s">
        <v>628</v>
      </c>
      <c r="F2321" s="2" t="s">
        <v>2310</v>
      </c>
      <c r="G2321" s="72">
        <v>3.24001915E8</v>
      </c>
    </row>
    <row r="2322">
      <c r="A2322" s="2">
        <v>5.087699559E9</v>
      </c>
      <c r="B2322" s="72">
        <v>8.1013873E7</v>
      </c>
      <c r="C2322" s="74">
        <v>46221.54540368056</v>
      </c>
      <c r="D2322" s="2" t="s">
        <v>628</v>
      </c>
      <c r="F2322" s="2" t="s">
        <v>630</v>
      </c>
      <c r="G2322" s="72">
        <v>3.2356271E8</v>
      </c>
    </row>
    <row r="2323">
      <c r="A2323" s="2">
        <v>5.087699559E9</v>
      </c>
      <c r="B2323" s="72">
        <v>8.1013873E7</v>
      </c>
      <c r="C2323" s="74">
        <v>46220.69337282407</v>
      </c>
      <c r="D2323" s="2" t="s">
        <v>628</v>
      </c>
      <c r="F2323" s="2" t="s">
        <v>2312</v>
      </c>
      <c r="G2323" s="72">
        <v>3.2294739E8</v>
      </c>
    </row>
    <row r="2324">
      <c r="A2324" s="2">
        <v>5.088378963E9</v>
      </c>
      <c r="B2324" s="72">
        <v>8.3468333E7</v>
      </c>
      <c r="C2324" s="74">
        <v>46233.752390023146</v>
      </c>
      <c r="D2324" s="2" t="s">
        <v>628</v>
      </c>
      <c r="F2324" s="2" t="s">
        <v>2008</v>
      </c>
      <c r="G2324" s="72">
        <v>3.32069956E8</v>
      </c>
    </row>
    <row r="2325">
      <c r="A2325" s="2">
        <v>5.088378963E9</v>
      </c>
      <c r="B2325" s="72">
        <v>8.3468333E7</v>
      </c>
      <c r="C2325" s="74">
        <v>46234.95970958333</v>
      </c>
      <c r="D2325" s="2" t="s">
        <v>628</v>
      </c>
      <c r="F2325" s="2" t="s">
        <v>2007</v>
      </c>
      <c r="G2325" s="72">
        <v>3.33097043E8</v>
      </c>
    </row>
    <row r="2326">
      <c r="A2326" s="2">
        <v>5.08838877E9</v>
      </c>
      <c r="B2326" s="72">
        <v>8.073888E7</v>
      </c>
      <c r="C2326" s="74">
        <v>46218.95971920139</v>
      </c>
      <c r="D2326" s="2" t="s">
        <v>628</v>
      </c>
      <c r="F2326" s="2" t="s">
        <v>1487</v>
      </c>
      <c r="G2326" s="72">
        <v>3.21767327E8</v>
      </c>
    </row>
    <row r="2327">
      <c r="A2327" s="2">
        <v>5.08838877E9</v>
      </c>
      <c r="C2327" s="74">
        <v>46217.75280527778</v>
      </c>
      <c r="D2327" s="2" t="s">
        <v>628</v>
      </c>
      <c r="F2327" s="2" t="s">
        <v>2514</v>
      </c>
      <c r="G2327" s="72">
        <v>3.20924107E8</v>
      </c>
    </row>
    <row r="2328">
      <c r="A2328" s="2">
        <v>5.088405029E9</v>
      </c>
      <c r="B2328" s="72">
        <v>7.975755E7</v>
      </c>
      <c r="C2328" s="74">
        <v>46214.96121376158</v>
      </c>
      <c r="D2328" s="2" t="s">
        <v>628</v>
      </c>
      <c r="F2328" s="2" t="s">
        <v>1942</v>
      </c>
      <c r="G2328" s="72">
        <v>3.19139104E8</v>
      </c>
    </row>
    <row r="2329">
      <c r="A2329" s="2">
        <v>5.088405029E9</v>
      </c>
      <c r="B2329" s="72">
        <v>7.975755E7</v>
      </c>
      <c r="C2329" s="74">
        <v>46214.54474819444</v>
      </c>
      <c r="D2329" s="2" t="s">
        <v>628</v>
      </c>
      <c r="F2329" s="2" t="s">
        <v>630</v>
      </c>
      <c r="G2329" s="72">
        <v>3.1871722E8</v>
      </c>
    </row>
    <row r="2330">
      <c r="A2330" s="2">
        <v>5.088405029E9</v>
      </c>
      <c r="B2330" s="72">
        <v>7.975755E7</v>
      </c>
      <c r="C2330" s="74">
        <v>46212.88387006945</v>
      </c>
      <c r="D2330" s="2" t="s">
        <v>628</v>
      </c>
      <c r="F2330" s="2" t="s">
        <v>1943</v>
      </c>
      <c r="G2330" s="72">
        <v>3.17594199E8</v>
      </c>
    </row>
    <row r="2331">
      <c r="A2331" s="2">
        <v>5.088477656E9</v>
      </c>
      <c r="B2331" s="72">
        <v>8.2604628E7</v>
      </c>
      <c r="C2331" s="74">
        <v>46229.96033450231</v>
      </c>
      <c r="D2331" s="2" t="s">
        <v>628</v>
      </c>
      <c r="F2331" s="2" t="s">
        <v>2538</v>
      </c>
      <c r="G2331" s="72">
        <v>3.29610975E8</v>
      </c>
    </row>
    <row r="2332">
      <c r="A2332" s="2">
        <v>5.089321655E9</v>
      </c>
      <c r="B2332" s="72">
        <v>8.0923981E7</v>
      </c>
      <c r="C2332" s="74">
        <v>46219.96167916666</v>
      </c>
      <c r="D2332" s="2" t="s">
        <v>628</v>
      </c>
      <c r="F2332" s="2" t="s">
        <v>1509</v>
      </c>
      <c r="G2332" s="72">
        <v>3.22481179E8</v>
      </c>
    </row>
    <row r="2333">
      <c r="A2333" s="2">
        <v>5.08954007E9</v>
      </c>
      <c r="B2333" s="72">
        <v>8.2071057E7</v>
      </c>
      <c r="C2333" s="74">
        <v>46228.9618122338</v>
      </c>
      <c r="D2333" s="2" t="s">
        <v>628</v>
      </c>
      <c r="F2333" s="2" t="s">
        <v>838</v>
      </c>
      <c r="G2333" s="72">
        <v>3.28870344E8</v>
      </c>
    </row>
    <row r="2334">
      <c r="A2334" s="2">
        <v>5.08954007E9</v>
      </c>
      <c r="B2334" s="72">
        <v>8.2071057E7</v>
      </c>
      <c r="C2334" s="74">
        <v>46228.545399282404</v>
      </c>
      <c r="D2334" s="2" t="s">
        <v>628</v>
      </c>
      <c r="F2334" s="2" t="s">
        <v>630</v>
      </c>
      <c r="G2334" s="72">
        <v>3.28442154E8</v>
      </c>
    </row>
    <row r="2335">
      <c r="A2335" s="2">
        <v>5.08954007E9</v>
      </c>
      <c r="B2335" s="72">
        <v>8.2071057E7</v>
      </c>
      <c r="C2335" s="74">
        <v>46226.91904216435</v>
      </c>
      <c r="D2335" s="2" t="s">
        <v>628</v>
      </c>
      <c r="F2335" s="2" t="s">
        <v>785</v>
      </c>
      <c r="G2335" s="72">
        <v>3.27302389E8</v>
      </c>
    </row>
    <row r="2336">
      <c r="A2336" s="2">
        <v>5.08954007E9</v>
      </c>
      <c r="B2336" s="72">
        <v>8.2071057E7</v>
      </c>
      <c r="C2336" s="74">
        <v>46228.89230008102</v>
      </c>
      <c r="D2336" s="2" t="s">
        <v>705</v>
      </c>
      <c r="F2336" s="2" t="s">
        <v>2539</v>
      </c>
      <c r="G2336" s="72">
        <v>3.28797238E8</v>
      </c>
    </row>
    <row r="2337">
      <c r="A2337" s="2">
        <v>5.089638572E9</v>
      </c>
      <c r="B2337" s="72">
        <v>8.2861422E7</v>
      </c>
      <c r="C2337" s="74">
        <v>46233.54561925926</v>
      </c>
      <c r="D2337" s="2" t="s">
        <v>628</v>
      </c>
      <c r="F2337" s="2" t="s">
        <v>630</v>
      </c>
      <c r="G2337" s="72">
        <v>3.31868092E8</v>
      </c>
    </row>
    <row r="2338">
      <c r="A2338" s="2">
        <v>5.089638572E9</v>
      </c>
      <c r="B2338" s="72">
        <v>8.2861422E7</v>
      </c>
      <c r="C2338" s="74">
        <v>46233.96142634259</v>
      </c>
      <c r="D2338" s="2" t="s">
        <v>628</v>
      </c>
      <c r="F2338" s="2" t="s">
        <v>2540</v>
      </c>
      <c r="G2338" s="72">
        <v>3.32309306E8</v>
      </c>
    </row>
    <row r="2339">
      <c r="A2339" s="2">
        <v>5.089638572E9</v>
      </c>
      <c r="B2339" s="72">
        <v>8.2861422E7</v>
      </c>
      <c r="C2339" s="74">
        <v>46231.75302719907</v>
      </c>
      <c r="D2339" s="2" t="s">
        <v>628</v>
      </c>
      <c r="F2339" s="2" t="s">
        <v>2541</v>
      </c>
      <c r="G2339" s="72">
        <v>3.30727801E8</v>
      </c>
    </row>
    <row r="2340">
      <c r="A2340" s="2">
        <v>5.089674995E9</v>
      </c>
      <c r="B2340" s="72">
        <v>1.2661362E7</v>
      </c>
      <c r="C2340" s="74">
        <v>46231.96170983797</v>
      </c>
      <c r="D2340" s="2" t="s">
        <v>628</v>
      </c>
      <c r="F2340" s="2" t="s">
        <v>660</v>
      </c>
      <c r="G2340" s="72">
        <v>3.30921564E8</v>
      </c>
    </row>
    <row r="2341">
      <c r="A2341" s="2">
        <v>5.089674995E9</v>
      </c>
      <c r="B2341" s="72">
        <v>1.2661362E7</v>
      </c>
      <c r="C2341" s="74">
        <v>46230.545870856484</v>
      </c>
      <c r="D2341" s="2" t="s">
        <v>628</v>
      </c>
      <c r="F2341" s="2" t="s">
        <v>630</v>
      </c>
      <c r="G2341" s="72">
        <v>3.29880535E8</v>
      </c>
    </row>
    <row r="2342">
      <c r="A2342" s="2">
        <v>5.089674995E9</v>
      </c>
      <c r="C2342" s="74">
        <v>46228.75412320602</v>
      </c>
      <c r="D2342" s="2" t="s">
        <v>628</v>
      </c>
      <c r="F2342" s="2" t="s">
        <v>659</v>
      </c>
      <c r="G2342" s="72">
        <v>3.28655244E8</v>
      </c>
    </row>
    <row r="2343">
      <c r="A2343" s="2">
        <v>5.099306652E9</v>
      </c>
      <c r="B2343" s="72">
        <v>8.2340133E7</v>
      </c>
      <c r="C2343" s="74">
        <v>46228.96017203704</v>
      </c>
      <c r="D2343" s="2" t="s">
        <v>628</v>
      </c>
      <c r="F2343" s="2" t="s">
        <v>2542</v>
      </c>
      <c r="G2343" s="72">
        <v>3.28862469E8</v>
      </c>
    </row>
    <row r="2344">
      <c r="A2344" s="2">
        <v>5.099306652E9</v>
      </c>
      <c r="C2344" s="74">
        <v>46226.75379511574</v>
      </c>
      <c r="D2344" s="2" t="s">
        <v>628</v>
      </c>
      <c r="F2344" s="2" t="s">
        <v>2543</v>
      </c>
      <c r="G2344" s="72">
        <v>3.27115943E8</v>
      </c>
    </row>
    <row r="2345">
      <c r="A2345" s="2">
        <v>5.099306652E9</v>
      </c>
      <c r="B2345" s="72">
        <v>8.2340133E7</v>
      </c>
      <c r="C2345" s="74">
        <v>46228.54393184028</v>
      </c>
      <c r="D2345" s="2" t="s">
        <v>628</v>
      </c>
      <c r="F2345" s="2" t="s">
        <v>630</v>
      </c>
      <c r="G2345" s="72">
        <v>3.28417122E8</v>
      </c>
    </row>
    <row r="2346">
      <c r="A2346" s="2">
        <v>5.127918621E9</v>
      </c>
      <c r="B2346" s="72">
        <v>1.5494039E7</v>
      </c>
      <c r="C2346" s="74">
        <v>46205.54699805556</v>
      </c>
      <c r="D2346" s="2" t="s">
        <v>628</v>
      </c>
      <c r="F2346" s="2" t="s">
        <v>630</v>
      </c>
      <c r="G2346" s="72">
        <v>3.12653824E8</v>
      </c>
    </row>
    <row r="2347">
      <c r="A2347" s="2">
        <v>5.127918621E9</v>
      </c>
      <c r="B2347" s="72">
        <v>1.5494039E7</v>
      </c>
      <c r="C2347" s="74">
        <v>46207.96184659722</v>
      </c>
      <c r="D2347" s="2" t="s">
        <v>628</v>
      </c>
      <c r="F2347" s="2" t="s">
        <v>2544</v>
      </c>
      <c r="G2347" s="72">
        <v>3.14490306E8</v>
      </c>
    </row>
    <row r="2348">
      <c r="A2348" s="2">
        <v>5.13919479E9</v>
      </c>
      <c r="B2348" s="72">
        <v>8.1174975E7</v>
      </c>
      <c r="C2348" s="74">
        <v>46222.96038899306</v>
      </c>
      <c r="D2348" s="2" t="s">
        <v>628</v>
      </c>
      <c r="F2348" s="2" t="s">
        <v>947</v>
      </c>
      <c r="G2348" s="72">
        <v>3.24725103E8</v>
      </c>
    </row>
    <row r="2349">
      <c r="A2349" s="2">
        <v>5.13919479E9</v>
      </c>
      <c r="B2349" s="72">
        <v>8.1174975E7</v>
      </c>
      <c r="C2349" s="74">
        <v>46221.54389252314</v>
      </c>
      <c r="D2349" s="2" t="s">
        <v>628</v>
      </c>
      <c r="F2349" s="2" t="s">
        <v>630</v>
      </c>
      <c r="G2349" s="72">
        <v>3.2354295E8</v>
      </c>
    </row>
    <row r="2350">
      <c r="A2350" s="2">
        <v>5.13919479E9</v>
      </c>
      <c r="C2350" s="74">
        <v>46219.753020648146</v>
      </c>
      <c r="D2350" s="2" t="s">
        <v>628</v>
      </c>
      <c r="F2350" s="2" t="s">
        <v>943</v>
      </c>
      <c r="G2350" s="72">
        <v>3.22246833E8</v>
      </c>
    </row>
    <row r="2351">
      <c r="A2351" s="2" t="s">
        <v>2545</v>
      </c>
      <c r="B2351" s="72">
        <v>9485544.0</v>
      </c>
      <c r="C2351" s="74">
        <v>46225.54354811343</v>
      </c>
      <c r="D2351" s="2" t="s">
        <v>628</v>
      </c>
      <c r="F2351" s="2" t="s">
        <v>630</v>
      </c>
      <c r="G2351" s="72">
        <v>3.26224918E8</v>
      </c>
    </row>
    <row r="2352">
      <c r="A2352" s="2" t="s">
        <v>2545</v>
      </c>
      <c r="B2352" s="72">
        <v>9485544.0</v>
      </c>
      <c r="C2352" s="74">
        <v>46223.75174337963</v>
      </c>
      <c r="D2352" s="2" t="s">
        <v>628</v>
      </c>
      <c r="F2352" s="2" t="s">
        <v>683</v>
      </c>
      <c r="G2352" s="72">
        <v>3.25165479E8</v>
      </c>
    </row>
    <row r="2353">
      <c r="A2353" s="2" t="s">
        <v>2545</v>
      </c>
      <c r="B2353" s="72">
        <v>9485544.0</v>
      </c>
      <c r="C2353" s="74">
        <v>46226.960792812504</v>
      </c>
      <c r="D2353" s="2" t="s">
        <v>628</v>
      </c>
      <c r="F2353" s="2" t="s">
        <v>717</v>
      </c>
      <c r="G2353" s="72">
        <v>3.2733954E8</v>
      </c>
    </row>
    <row r="2354">
      <c r="A2354" s="2">
        <v>5.142094059E9</v>
      </c>
      <c r="B2354" s="72">
        <v>8.2512462E7</v>
      </c>
      <c r="C2354" s="74">
        <v>46229.545905590276</v>
      </c>
      <c r="D2354" s="2" t="s">
        <v>628</v>
      </c>
      <c r="F2354" s="2" t="s">
        <v>630</v>
      </c>
      <c r="G2354" s="72">
        <v>3.29218729E8</v>
      </c>
    </row>
    <row r="2355">
      <c r="A2355" s="2">
        <v>5.142094059E9</v>
      </c>
      <c r="B2355" s="72">
        <v>8.2512462E7</v>
      </c>
      <c r="C2355" s="74">
        <v>46229.96120644676</v>
      </c>
      <c r="D2355" s="2" t="s">
        <v>628</v>
      </c>
      <c r="F2355" s="2" t="s">
        <v>2546</v>
      </c>
      <c r="G2355" s="72">
        <v>3.29613828E8</v>
      </c>
    </row>
    <row r="2356">
      <c r="A2356" s="2">
        <v>5.144022633E9</v>
      </c>
      <c r="B2356" s="72">
        <v>8.1898861E7</v>
      </c>
      <c r="C2356" s="74">
        <v>46227.54645613426</v>
      </c>
      <c r="D2356" s="2" t="s">
        <v>628</v>
      </c>
      <c r="F2356" s="2" t="s">
        <v>630</v>
      </c>
      <c r="G2356" s="72">
        <v>3.27660873E8</v>
      </c>
    </row>
    <row r="2357">
      <c r="A2357" s="2">
        <v>5.144022633E9</v>
      </c>
      <c r="B2357" s="72">
        <v>8.1898861E7</v>
      </c>
      <c r="C2357" s="74">
        <v>46228.96205715278</v>
      </c>
      <c r="D2357" s="2" t="s">
        <v>628</v>
      </c>
      <c r="F2357" s="2" t="s">
        <v>709</v>
      </c>
      <c r="G2357" s="72">
        <v>3.28871447E8</v>
      </c>
    </row>
    <row r="2358">
      <c r="A2358" s="2">
        <v>5.144022633E9</v>
      </c>
      <c r="B2358" s="72">
        <v>8.1898861E7</v>
      </c>
      <c r="C2358" s="74">
        <v>46225.95757486111</v>
      </c>
      <c r="D2358" s="2" t="s">
        <v>628</v>
      </c>
      <c r="F2358" s="2" t="s">
        <v>708</v>
      </c>
      <c r="G2358" s="72">
        <v>3.26626498E8</v>
      </c>
    </row>
    <row r="2359">
      <c r="A2359" s="2">
        <v>5.144444594E9</v>
      </c>
      <c r="B2359" s="72">
        <v>8.3339128E7</v>
      </c>
      <c r="C2359" s="74">
        <v>46234.96166137731</v>
      </c>
      <c r="D2359" s="2" t="s">
        <v>628</v>
      </c>
      <c r="F2359" s="2" t="s">
        <v>648</v>
      </c>
      <c r="G2359" s="72">
        <v>3.33103834E8</v>
      </c>
    </row>
    <row r="2360">
      <c r="A2360" s="2">
        <v>5.144444594E9</v>
      </c>
      <c r="B2360" s="72">
        <v>8.3339128E7</v>
      </c>
      <c r="C2360" s="74">
        <v>46234.54565846064</v>
      </c>
      <c r="D2360" s="2" t="s">
        <v>628</v>
      </c>
      <c r="F2360" s="2" t="s">
        <v>630</v>
      </c>
      <c r="G2360" s="72">
        <v>3.32632163E8</v>
      </c>
    </row>
    <row r="2361">
      <c r="A2361" s="2">
        <v>5.145033596E9</v>
      </c>
      <c r="B2361" s="72">
        <v>8.2338411E7</v>
      </c>
      <c r="C2361" s="74">
        <v>46228.543185057875</v>
      </c>
      <c r="D2361" s="2" t="s">
        <v>628</v>
      </c>
      <c r="F2361" s="2" t="s">
        <v>630</v>
      </c>
      <c r="G2361" s="72">
        <v>3.28407105E8</v>
      </c>
    </row>
    <row r="2362">
      <c r="A2362" s="2">
        <v>5.145033596E9</v>
      </c>
      <c r="B2362" s="72">
        <v>8.2338411E7</v>
      </c>
      <c r="C2362" s="74">
        <v>46228.95955255787</v>
      </c>
      <c r="D2362" s="2" t="s">
        <v>628</v>
      </c>
      <c r="F2362" s="2" t="s">
        <v>1200</v>
      </c>
      <c r="G2362" s="72">
        <v>3.28858127E8</v>
      </c>
    </row>
    <row r="2363">
      <c r="A2363" s="2">
        <v>5.146099595E9</v>
      </c>
      <c r="B2363" s="72">
        <v>8.0797042E7</v>
      </c>
      <c r="C2363" s="74">
        <v>46219.96160671297</v>
      </c>
      <c r="D2363" s="2" t="s">
        <v>628</v>
      </c>
      <c r="F2363" s="2" t="s">
        <v>2547</v>
      </c>
      <c r="G2363" s="72">
        <v>3.22480931E8</v>
      </c>
    </row>
    <row r="2364">
      <c r="A2364" s="2">
        <v>5.146099595E9</v>
      </c>
      <c r="B2364" s="72">
        <v>8.0797042E7</v>
      </c>
      <c r="C2364" s="74">
        <v>46219.54500950231</v>
      </c>
      <c r="D2364" s="2" t="s">
        <v>628</v>
      </c>
      <c r="F2364" s="2" t="s">
        <v>630</v>
      </c>
      <c r="G2364" s="72">
        <v>3.22051485E8</v>
      </c>
    </row>
    <row r="2365">
      <c r="A2365" s="2">
        <v>5.147091822E9</v>
      </c>
      <c r="B2365" s="72">
        <v>8.1484593E7</v>
      </c>
      <c r="C2365" s="74">
        <v>46224.066723020835</v>
      </c>
      <c r="D2365" s="2" t="s">
        <v>628</v>
      </c>
      <c r="F2365" s="2" t="s">
        <v>2548</v>
      </c>
      <c r="G2365" s="72">
        <v>3.25441537E8</v>
      </c>
    </row>
    <row r="2366">
      <c r="A2366" s="2">
        <v>5.147091822E9</v>
      </c>
      <c r="B2366" s="72">
        <v>8.1484593E7</v>
      </c>
      <c r="C2366" s="74">
        <v>46223.543828553244</v>
      </c>
      <c r="D2366" s="2" t="s">
        <v>628</v>
      </c>
      <c r="F2366" s="2" t="s">
        <v>630</v>
      </c>
      <c r="G2366" s="72">
        <v>3.24971452E8</v>
      </c>
    </row>
    <row r="2367">
      <c r="A2367" s="2">
        <v>5.147706192E9</v>
      </c>
      <c r="B2367" s="72">
        <v>8.0206937E7</v>
      </c>
      <c r="C2367" s="74">
        <v>46218.959966469905</v>
      </c>
      <c r="D2367" s="2" t="s">
        <v>628</v>
      </c>
      <c r="F2367" s="2" t="s">
        <v>2508</v>
      </c>
      <c r="G2367" s="72">
        <v>3.21768159E8</v>
      </c>
    </row>
    <row r="2368">
      <c r="A2368" s="2">
        <v>5.147706192E9</v>
      </c>
      <c r="B2368" s="72">
        <v>8.0206937E7</v>
      </c>
      <c r="C2368" s="74">
        <v>46215.65796974537</v>
      </c>
      <c r="D2368" s="2" t="s">
        <v>628</v>
      </c>
      <c r="F2368" s="2" t="s">
        <v>2162</v>
      </c>
      <c r="G2368" s="72">
        <v>3.19604251E8</v>
      </c>
    </row>
    <row r="2369">
      <c r="A2369" s="2">
        <v>5.147706192E9</v>
      </c>
      <c r="B2369" s="72">
        <v>8.0206937E7</v>
      </c>
      <c r="C2369" s="74">
        <v>46216.543235289355</v>
      </c>
      <c r="D2369" s="2" t="s">
        <v>628</v>
      </c>
      <c r="F2369" s="2" t="s">
        <v>630</v>
      </c>
      <c r="G2369" s="72">
        <v>3.20093187E8</v>
      </c>
    </row>
    <row r="2370">
      <c r="A2370" s="2">
        <v>5.148172002E9</v>
      </c>
      <c r="B2370" s="72">
        <v>8.2144588E7</v>
      </c>
      <c r="C2370" s="74">
        <v>46228.96183193287</v>
      </c>
      <c r="D2370" s="2" t="s">
        <v>628</v>
      </c>
      <c r="F2370" s="2" t="s">
        <v>2232</v>
      </c>
      <c r="G2370" s="72">
        <v>3.28870429E8</v>
      </c>
    </row>
    <row r="2371">
      <c r="A2371" s="2">
        <v>5.148172002E9</v>
      </c>
      <c r="B2371" s="72">
        <v>8.2144588E7</v>
      </c>
      <c r="C2371" s="74">
        <v>46227.545698946764</v>
      </c>
      <c r="D2371" s="2" t="s">
        <v>628</v>
      </c>
      <c r="F2371" s="2" t="s">
        <v>630</v>
      </c>
      <c r="G2371" s="72">
        <v>3.27651709E8</v>
      </c>
    </row>
    <row r="2372">
      <c r="A2372" s="2">
        <v>5.148621877E9</v>
      </c>
      <c r="B2372" s="72">
        <v>4.0880486E7</v>
      </c>
      <c r="C2372" s="74">
        <v>46224.960554108795</v>
      </c>
      <c r="D2372" s="2" t="s">
        <v>628</v>
      </c>
      <c r="F2372" s="2" t="s">
        <v>2277</v>
      </c>
      <c r="G2372" s="72">
        <v>3.25988065E8</v>
      </c>
    </row>
    <row r="2373">
      <c r="A2373" s="2">
        <v>5.148621877E9</v>
      </c>
      <c r="B2373" s="72">
        <v>4.0880486E7</v>
      </c>
      <c r="C2373" s="74">
        <v>46223.54445855324</v>
      </c>
      <c r="D2373" s="2" t="s">
        <v>628</v>
      </c>
      <c r="F2373" s="2" t="s">
        <v>630</v>
      </c>
      <c r="G2373" s="72">
        <v>3.24980948E8</v>
      </c>
    </row>
    <row r="2374">
      <c r="A2374" s="2">
        <v>5.148621877E9</v>
      </c>
      <c r="B2374" s="72">
        <v>4.0880486E7</v>
      </c>
      <c r="C2374" s="74">
        <v>46222.7210791088</v>
      </c>
      <c r="D2374" s="2" t="s">
        <v>628</v>
      </c>
      <c r="F2374" s="2" t="s">
        <v>2278</v>
      </c>
      <c r="G2374" s="72">
        <v>3.24520311E8</v>
      </c>
    </row>
    <row r="2375">
      <c r="A2375" s="2">
        <v>5.148842947E9</v>
      </c>
      <c r="B2375" s="72">
        <v>7.9865039E7</v>
      </c>
      <c r="C2375" s="74">
        <v>46213.68256231482</v>
      </c>
      <c r="D2375" s="2" t="s">
        <v>628</v>
      </c>
      <c r="F2375" s="2" t="s">
        <v>2549</v>
      </c>
      <c r="G2375" s="72">
        <v>3.18118077E8</v>
      </c>
    </row>
    <row r="2376">
      <c r="A2376" s="2">
        <v>5.148842947E9</v>
      </c>
      <c r="B2376" s="72">
        <v>7.9865039E7</v>
      </c>
      <c r="C2376" s="74">
        <v>46215.960386226856</v>
      </c>
      <c r="D2376" s="2" t="s">
        <v>628</v>
      </c>
      <c r="F2376" s="2" t="s">
        <v>2499</v>
      </c>
      <c r="G2376" s="72">
        <v>3.19859507E8</v>
      </c>
    </row>
    <row r="2377">
      <c r="A2377" s="2">
        <v>5.148842947E9</v>
      </c>
      <c r="B2377" s="72">
        <v>7.9865039E7</v>
      </c>
      <c r="C2377" s="74">
        <v>46214.54364739583</v>
      </c>
      <c r="D2377" s="2" t="s">
        <v>628</v>
      </c>
      <c r="F2377" s="2" t="s">
        <v>630</v>
      </c>
      <c r="G2377" s="72">
        <v>3.18696584E8</v>
      </c>
    </row>
    <row r="2378">
      <c r="A2378" s="2">
        <v>5.148859944E9</v>
      </c>
      <c r="B2378" s="72">
        <v>4.7213979E7</v>
      </c>
      <c r="C2378" s="74">
        <v>46228.54252081018</v>
      </c>
      <c r="D2378" s="2" t="s">
        <v>628</v>
      </c>
      <c r="F2378" s="2" t="s">
        <v>630</v>
      </c>
      <c r="G2378" s="72">
        <v>3.28399884E8</v>
      </c>
    </row>
    <row r="2379">
      <c r="A2379" s="2">
        <v>5.148859944E9</v>
      </c>
      <c r="B2379" s="72">
        <v>4.7213979E7</v>
      </c>
      <c r="C2379" s="74">
        <v>46227.74082814815</v>
      </c>
      <c r="D2379" s="2" t="s">
        <v>628</v>
      </c>
      <c r="F2379" s="2" t="s">
        <v>2550</v>
      </c>
      <c r="G2379" s="72">
        <v>3.27854851E8</v>
      </c>
    </row>
    <row r="2380">
      <c r="A2380" s="2">
        <v>5.148859944E9</v>
      </c>
      <c r="B2380" s="72">
        <v>4.7213979E7</v>
      </c>
      <c r="C2380" s="74">
        <v>46228.95893178241</v>
      </c>
      <c r="D2380" s="2" t="s">
        <v>628</v>
      </c>
      <c r="F2380" s="2" t="s">
        <v>2551</v>
      </c>
      <c r="G2380" s="72">
        <v>3.28855681E8</v>
      </c>
    </row>
    <row r="2381">
      <c r="A2381" s="2">
        <v>5.149423374E9</v>
      </c>
      <c r="B2381" s="72">
        <v>8.251367E7</v>
      </c>
      <c r="C2381" s="74">
        <v>46229.961254027774</v>
      </c>
      <c r="D2381" s="2" t="s">
        <v>628</v>
      </c>
      <c r="F2381" s="2" t="s">
        <v>2518</v>
      </c>
      <c r="G2381" s="72">
        <v>3.29614001E8</v>
      </c>
    </row>
    <row r="2382">
      <c r="A2382" s="2">
        <v>5.149423374E9</v>
      </c>
      <c r="B2382" s="72">
        <v>8.251367E7</v>
      </c>
      <c r="C2382" s="74">
        <v>46229.546579201386</v>
      </c>
      <c r="D2382" s="2" t="s">
        <v>628</v>
      </c>
      <c r="F2382" s="2" t="s">
        <v>630</v>
      </c>
      <c r="G2382" s="72">
        <v>3.29228169E8</v>
      </c>
    </row>
    <row r="2383">
      <c r="A2383" s="2">
        <v>5.149651087E9</v>
      </c>
      <c r="B2383" s="72">
        <v>8.2818429E7</v>
      </c>
      <c r="C2383" s="74">
        <v>46231.54452549768</v>
      </c>
      <c r="D2383" s="2" t="s">
        <v>628</v>
      </c>
      <c r="F2383" s="2" t="s">
        <v>630</v>
      </c>
      <c r="G2383" s="72">
        <v>3.30531129E8</v>
      </c>
    </row>
    <row r="2384">
      <c r="A2384" s="2">
        <v>5.149651087E9</v>
      </c>
      <c r="B2384" s="72">
        <v>8.2818429E7</v>
      </c>
      <c r="C2384" s="74">
        <v>46231.960996574075</v>
      </c>
      <c r="D2384" s="2" t="s">
        <v>628</v>
      </c>
      <c r="F2384" s="2" t="s">
        <v>2552</v>
      </c>
      <c r="G2384" s="72">
        <v>3.3091943E8</v>
      </c>
    </row>
    <row r="2385">
      <c r="A2385" s="2">
        <v>5.165784667E9</v>
      </c>
      <c r="B2385" s="72">
        <v>8.3196389E7</v>
      </c>
      <c r="C2385" s="74">
        <v>46233.75324362269</v>
      </c>
      <c r="D2385" s="2" t="s">
        <v>628</v>
      </c>
      <c r="F2385" s="2" t="s">
        <v>1535</v>
      </c>
      <c r="G2385" s="72">
        <v>3.32077743E8</v>
      </c>
    </row>
    <row r="2386">
      <c r="A2386" s="2">
        <v>5.167132013E9</v>
      </c>
      <c r="B2386" s="72">
        <v>8.2549352E7</v>
      </c>
      <c r="C2386" s="74">
        <v>46231.544919479165</v>
      </c>
      <c r="D2386" s="2" t="s">
        <v>628</v>
      </c>
      <c r="F2386" s="2" t="s">
        <v>630</v>
      </c>
      <c r="G2386" s="72">
        <v>3.305377E8</v>
      </c>
    </row>
    <row r="2387">
      <c r="A2387" s="2">
        <v>5.167132013E9</v>
      </c>
      <c r="B2387" s="72">
        <v>8.2549352E7</v>
      </c>
      <c r="C2387" s="74">
        <v>46229.75270916667</v>
      </c>
      <c r="D2387" s="2" t="s">
        <v>628</v>
      </c>
      <c r="F2387" s="2" t="s">
        <v>2231</v>
      </c>
      <c r="G2387" s="72">
        <v>3.29427909E8</v>
      </c>
    </row>
    <row r="2388">
      <c r="A2388" s="2">
        <v>5.167132013E9</v>
      </c>
      <c r="B2388" s="72">
        <v>8.2549352E7</v>
      </c>
      <c r="C2388" s="74">
        <v>46231.961416226855</v>
      </c>
      <c r="D2388" s="2" t="s">
        <v>628</v>
      </c>
      <c r="F2388" s="2" t="s">
        <v>2232</v>
      </c>
      <c r="G2388" s="72">
        <v>3.30920588E8</v>
      </c>
    </row>
    <row r="2389">
      <c r="A2389" s="2">
        <v>5.18210594E9</v>
      </c>
      <c r="B2389" s="72">
        <v>1.0162612E7</v>
      </c>
      <c r="C2389" s="74">
        <v>46211.95977395833</v>
      </c>
      <c r="D2389" s="2" t="s">
        <v>628</v>
      </c>
      <c r="F2389" s="2" t="s">
        <v>1709</v>
      </c>
      <c r="G2389" s="72">
        <v>3.16984003E8</v>
      </c>
    </row>
    <row r="2390">
      <c r="A2390" s="2">
        <v>5.18210594E9</v>
      </c>
      <c r="B2390" s="72">
        <v>1.0162612E7</v>
      </c>
      <c r="C2390" s="74">
        <v>46210.75191841435</v>
      </c>
      <c r="D2390" s="2" t="s">
        <v>628</v>
      </c>
      <c r="F2390" s="2" t="s">
        <v>1708</v>
      </c>
      <c r="G2390" s="72">
        <v>3.16187892E8</v>
      </c>
    </row>
    <row r="2391">
      <c r="A2391" s="2">
        <v>5.182255606E9</v>
      </c>
      <c r="B2391" s="72">
        <v>8.2651814E7</v>
      </c>
      <c r="C2391" s="74">
        <v>46230.54272590278</v>
      </c>
      <c r="D2391" s="2" t="s">
        <v>628</v>
      </c>
      <c r="F2391" s="2" t="s">
        <v>630</v>
      </c>
      <c r="G2391" s="72">
        <v>3.29846508E8</v>
      </c>
    </row>
    <row r="2392">
      <c r="A2392" s="2">
        <v>5.182255606E9</v>
      </c>
      <c r="C2392" s="74">
        <v>46228.75064625</v>
      </c>
      <c r="D2392" s="2" t="s">
        <v>628</v>
      </c>
      <c r="F2392" s="2" t="s">
        <v>1201</v>
      </c>
      <c r="G2392" s="72">
        <v>3.28634094E8</v>
      </c>
    </row>
    <row r="2393">
      <c r="A2393" s="2">
        <v>5.182255606E9</v>
      </c>
      <c r="B2393" s="72">
        <v>8.2651814E7</v>
      </c>
      <c r="C2393" s="74">
        <v>46232.95875475694</v>
      </c>
      <c r="D2393" s="2" t="s">
        <v>628</v>
      </c>
      <c r="F2393" s="2" t="s">
        <v>1200</v>
      </c>
      <c r="G2393" s="72">
        <v>3.31580791E8</v>
      </c>
    </row>
    <row r="2394">
      <c r="A2394" s="2">
        <v>5.182294534E9</v>
      </c>
      <c r="C2394" s="74">
        <v>46232.752496608795</v>
      </c>
      <c r="D2394" s="2" t="s">
        <v>628</v>
      </c>
      <c r="F2394" s="2" t="s">
        <v>1181</v>
      </c>
      <c r="G2394" s="72">
        <v>3.31381725E8</v>
      </c>
    </row>
    <row r="2395">
      <c r="A2395" s="2">
        <v>5.182294534E9</v>
      </c>
      <c r="B2395" s="72">
        <v>8.3333069E7</v>
      </c>
      <c r="C2395" s="74">
        <v>46234.54360002315</v>
      </c>
      <c r="D2395" s="2" t="s">
        <v>628</v>
      </c>
      <c r="F2395" s="2" t="s">
        <v>630</v>
      </c>
      <c r="G2395" s="72">
        <v>3.32598447E8</v>
      </c>
    </row>
    <row r="2396">
      <c r="A2396" s="2">
        <v>5.182538255E9</v>
      </c>
      <c r="B2396" s="72">
        <v>8.0981746E7</v>
      </c>
      <c r="C2396" s="74">
        <v>46220.5446678125</v>
      </c>
      <c r="D2396" s="2" t="s">
        <v>628</v>
      </c>
      <c r="F2396" s="2" t="s">
        <v>630</v>
      </c>
      <c r="G2396" s="72">
        <v>3.22771367E8</v>
      </c>
    </row>
    <row r="2397">
      <c r="A2397" s="2">
        <v>5.182564699E9</v>
      </c>
      <c r="B2397" s="72">
        <v>8.2337087E7</v>
      </c>
      <c r="C2397" s="74">
        <v>46228.54246503473</v>
      </c>
      <c r="D2397" s="2" t="s">
        <v>628</v>
      </c>
      <c r="F2397" s="2" t="s">
        <v>630</v>
      </c>
      <c r="G2397" s="72">
        <v>3.28399408E8</v>
      </c>
    </row>
    <row r="2398">
      <c r="A2398" s="2">
        <v>5.182564699E9</v>
      </c>
      <c r="B2398" s="72">
        <v>8.2337087E7</v>
      </c>
      <c r="C2398" s="74">
        <v>46228.95885355324</v>
      </c>
      <c r="D2398" s="2" t="s">
        <v>628</v>
      </c>
      <c r="F2398" s="2" t="s">
        <v>2553</v>
      </c>
      <c r="G2398" s="72">
        <v>3.28855566E8</v>
      </c>
    </row>
    <row r="2399">
      <c r="A2399" s="2">
        <v>5.1826876E9</v>
      </c>
      <c r="B2399" s="72">
        <v>4307470.0</v>
      </c>
      <c r="C2399" s="74">
        <v>46234.54366335648</v>
      </c>
      <c r="D2399" s="2" t="s">
        <v>628</v>
      </c>
      <c r="F2399" s="2" t="s">
        <v>630</v>
      </c>
      <c r="G2399" s="72">
        <v>3.32599211E8</v>
      </c>
    </row>
    <row r="2400">
      <c r="A2400" s="2">
        <v>5.1826876E9</v>
      </c>
      <c r="B2400" s="72">
        <v>4307470.0</v>
      </c>
      <c r="C2400" s="74">
        <v>46232.75208608796</v>
      </c>
      <c r="D2400" s="2" t="s">
        <v>628</v>
      </c>
      <c r="F2400" s="2" t="s">
        <v>1028</v>
      </c>
      <c r="G2400" s="72">
        <v>3.31379065E8</v>
      </c>
    </row>
    <row r="2401">
      <c r="A2401" s="2">
        <v>5.182691198E9</v>
      </c>
      <c r="B2401" s="72">
        <v>8.2976258E7</v>
      </c>
      <c r="C2401" s="74">
        <v>46232.960073009264</v>
      </c>
      <c r="D2401" s="2" t="s">
        <v>628</v>
      </c>
      <c r="F2401" s="2" t="s">
        <v>2554</v>
      </c>
      <c r="G2401" s="72">
        <v>3.31584328E8</v>
      </c>
    </row>
    <row r="2402">
      <c r="A2402" s="2">
        <v>5.182691198E9</v>
      </c>
      <c r="B2402" s="72">
        <v>8.2976258E7</v>
      </c>
      <c r="C2402" s="74">
        <v>46232.54450924769</v>
      </c>
      <c r="D2402" s="2" t="s">
        <v>628</v>
      </c>
      <c r="F2402" s="2" t="s">
        <v>630</v>
      </c>
      <c r="G2402" s="72">
        <v>3.31174252E8</v>
      </c>
    </row>
    <row r="2403">
      <c r="A2403" s="2">
        <v>5.182755764E9</v>
      </c>
      <c r="B2403" s="72">
        <v>8.2760025E7</v>
      </c>
      <c r="C2403" s="74">
        <v>46230.95978534722</v>
      </c>
      <c r="D2403" s="2" t="s">
        <v>628</v>
      </c>
      <c r="F2403" s="2" t="s">
        <v>2555</v>
      </c>
      <c r="G2403" s="72">
        <v>3.30267397E8</v>
      </c>
    </row>
    <row r="2404">
      <c r="A2404" s="2">
        <v>5.183128102E9</v>
      </c>
      <c r="B2404" s="72">
        <v>8.2497091E7</v>
      </c>
      <c r="C2404" s="74">
        <v>46229.46328310185</v>
      </c>
      <c r="D2404" s="2" t="s">
        <v>628</v>
      </c>
      <c r="F2404" s="2" t="s">
        <v>2556</v>
      </c>
      <c r="G2404" s="72">
        <v>3.29080721E8</v>
      </c>
    </row>
    <row r="2405">
      <c r="A2405" s="2">
        <v>5.183128102E9</v>
      </c>
      <c r="B2405" s="72">
        <v>8.2497091E7</v>
      </c>
      <c r="C2405" s="74">
        <v>46231.96107751157</v>
      </c>
      <c r="D2405" s="2" t="s">
        <v>628</v>
      </c>
      <c r="F2405" s="2" t="s">
        <v>2557</v>
      </c>
      <c r="G2405" s="72">
        <v>3.3091966E8</v>
      </c>
    </row>
    <row r="2406">
      <c r="A2406" s="2">
        <v>5.183128102E9</v>
      </c>
      <c r="B2406" s="72">
        <v>8.2497091E7</v>
      </c>
      <c r="C2406" s="74">
        <v>46230.54606168982</v>
      </c>
      <c r="D2406" s="2" t="s">
        <v>628</v>
      </c>
      <c r="F2406" s="2" t="s">
        <v>630</v>
      </c>
      <c r="G2406" s="72">
        <v>3.29883205E8</v>
      </c>
    </row>
    <row r="2407">
      <c r="A2407" s="2">
        <v>5.183213213E9</v>
      </c>
      <c r="B2407" s="72">
        <v>5.0847025E7</v>
      </c>
      <c r="C2407" s="74">
        <v>46221.96135315972</v>
      </c>
      <c r="D2407" s="2" t="s">
        <v>628</v>
      </c>
      <c r="F2407" s="2" t="s">
        <v>1678</v>
      </c>
      <c r="G2407" s="72">
        <v>3.24000176E8</v>
      </c>
    </row>
    <row r="2408">
      <c r="A2408" s="2">
        <v>5.183641032E9</v>
      </c>
      <c r="B2408" s="72">
        <v>8.121181E7</v>
      </c>
      <c r="C2408" s="74">
        <v>46221.732989386575</v>
      </c>
      <c r="D2408" s="2" t="s">
        <v>628</v>
      </c>
      <c r="F2408" s="2" t="s">
        <v>2477</v>
      </c>
      <c r="G2408" s="72">
        <v>3.23753371E8</v>
      </c>
    </row>
    <row r="2409">
      <c r="A2409" s="2">
        <v>5.183641032E9</v>
      </c>
      <c r="B2409" s="72">
        <v>8.121181E7</v>
      </c>
      <c r="C2409" s="74">
        <v>46222.54352857639</v>
      </c>
      <c r="D2409" s="2" t="s">
        <v>628</v>
      </c>
      <c r="F2409" s="2" t="s">
        <v>630</v>
      </c>
      <c r="G2409" s="72">
        <v>3.2432336E8</v>
      </c>
    </row>
    <row r="2410">
      <c r="A2410" s="2">
        <v>5.183641032E9</v>
      </c>
      <c r="B2410" s="72">
        <v>8.121181E7</v>
      </c>
      <c r="C2410" s="74">
        <v>46222.959572974534</v>
      </c>
      <c r="D2410" s="2" t="s">
        <v>628</v>
      </c>
      <c r="F2410" s="2" t="s">
        <v>2478</v>
      </c>
      <c r="G2410" s="72">
        <v>3.24722017E8</v>
      </c>
    </row>
    <row r="2411">
      <c r="A2411" s="2">
        <v>5.183651176E9</v>
      </c>
      <c r="B2411" s="72">
        <v>8.0478791E7</v>
      </c>
      <c r="C2411" s="74">
        <v>46217.54604318287</v>
      </c>
      <c r="D2411" s="2" t="s">
        <v>628</v>
      </c>
      <c r="F2411" s="2" t="s">
        <v>630</v>
      </c>
      <c r="G2411" s="72">
        <v>3.20748667E8</v>
      </c>
    </row>
    <row r="2412">
      <c r="A2412" s="2">
        <v>5.183651176E9</v>
      </c>
      <c r="C2412" s="74">
        <v>46215.7538565625</v>
      </c>
      <c r="D2412" s="2" t="s">
        <v>628</v>
      </c>
      <c r="F2412" s="2" t="s">
        <v>870</v>
      </c>
      <c r="G2412" s="72">
        <v>3.19685884E8</v>
      </c>
    </row>
    <row r="2413">
      <c r="A2413" s="2">
        <v>5.183651176E9</v>
      </c>
      <c r="B2413" s="72">
        <v>8.0478791E7</v>
      </c>
      <c r="C2413" s="74">
        <v>46218.96209292824</v>
      </c>
      <c r="D2413" s="2" t="s">
        <v>628</v>
      </c>
      <c r="F2413" s="2" t="s">
        <v>873</v>
      </c>
      <c r="G2413" s="72">
        <v>3.21775376E8</v>
      </c>
    </row>
    <row r="2414">
      <c r="A2414" s="2">
        <v>5.183783387E9</v>
      </c>
      <c r="B2414" s="72">
        <v>8.1375187E7</v>
      </c>
      <c r="C2414" s="74">
        <v>46222.96031949074</v>
      </c>
      <c r="D2414" s="2" t="s">
        <v>628</v>
      </c>
      <c r="F2414" s="2" t="s">
        <v>1185</v>
      </c>
      <c r="G2414" s="72">
        <v>3.24724889E8</v>
      </c>
    </row>
    <row r="2415">
      <c r="A2415" s="2">
        <v>5.183783387E9</v>
      </c>
      <c r="B2415" s="72">
        <v>8.1375187E7</v>
      </c>
      <c r="C2415" s="74">
        <v>46222.73647052083</v>
      </c>
      <c r="D2415" s="2" t="s">
        <v>628</v>
      </c>
      <c r="F2415" s="2" t="s">
        <v>1186</v>
      </c>
      <c r="G2415" s="72">
        <v>3.24527064E8</v>
      </c>
    </row>
    <row r="2416">
      <c r="A2416" s="2">
        <v>5.183786768E9</v>
      </c>
      <c r="C2416" s="74">
        <v>46230.75309844907</v>
      </c>
      <c r="D2416" s="2" t="s">
        <v>628</v>
      </c>
      <c r="F2416" s="2" t="s">
        <v>736</v>
      </c>
      <c r="G2416" s="72">
        <v>3.30065361E8</v>
      </c>
    </row>
    <row r="2417">
      <c r="A2417" s="2">
        <v>5.183786768E9</v>
      </c>
      <c r="B2417" s="72">
        <v>8.297742E7</v>
      </c>
      <c r="C2417" s="74">
        <v>46232.96069633102</v>
      </c>
      <c r="D2417" s="2" t="s">
        <v>628</v>
      </c>
      <c r="F2417" s="2" t="s">
        <v>737</v>
      </c>
      <c r="G2417" s="72">
        <v>3.31586654E8</v>
      </c>
    </row>
    <row r="2418">
      <c r="A2418" s="2">
        <v>5.183786768E9</v>
      </c>
      <c r="B2418" s="72">
        <v>8.297742E7</v>
      </c>
      <c r="C2418" s="74">
        <v>46232.544883842595</v>
      </c>
      <c r="D2418" s="2" t="s">
        <v>628</v>
      </c>
      <c r="F2418" s="2" t="s">
        <v>630</v>
      </c>
      <c r="G2418" s="72">
        <v>3.3118033E8</v>
      </c>
    </row>
    <row r="2419">
      <c r="A2419" s="2">
        <v>5.183967364E9</v>
      </c>
      <c r="B2419" s="72">
        <v>8.0874032E7</v>
      </c>
      <c r="C2419" s="74">
        <v>46221.96064283565</v>
      </c>
      <c r="D2419" s="2" t="s">
        <v>628</v>
      </c>
      <c r="F2419" s="2" t="s">
        <v>2558</v>
      </c>
      <c r="G2419" s="72">
        <v>3.23996295E8</v>
      </c>
    </row>
    <row r="2420">
      <c r="A2420" s="2">
        <v>5.183967364E9</v>
      </c>
      <c r="B2420" s="72">
        <v>8.0874032E7</v>
      </c>
      <c r="C2420" s="74">
        <v>46221.54571590278</v>
      </c>
      <c r="D2420" s="2" t="s">
        <v>705</v>
      </c>
      <c r="F2420" s="2" t="s">
        <v>2559</v>
      </c>
      <c r="G2420" s="72">
        <v>3.23566997E8</v>
      </c>
    </row>
    <row r="2421">
      <c r="A2421" s="2">
        <v>5.183967364E9</v>
      </c>
      <c r="B2421" s="72">
        <v>8.0874032E7</v>
      </c>
      <c r="C2421" s="74">
        <v>46221.5446265162</v>
      </c>
      <c r="D2421" s="2" t="s">
        <v>628</v>
      </c>
      <c r="F2421" s="2" t="s">
        <v>630</v>
      </c>
      <c r="G2421" s="72">
        <v>3.23552197E8</v>
      </c>
    </row>
    <row r="2422">
      <c r="A2422" s="2">
        <v>5.183967364E9</v>
      </c>
      <c r="B2422" s="72">
        <v>8.0874032E7</v>
      </c>
      <c r="C2422" s="74">
        <v>46219.80157149305</v>
      </c>
      <c r="D2422" s="2" t="s">
        <v>628</v>
      </c>
      <c r="F2422" s="2" t="s">
        <v>2560</v>
      </c>
      <c r="G2422" s="72">
        <v>3.22324377E8</v>
      </c>
    </row>
    <row r="2423">
      <c r="A2423" s="2">
        <v>5.184146096E9</v>
      </c>
      <c r="B2423" s="72">
        <v>4129454.0</v>
      </c>
      <c r="C2423" s="74">
        <v>46231.544842187504</v>
      </c>
      <c r="D2423" s="2" t="s">
        <v>628</v>
      </c>
      <c r="F2423" s="2" t="s">
        <v>630</v>
      </c>
      <c r="G2423" s="72">
        <v>3.30536373E8</v>
      </c>
    </row>
    <row r="2424">
      <c r="A2424" s="2">
        <v>5.184146096E9</v>
      </c>
      <c r="B2424" s="72">
        <v>4129454.0</v>
      </c>
      <c r="C2424" s="74">
        <v>46232.96174083333</v>
      </c>
      <c r="D2424" s="2" t="s">
        <v>628</v>
      </c>
      <c r="F2424" s="2" t="s">
        <v>2561</v>
      </c>
      <c r="G2424" s="72">
        <v>3.31589799E8</v>
      </c>
    </row>
    <row r="2425">
      <c r="A2425" s="2">
        <v>5.184146096E9</v>
      </c>
      <c r="C2425" s="74">
        <v>46229.75300128473</v>
      </c>
      <c r="D2425" s="2" t="s">
        <v>628</v>
      </c>
      <c r="F2425" s="2" t="s">
        <v>1449</v>
      </c>
      <c r="G2425" s="72">
        <v>3.29429641E8</v>
      </c>
    </row>
    <row r="2426">
      <c r="A2426" s="2">
        <v>5.184412216E9</v>
      </c>
      <c r="C2426" s="74">
        <v>46222.75220375</v>
      </c>
      <c r="D2426" s="2" t="s">
        <v>628</v>
      </c>
      <c r="F2426" s="2" t="s">
        <v>1784</v>
      </c>
      <c r="G2426" s="72">
        <v>3.24542471E8</v>
      </c>
    </row>
    <row r="2427">
      <c r="A2427" s="2">
        <v>5.184412216E9</v>
      </c>
      <c r="B2427" s="72">
        <v>8.1585278E7</v>
      </c>
      <c r="C2427" s="74">
        <v>46223.96061721064</v>
      </c>
      <c r="D2427" s="2" t="s">
        <v>628</v>
      </c>
      <c r="F2427" s="2" t="s">
        <v>1785</v>
      </c>
      <c r="G2427" s="72">
        <v>3.25366143E8</v>
      </c>
    </row>
    <row r="2428">
      <c r="A2428" s="2">
        <v>5.184416283E9</v>
      </c>
      <c r="B2428" s="72">
        <v>8.1212281E7</v>
      </c>
      <c r="C2428" s="74">
        <v>46222.961714907404</v>
      </c>
      <c r="D2428" s="2" t="s">
        <v>628</v>
      </c>
      <c r="F2428" s="2" t="s">
        <v>762</v>
      </c>
      <c r="G2428" s="72">
        <v>3.24728866E8</v>
      </c>
    </row>
    <row r="2429">
      <c r="A2429" s="2">
        <v>5.184416283E9</v>
      </c>
      <c r="B2429" s="72">
        <v>8.1212281E7</v>
      </c>
      <c r="C2429" s="74">
        <v>46222.545270648145</v>
      </c>
      <c r="D2429" s="2" t="s">
        <v>628</v>
      </c>
      <c r="F2429" s="2" t="s">
        <v>630</v>
      </c>
      <c r="G2429" s="72">
        <v>3.24351308E8</v>
      </c>
    </row>
    <row r="2430">
      <c r="A2430" s="2">
        <v>5.184416283E9</v>
      </c>
      <c r="B2430" s="72">
        <v>8.1212281E7</v>
      </c>
      <c r="C2430" s="74">
        <v>46221.736236331024</v>
      </c>
      <c r="D2430" s="2" t="s">
        <v>628</v>
      </c>
      <c r="F2430" s="2" t="s">
        <v>645</v>
      </c>
      <c r="G2430" s="72">
        <v>3.23755287E8</v>
      </c>
    </row>
    <row r="2431">
      <c r="A2431" s="2">
        <v>5.184695443E9</v>
      </c>
      <c r="B2431" s="72">
        <v>8.1789398E7</v>
      </c>
      <c r="C2431" s="74">
        <v>46226.96057210648</v>
      </c>
      <c r="D2431" s="2" t="s">
        <v>628</v>
      </c>
      <c r="F2431" s="2" t="s">
        <v>873</v>
      </c>
      <c r="G2431" s="72">
        <v>3.27338655E8</v>
      </c>
    </row>
    <row r="2432">
      <c r="A2432" s="2">
        <v>5.184695443E9</v>
      </c>
      <c r="B2432" s="72">
        <v>8.1789398E7</v>
      </c>
      <c r="C2432" s="74">
        <v>46225.54344296297</v>
      </c>
      <c r="D2432" s="2" t="s">
        <v>628</v>
      </c>
      <c r="F2432" s="2" t="s">
        <v>630</v>
      </c>
      <c r="G2432" s="72">
        <v>3.26223553E8</v>
      </c>
    </row>
    <row r="2433">
      <c r="A2433" s="2">
        <v>5.184870538E9</v>
      </c>
      <c r="B2433" s="72">
        <v>8.1221073E7</v>
      </c>
      <c r="C2433" s="74">
        <v>46225.961570625004</v>
      </c>
      <c r="D2433" s="2" t="s">
        <v>628</v>
      </c>
      <c r="F2433" s="2" t="s">
        <v>650</v>
      </c>
      <c r="G2433" s="72">
        <v>3.26634946E8</v>
      </c>
    </row>
    <row r="2434">
      <c r="A2434" s="2">
        <v>5.184870538E9</v>
      </c>
      <c r="B2434" s="72">
        <v>8.1221073E7</v>
      </c>
      <c r="C2434" s="74">
        <v>46221.75333740741</v>
      </c>
      <c r="D2434" s="2" t="s">
        <v>628</v>
      </c>
      <c r="F2434" s="2" t="s">
        <v>651</v>
      </c>
      <c r="G2434" s="72">
        <v>3.23781546E8</v>
      </c>
    </row>
    <row r="2435">
      <c r="A2435" s="2">
        <v>5.184870538E9</v>
      </c>
      <c r="B2435" s="72">
        <v>8.1221073E7</v>
      </c>
      <c r="C2435" s="74">
        <v>46223.544728506946</v>
      </c>
      <c r="D2435" s="2" t="s">
        <v>628</v>
      </c>
      <c r="F2435" s="2" t="s">
        <v>630</v>
      </c>
      <c r="G2435" s="72">
        <v>3.24985624E8</v>
      </c>
    </row>
    <row r="2436">
      <c r="A2436" s="2">
        <v>5.184961158E9</v>
      </c>
      <c r="B2436" s="72">
        <v>8.3368191E7</v>
      </c>
      <c r="C2436" s="74">
        <v>46234.6843306713</v>
      </c>
      <c r="D2436" s="2" t="s">
        <v>628</v>
      </c>
      <c r="F2436" s="2" t="s">
        <v>1679</v>
      </c>
      <c r="G2436" s="72">
        <v>3.32787358E8</v>
      </c>
    </row>
    <row r="2437">
      <c r="A2437" s="2">
        <v>5.184961158E9</v>
      </c>
      <c r="B2437" s="72">
        <v>8.3368191E7</v>
      </c>
      <c r="C2437" s="74">
        <v>46234.96191524305</v>
      </c>
      <c r="D2437" s="2" t="s">
        <v>628</v>
      </c>
      <c r="F2437" s="2" t="s">
        <v>1678</v>
      </c>
      <c r="G2437" s="72">
        <v>3.33104674E8</v>
      </c>
    </row>
    <row r="2438">
      <c r="A2438" s="2">
        <v>5.185063973E9</v>
      </c>
      <c r="B2438" s="72">
        <v>7.9834428E7</v>
      </c>
      <c r="C2438" s="74">
        <v>46213.54494947917</v>
      </c>
      <c r="D2438" s="2" t="s">
        <v>628</v>
      </c>
      <c r="F2438" s="2" t="s">
        <v>630</v>
      </c>
      <c r="G2438" s="72">
        <v>3.17952151E8</v>
      </c>
    </row>
    <row r="2439">
      <c r="A2439" s="2">
        <v>5.185063973E9</v>
      </c>
      <c r="B2439" s="72">
        <v>7.9834428E7</v>
      </c>
      <c r="C2439" s="74">
        <v>46213.96075583334</v>
      </c>
      <c r="D2439" s="2" t="s">
        <v>628</v>
      </c>
      <c r="F2439" s="2" t="s">
        <v>1166</v>
      </c>
      <c r="G2439" s="72">
        <v>3.18409443E8</v>
      </c>
    </row>
    <row r="2440">
      <c r="A2440" s="2">
        <v>5.185673494E9</v>
      </c>
      <c r="B2440" s="72">
        <v>8.0220275E7</v>
      </c>
      <c r="C2440" s="74">
        <v>46215.751090844904</v>
      </c>
      <c r="D2440" s="2" t="s">
        <v>628</v>
      </c>
      <c r="F2440" s="2" t="s">
        <v>1104</v>
      </c>
      <c r="G2440" s="72">
        <v>3.19667964E8</v>
      </c>
    </row>
    <row r="2441">
      <c r="A2441" s="2">
        <v>5.185673494E9</v>
      </c>
      <c r="B2441" s="72">
        <v>8.0220275E7</v>
      </c>
      <c r="C2441" s="74">
        <v>46217.959310254635</v>
      </c>
      <c r="D2441" s="2" t="s">
        <v>628</v>
      </c>
      <c r="F2441" s="2" t="s">
        <v>1105</v>
      </c>
      <c r="G2441" s="72">
        <v>3.21110609E8</v>
      </c>
    </row>
    <row r="2442">
      <c r="A2442" s="2">
        <v>5.185673494E9</v>
      </c>
      <c r="B2442" s="72">
        <v>8.0220275E7</v>
      </c>
      <c r="C2442" s="74">
        <v>46217.5424003588</v>
      </c>
      <c r="D2442" s="2" t="s">
        <v>628</v>
      </c>
      <c r="F2442" s="2" t="s">
        <v>630</v>
      </c>
      <c r="G2442" s="72">
        <v>3.20714036E8</v>
      </c>
    </row>
    <row r="2443">
      <c r="A2443" s="2">
        <v>5.18572838E9</v>
      </c>
      <c r="B2443" s="72">
        <v>8.1951919E7</v>
      </c>
      <c r="C2443" s="74">
        <v>46226.5432728125</v>
      </c>
      <c r="D2443" s="2" t="s">
        <v>628</v>
      </c>
      <c r="F2443" s="2" t="s">
        <v>630</v>
      </c>
      <c r="G2443" s="72">
        <v>3.26884223E8</v>
      </c>
    </row>
    <row r="2444">
      <c r="A2444" s="2">
        <v>5.18572838E9</v>
      </c>
      <c r="B2444" s="72">
        <v>8.1951919E7</v>
      </c>
      <c r="C2444" s="74">
        <v>46226.95901481481</v>
      </c>
      <c r="D2444" s="2" t="s">
        <v>628</v>
      </c>
      <c r="F2444" s="2" t="s">
        <v>2562</v>
      </c>
      <c r="G2444" s="72">
        <v>3.27333559E8</v>
      </c>
    </row>
    <row r="2445">
      <c r="A2445" s="2">
        <v>5.185737013E9</v>
      </c>
      <c r="B2445" s="72">
        <v>8.3334474E7</v>
      </c>
      <c r="C2445" s="74">
        <v>46234.54418586806</v>
      </c>
      <c r="D2445" s="2" t="s">
        <v>628</v>
      </c>
      <c r="F2445" s="2" t="s">
        <v>630</v>
      </c>
      <c r="G2445" s="72">
        <v>3.326062E8</v>
      </c>
    </row>
    <row r="2446">
      <c r="A2446" s="2">
        <v>5.185889383E9</v>
      </c>
      <c r="B2446" s="72">
        <v>8.1190665E7</v>
      </c>
      <c r="C2446" s="74">
        <v>46221.61544415509</v>
      </c>
      <c r="D2446" s="2" t="s">
        <v>628</v>
      </c>
      <c r="F2446" s="2" t="s">
        <v>870</v>
      </c>
      <c r="G2446" s="72">
        <v>3.23638032E8</v>
      </c>
    </row>
    <row r="2447">
      <c r="A2447" s="2">
        <v>5.185889383E9</v>
      </c>
      <c r="B2447" s="72">
        <v>8.1190665E7</v>
      </c>
      <c r="C2447" s="74">
        <v>46222.54443115741</v>
      </c>
      <c r="D2447" s="2" t="s">
        <v>628</v>
      </c>
      <c r="F2447" s="2" t="s">
        <v>630</v>
      </c>
      <c r="G2447" s="72">
        <v>3.24338191E8</v>
      </c>
    </row>
    <row r="2448">
      <c r="A2448" s="2">
        <v>5.185889383E9</v>
      </c>
      <c r="B2448" s="72">
        <v>8.1190665E7</v>
      </c>
      <c r="C2448" s="74">
        <v>46223.960624363426</v>
      </c>
      <c r="D2448" s="2" t="s">
        <v>628</v>
      </c>
      <c r="F2448" s="2" t="s">
        <v>873</v>
      </c>
      <c r="G2448" s="72">
        <v>3.25366165E8</v>
      </c>
    </row>
    <row r="2449">
      <c r="A2449" s="2">
        <v>5.18593728E9</v>
      </c>
      <c r="B2449" s="72">
        <v>8.2006393E7</v>
      </c>
      <c r="C2449" s="74">
        <v>46226.75398528935</v>
      </c>
      <c r="D2449" s="2" t="s">
        <v>628</v>
      </c>
      <c r="F2449" s="2" t="s">
        <v>2563</v>
      </c>
      <c r="G2449" s="72">
        <v>3.27117729E8</v>
      </c>
    </row>
    <row r="2450">
      <c r="A2450" s="2">
        <v>5.18593728E9</v>
      </c>
      <c r="B2450" s="72">
        <v>8.2006393E7</v>
      </c>
      <c r="C2450" s="74">
        <v>46227.96086619213</v>
      </c>
      <c r="D2450" s="2" t="s">
        <v>628</v>
      </c>
      <c r="F2450" s="2" t="s">
        <v>2562</v>
      </c>
      <c r="G2450" s="72">
        <v>3.28119024E8</v>
      </c>
    </row>
    <row r="2451">
      <c r="A2451" s="2">
        <v>5.186261902E9</v>
      </c>
      <c r="B2451" s="72">
        <v>8.1214285E7</v>
      </c>
      <c r="C2451" s="74">
        <v>46221.74955028935</v>
      </c>
      <c r="D2451" s="2" t="s">
        <v>628</v>
      </c>
      <c r="F2451" s="2" t="s">
        <v>683</v>
      </c>
      <c r="G2451" s="72">
        <v>3.23762933E8</v>
      </c>
    </row>
    <row r="2452">
      <c r="A2452" s="2">
        <v>5.186261902E9</v>
      </c>
      <c r="B2452" s="72">
        <v>8.1214285E7</v>
      </c>
      <c r="C2452" s="74">
        <v>46221.96095732639</v>
      </c>
      <c r="D2452" s="2" t="s">
        <v>628</v>
      </c>
      <c r="F2452" s="2" t="s">
        <v>717</v>
      </c>
      <c r="G2452" s="72">
        <v>3.23998411E8</v>
      </c>
    </row>
    <row r="2453">
      <c r="A2453" s="2">
        <v>5.186450147E9</v>
      </c>
      <c r="C2453" s="74">
        <v>46216.75108082176</v>
      </c>
      <c r="D2453" s="2" t="s">
        <v>628</v>
      </c>
      <c r="F2453" s="2" t="s">
        <v>2564</v>
      </c>
      <c r="G2453" s="72">
        <v>3.20286359E8</v>
      </c>
    </row>
    <row r="2454">
      <c r="A2454" s="2">
        <v>5.186450147E9</v>
      </c>
      <c r="B2454" s="72">
        <v>4379853.0</v>
      </c>
      <c r="C2454" s="74">
        <v>46218.54286443287</v>
      </c>
      <c r="D2454" s="2" t="s">
        <v>628</v>
      </c>
      <c r="F2454" s="2" t="s">
        <v>630</v>
      </c>
      <c r="G2454" s="72">
        <v>3.21351011E8</v>
      </c>
    </row>
    <row r="2455">
      <c r="A2455" s="2">
        <v>5.186450147E9</v>
      </c>
      <c r="B2455" s="72">
        <v>4379853.0</v>
      </c>
      <c r="C2455" s="74">
        <v>46219.958983923614</v>
      </c>
      <c r="D2455" s="2" t="s">
        <v>628</v>
      </c>
      <c r="F2455" s="2" t="s">
        <v>2565</v>
      </c>
      <c r="G2455" s="72">
        <v>3.22472072E8</v>
      </c>
    </row>
    <row r="2456">
      <c r="A2456" s="2">
        <v>5.186691338E9</v>
      </c>
      <c r="B2456" s="72">
        <v>8.0326261E7</v>
      </c>
      <c r="C2456" s="74">
        <v>46216.544137453704</v>
      </c>
      <c r="D2456" s="2" t="s">
        <v>628</v>
      </c>
      <c r="F2456" s="2" t="s">
        <v>630</v>
      </c>
      <c r="G2456" s="72">
        <v>3.20108391E8</v>
      </c>
    </row>
    <row r="2457">
      <c r="A2457" s="2">
        <v>5.18669721E9</v>
      </c>
      <c r="B2457" s="72">
        <v>4349249.0</v>
      </c>
      <c r="C2457" s="74">
        <v>46233.75253762731</v>
      </c>
      <c r="D2457" s="2" t="s">
        <v>628</v>
      </c>
      <c r="F2457" s="2" t="s">
        <v>2446</v>
      </c>
      <c r="G2457" s="72">
        <v>3.32071661E8</v>
      </c>
    </row>
    <row r="2458">
      <c r="A2458" s="2">
        <v>5.186812606E9</v>
      </c>
      <c r="B2458" s="72">
        <v>8.0730037E7</v>
      </c>
      <c r="C2458" s="74">
        <v>46227.96090997686</v>
      </c>
      <c r="D2458" s="2" t="s">
        <v>628</v>
      </c>
      <c r="F2458" s="2" t="s">
        <v>2566</v>
      </c>
      <c r="G2458" s="72">
        <v>3.28119216E8</v>
      </c>
    </row>
    <row r="2459">
      <c r="A2459" s="2">
        <v>5.186812606E9</v>
      </c>
      <c r="B2459" s="72">
        <v>8.0730037E7</v>
      </c>
      <c r="C2459" s="74">
        <v>46227.54491197917</v>
      </c>
      <c r="D2459" s="2" t="s">
        <v>628</v>
      </c>
      <c r="F2459" s="2" t="s">
        <v>630</v>
      </c>
      <c r="G2459" s="72">
        <v>3.27640455E8</v>
      </c>
    </row>
    <row r="2460">
      <c r="A2460" s="2">
        <v>5.186831969E9</v>
      </c>
      <c r="B2460" s="72">
        <v>8.0979295E7</v>
      </c>
      <c r="C2460" s="74">
        <v>46223.95930412037</v>
      </c>
      <c r="D2460" s="2" t="s">
        <v>628</v>
      </c>
      <c r="F2460" s="2" t="s">
        <v>2053</v>
      </c>
      <c r="G2460" s="72">
        <v>3.25362197E8</v>
      </c>
    </row>
    <row r="2461">
      <c r="A2461" s="2">
        <v>5.186831969E9</v>
      </c>
      <c r="B2461" s="72">
        <v>8.0979295E7</v>
      </c>
      <c r="C2461" s="74">
        <v>46220.54347554398</v>
      </c>
      <c r="D2461" s="2" t="s">
        <v>628</v>
      </c>
      <c r="F2461" s="2" t="s">
        <v>630</v>
      </c>
      <c r="G2461" s="72">
        <v>3.22756656E8</v>
      </c>
    </row>
    <row r="2462">
      <c r="A2462" s="2">
        <v>5.186981868E9</v>
      </c>
      <c r="B2462" s="72">
        <v>8.33472E7</v>
      </c>
      <c r="C2462" s="74">
        <v>46234.5865021875</v>
      </c>
      <c r="D2462" s="2" t="s">
        <v>628</v>
      </c>
      <c r="F2462" s="2" t="s">
        <v>2567</v>
      </c>
      <c r="G2462" s="72">
        <v>3.32679106E8</v>
      </c>
    </row>
    <row r="2463">
      <c r="A2463" s="2">
        <v>5.187640672E9</v>
      </c>
      <c r="B2463" s="72">
        <v>8.3273089E7</v>
      </c>
      <c r="C2463" s="74">
        <v>46233.960291006944</v>
      </c>
      <c r="D2463" s="2" t="s">
        <v>628</v>
      </c>
      <c r="F2463" s="2" t="s">
        <v>2568</v>
      </c>
      <c r="G2463" s="72">
        <v>3.32305011E8</v>
      </c>
    </row>
    <row r="2464">
      <c r="A2464" s="2">
        <v>5.187641421E9</v>
      </c>
      <c r="B2464" s="72">
        <v>8.1174145E7</v>
      </c>
      <c r="C2464" s="74">
        <v>46221.54352603009</v>
      </c>
      <c r="D2464" s="2" t="s">
        <v>628</v>
      </c>
      <c r="F2464" s="2" t="s">
        <v>630</v>
      </c>
      <c r="G2464" s="72">
        <v>3.23537916E8</v>
      </c>
    </row>
    <row r="2465">
      <c r="A2465" s="2">
        <v>5.187641421E9</v>
      </c>
      <c r="B2465" s="72">
        <v>8.1174145E7</v>
      </c>
      <c r="C2465" s="74">
        <v>46222.959438958336</v>
      </c>
      <c r="D2465" s="2" t="s">
        <v>628</v>
      </c>
      <c r="F2465" s="2" t="s">
        <v>933</v>
      </c>
      <c r="G2465" s="72">
        <v>3.24721628E8</v>
      </c>
    </row>
    <row r="2466">
      <c r="A2466" s="2">
        <v>5.187641421E9</v>
      </c>
      <c r="C2466" s="74">
        <v>46219.7520711574</v>
      </c>
      <c r="D2466" s="2" t="s">
        <v>628</v>
      </c>
      <c r="F2466" s="2" t="s">
        <v>934</v>
      </c>
      <c r="G2466" s="72">
        <v>3.22240678E8</v>
      </c>
    </row>
    <row r="2467">
      <c r="A2467" s="2">
        <v>5.187914776E9</v>
      </c>
      <c r="B2467" s="72">
        <v>8.1347104E7</v>
      </c>
      <c r="C2467" s="74">
        <v>46222.54536872685</v>
      </c>
      <c r="D2467" s="2" t="s">
        <v>628</v>
      </c>
      <c r="F2467" s="2" t="s">
        <v>630</v>
      </c>
      <c r="G2467" s="72">
        <v>3.24353198E8</v>
      </c>
    </row>
    <row r="2468">
      <c r="A2468" s="2">
        <v>5.187914776E9</v>
      </c>
      <c r="B2468" s="72">
        <v>8.1347104E7</v>
      </c>
      <c r="C2468" s="74">
        <v>46223.961966331015</v>
      </c>
      <c r="D2468" s="2" t="s">
        <v>628</v>
      </c>
      <c r="F2468" s="2" t="s">
        <v>2569</v>
      </c>
      <c r="G2468" s="72">
        <v>3.25369254E8</v>
      </c>
    </row>
    <row r="2469">
      <c r="A2469" s="2">
        <v>5.187914776E9</v>
      </c>
      <c r="C2469" s="74">
        <v>46220.75366516203</v>
      </c>
      <c r="D2469" s="2" t="s">
        <v>628</v>
      </c>
      <c r="F2469" s="2" t="s">
        <v>2570</v>
      </c>
      <c r="G2469" s="72">
        <v>3.2301219E8</v>
      </c>
    </row>
    <row r="2470">
      <c r="A2470" s="2">
        <v>5.188137281E9</v>
      </c>
      <c r="B2470" s="72">
        <v>8.1358061E7</v>
      </c>
      <c r="C2470" s="74">
        <v>46222.62081835648</v>
      </c>
      <c r="D2470" s="2" t="s">
        <v>628</v>
      </c>
      <c r="F2470" s="2" t="s">
        <v>757</v>
      </c>
      <c r="G2470" s="72">
        <v>3.24435446E8</v>
      </c>
    </row>
    <row r="2471">
      <c r="A2471" s="2">
        <v>5.188137281E9</v>
      </c>
      <c r="B2471" s="72">
        <v>8.1358061E7</v>
      </c>
      <c r="C2471" s="74">
        <v>46222.960830358796</v>
      </c>
      <c r="D2471" s="2" t="s">
        <v>628</v>
      </c>
      <c r="F2471" s="2" t="s">
        <v>759</v>
      </c>
      <c r="G2471" s="72">
        <v>3.24726423E8</v>
      </c>
    </row>
    <row r="2472">
      <c r="A2472" s="2">
        <v>5.188176983E9</v>
      </c>
      <c r="B2472" s="72">
        <v>8.1434654E7</v>
      </c>
      <c r="C2472" s="74">
        <v>46222.95868355324</v>
      </c>
      <c r="D2472" s="2" t="s">
        <v>628</v>
      </c>
      <c r="F2472" s="2" t="s">
        <v>1146</v>
      </c>
      <c r="G2472" s="72">
        <v>3.24720315E8</v>
      </c>
    </row>
    <row r="2473">
      <c r="A2473" s="2">
        <v>5.188377048E9</v>
      </c>
      <c r="B2473" s="72">
        <v>8.1950873E7</v>
      </c>
      <c r="C2473" s="74">
        <v>46226.54266431713</v>
      </c>
      <c r="D2473" s="2" t="s">
        <v>628</v>
      </c>
      <c r="F2473" s="2" t="s">
        <v>630</v>
      </c>
      <c r="G2473" s="72">
        <v>3.26878645E8</v>
      </c>
    </row>
    <row r="2474">
      <c r="A2474" s="2">
        <v>5.188377048E9</v>
      </c>
      <c r="B2474" s="72">
        <v>8.1950873E7</v>
      </c>
      <c r="C2474" s="74">
        <v>46227.95900802083</v>
      </c>
      <c r="D2474" s="2" t="s">
        <v>628</v>
      </c>
      <c r="F2474" s="2" t="s">
        <v>737</v>
      </c>
      <c r="G2474" s="72">
        <v>3.28113056E8</v>
      </c>
    </row>
    <row r="2475">
      <c r="A2475" s="2">
        <v>5.188477128E9</v>
      </c>
      <c r="B2475" s="72">
        <v>8.1375834E7</v>
      </c>
      <c r="C2475" s="74">
        <v>46223.96001685185</v>
      </c>
      <c r="D2475" s="2" t="s">
        <v>628</v>
      </c>
      <c r="F2475" s="2" t="s">
        <v>1183</v>
      </c>
      <c r="G2475" s="72">
        <v>3.25364462E8</v>
      </c>
    </row>
    <row r="2476">
      <c r="A2476" s="2">
        <v>5.188477128E9</v>
      </c>
      <c r="B2476" s="72">
        <v>8.1375834E7</v>
      </c>
      <c r="C2476" s="74">
        <v>46223.54439306713</v>
      </c>
      <c r="D2476" s="2" t="s">
        <v>628</v>
      </c>
      <c r="F2476" s="2" t="s">
        <v>630</v>
      </c>
      <c r="G2476" s="72">
        <v>3.24979835E8</v>
      </c>
    </row>
    <row r="2477">
      <c r="A2477" s="2">
        <v>5.188477128E9</v>
      </c>
      <c r="B2477" s="72">
        <v>8.1375834E7</v>
      </c>
      <c r="C2477" s="74">
        <v>46220.72870287037</v>
      </c>
      <c r="D2477" s="2" t="s">
        <v>705</v>
      </c>
      <c r="F2477" s="2" t="s">
        <v>2571</v>
      </c>
      <c r="G2477" s="72">
        <v>3.22974438E8</v>
      </c>
    </row>
    <row r="2478">
      <c r="A2478" s="2">
        <v>5.188477128E9</v>
      </c>
      <c r="B2478" s="72">
        <v>8.1375834E7</v>
      </c>
      <c r="C2478" s="74">
        <v>46222.74333755787</v>
      </c>
      <c r="D2478" s="2" t="s">
        <v>628</v>
      </c>
      <c r="F2478" s="2" t="s">
        <v>2572</v>
      </c>
      <c r="G2478" s="72">
        <v>3.24529924E8</v>
      </c>
    </row>
    <row r="2479">
      <c r="A2479" s="2">
        <v>5.188521343E9</v>
      </c>
      <c r="B2479" s="72">
        <v>8.2090902E7</v>
      </c>
      <c r="C2479" s="74">
        <v>46227.00069247685</v>
      </c>
      <c r="D2479" s="2" t="s">
        <v>628</v>
      </c>
      <c r="F2479" s="2" t="s">
        <v>2573</v>
      </c>
      <c r="G2479" s="72">
        <v>3.27371422E8</v>
      </c>
    </row>
    <row r="2480">
      <c r="A2480" s="2">
        <v>5.188521343E9</v>
      </c>
      <c r="B2480" s="72">
        <v>8.2090902E7</v>
      </c>
      <c r="C2480" s="74">
        <v>46229.96000184028</v>
      </c>
      <c r="D2480" s="2" t="s">
        <v>628</v>
      </c>
      <c r="F2480" s="2" t="s">
        <v>2574</v>
      </c>
      <c r="G2480" s="72">
        <v>3.29609542E8</v>
      </c>
    </row>
    <row r="2481">
      <c r="A2481" s="2">
        <v>5.188521343E9</v>
      </c>
      <c r="B2481" s="72">
        <v>8.2090902E7</v>
      </c>
      <c r="C2481" s="74">
        <v>46228.54334469908</v>
      </c>
      <c r="D2481" s="2" t="s">
        <v>628</v>
      </c>
      <c r="F2481" s="2" t="s">
        <v>630</v>
      </c>
      <c r="G2481" s="72">
        <v>3.28408965E8</v>
      </c>
    </row>
    <row r="2482">
      <c r="A2482" s="2">
        <v>5.188573625E9</v>
      </c>
      <c r="B2482" s="72">
        <v>4608164.0</v>
      </c>
      <c r="C2482" s="74">
        <v>46225.96152336805</v>
      </c>
      <c r="D2482" s="2" t="s">
        <v>628</v>
      </c>
      <c r="F2482" s="2" t="s">
        <v>2575</v>
      </c>
      <c r="G2482" s="72">
        <v>3.26634775E8</v>
      </c>
    </row>
    <row r="2483">
      <c r="A2483" s="2">
        <v>5.188573625E9</v>
      </c>
      <c r="B2483" s="72">
        <v>4608164.0</v>
      </c>
      <c r="C2483" s="74">
        <v>46222.75363244213</v>
      </c>
      <c r="D2483" s="2" t="s">
        <v>628</v>
      </c>
      <c r="F2483" s="2" t="s">
        <v>2576</v>
      </c>
      <c r="G2483" s="72">
        <v>3.24552115E8</v>
      </c>
    </row>
    <row r="2484">
      <c r="A2484" s="2">
        <v>5.188573625E9</v>
      </c>
      <c r="B2484" s="72">
        <v>4608164.0</v>
      </c>
      <c r="C2484" s="74">
        <v>46224.54486163195</v>
      </c>
      <c r="D2484" s="2" t="s">
        <v>628</v>
      </c>
      <c r="F2484" s="2" t="s">
        <v>630</v>
      </c>
      <c r="G2484" s="72">
        <v>3.25619489E8</v>
      </c>
    </row>
    <row r="2485">
      <c r="A2485" s="2">
        <v>5.188600203E9</v>
      </c>
      <c r="B2485" s="72">
        <v>3217025.0</v>
      </c>
      <c r="C2485" s="74">
        <v>46223.75405030092</v>
      </c>
      <c r="D2485" s="2" t="s">
        <v>628</v>
      </c>
      <c r="F2485" s="2" t="s">
        <v>2577</v>
      </c>
      <c r="G2485" s="72">
        <v>3.25176838E8</v>
      </c>
    </row>
    <row r="2486">
      <c r="A2486" s="2">
        <v>5.188600203E9</v>
      </c>
      <c r="B2486" s="72">
        <v>3217025.0</v>
      </c>
      <c r="C2486" s="74">
        <v>46225.54626175926</v>
      </c>
      <c r="D2486" s="2" t="s">
        <v>628</v>
      </c>
      <c r="F2486" s="2" t="s">
        <v>630</v>
      </c>
      <c r="G2486" s="72">
        <v>3.26252199E8</v>
      </c>
    </row>
    <row r="2487">
      <c r="A2487" s="2">
        <v>5.188600203E9</v>
      </c>
      <c r="B2487" s="72">
        <v>3217025.0</v>
      </c>
      <c r="C2487" s="74">
        <v>46226.961572002314</v>
      </c>
      <c r="D2487" s="2" t="s">
        <v>628</v>
      </c>
      <c r="F2487" s="2" t="s">
        <v>2578</v>
      </c>
      <c r="G2487" s="72">
        <v>3.27342373E8</v>
      </c>
    </row>
    <row r="2488">
      <c r="A2488" s="2">
        <v>5.188602799E9</v>
      </c>
      <c r="B2488" s="72">
        <v>8.2338127E7</v>
      </c>
      <c r="C2488" s="74">
        <v>46228.95962916667</v>
      </c>
      <c r="D2488" s="2" t="s">
        <v>628</v>
      </c>
      <c r="F2488" s="2" t="s">
        <v>2579</v>
      </c>
      <c r="G2488" s="72">
        <v>3.28858621E8</v>
      </c>
    </row>
    <row r="2489">
      <c r="A2489" s="2">
        <v>5.188602799E9</v>
      </c>
      <c r="B2489" s="72">
        <v>8.2338127E7</v>
      </c>
      <c r="C2489" s="74">
        <v>46228.543026307874</v>
      </c>
      <c r="D2489" s="2" t="s">
        <v>628</v>
      </c>
      <c r="F2489" s="2" t="s">
        <v>630</v>
      </c>
      <c r="G2489" s="72">
        <v>3.28405379E8</v>
      </c>
    </row>
    <row r="2490">
      <c r="A2490" s="2">
        <v>5.188921309E9</v>
      </c>
      <c r="B2490" s="72">
        <v>8.3361727E7</v>
      </c>
      <c r="C2490" s="74">
        <v>46234.82264576389</v>
      </c>
      <c r="D2490" s="2" t="s">
        <v>705</v>
      </c>
      <c r="F2490" s="2" t="s">
        <v>2580</v>
      </c>
      <c r="G2490" s="72">
        <v>3.32939994E8</v>
      </c>
    </row>
    <row r="2491">
      <c r="A2491" s="2">
        <v>5.188921309E9</v>
      </c>
      <c r="B2491" s="72">
        <v>8.3361727E7</v>
      </c>
      <c r="C2491" s="74">
        <v>46234.66186875</v>
      </c>
      <c r="D2491" s="2" t="s">
        <v>628</v>
      </c>
      <c r="F2491" s="2" t="s">
        <v>2581</v>
      </c>
      <c r="G2491" s="72">
        <v>3.32754586E8</v>
      </c>
    </row>
    <row r="2492">
      <c r="A2492" s="2">
        <v>5.188940964E9</v>
      </c>
      <c r="C2492" s="74">
        <v>46218.75178351851</v>
      </c>
      <c r="D2492" s="2" t="s">
        <v>628</v>
      </c>
      <c r="F2492" s="2" t="s">
        <v>893</v>
      </c>
      <c r="G2492" s="72">
        <v>3.21564711E8</v>
      </c>
    </row>
    <row r="2493">
      <c r="A2493" s="2">
        <v>5.188940964E9</v>
      </c>
      <c r="B2493" s="72">
        <v>8.0923211E7</v>
      </c>
      <c r="C2493" s="74">
        <v>46219.96017269676</v>
      </c>
      <c r="D2493" s="2" t="s">
        <v>628</v>
      </c>
      <c r="F2493" s="2" t="s">
        <v>892</v>
      </c>
      <c r="G2493" s="72">
        <v>3.22475433E8</v>
      </c>
    </row>
    <row r="2494">
      <c r="A2494" s="2">
        <v>5.189204706E9</v>
      </c>
      <c r="B2494" s="72">
        <v>8.1665537E7</v>
      </c>
      <c r="C2494" s="74">
        <v>46225.95934179398</v>
      </c>
      <c r="D2494" s="2" t="s">
        <v>628</v>
      </c>
      <c r="F2494" s="2" t="s">
        <v>2582</v>
      </c>
      <c r="G2494" s="72">
        <v>3.26627882E8</v>
      </c>
    </row>
    <row r="2495">
      <c r="A2495" s="2">
        <v>5.189204706E9</v>
      </c>
      <c r="B2495" s="72">
        <v>8.1665537E7</v>
      </c>
      <c r="C2495" s="74">
        <v>46224.682863622686</v>
      </c>
      <c r="D2495" s="2" t="s">
        <v>628</v>
      </c>
      <c r="F2495" s="2" t="s">
        <v>2583</v>
      </c>
      <c r="G2495" s="72">
        <v>3.25747555E8</v>
      </c>
    </row>
    <row r="2496">
      <c r="A2496" s="2">
        <v>5.189204706E9</v>
      </c>
      <c r="B2496" s="72">
        <v>8.1665537E7</v>
      </c>
      <c r="C2496" s="74">
        <v>46225.54228840278</v>
      </c>
      <c r="D2496" s="2" t="s">
        <v>628</v>
      </c>
      <c r="F2496" s="2" t="s">
        <v>630</v>
      </c>
      <c r="G2496" s="72">
        <v>3.26214386E8</v>
      </c>
    </row>
    <row r="2497">
      <c r="A2497" s="2">
        <v>5.189208388E9</v>
      </c>
      <c r="B2497" s="72">
        <v>8.1525626E7</v>
      </c>
      <c r="C2497" s="74">
        <v>46223.882895532406</v>
      </c>
      <c r="D2497" s="2" t="s">
        <v>705</v>
      </c>
      <c r="F2497" s="2" t="s">
        <v>2584</v>
      </c>
      <c r="G2497" s="72">
        <v>3.25299669E8</v>
      </c>
    </row>
    <row r="2498">
      <c r="A2498" s="2">
        <v>5.189208388E9</v>
      </c>
      <c r="B2498" s="72">
        <v>8.1525626E7</v>
      </c>
      <c r="C2498" s="74">
        <v>46225.5456491088</v>
      </c>
      <c r="D2498" s="2" t="s">
        <v>705</v>
      </c>
      <c r="F2498" s="2" t="s">
        <v>2585</v>
      </c>
      <c r="G2498" s="72">
        <v>3.26242719E8</v>
      </c>
    </row>
    <row r="2499">
      <c r="A2499" s="2">
        <v>5.189208388E9</v>
      </c>
      <c r="B2499" s="72">
        <v>8.1525626E7</v>
      </c>
      <c r="C2499" s="74">
        <v>46225.54503378472</v>
      </c>
      <c r="D2499" s="2" t="s">
        <v>628</v>
      </c>
      <c r="F2499" s="2" t="s">
        <v>630</v>
      </c>
      <c r="G2499" s="72">
        <v>3.26238473E8</v>
      </c>
    </row>
    <row r="2500">
      <c r="A2500" s="2">
        <v>5.189208388E9</v>
      </c>
      <c r="B2500" s="72">
        <v>8.1525626E7</v>
      </c>
      <c r="C2500" s="74">
        <v>46228.96071126158</v>
      </c>
      <c r="D2500" s="2" t="s">
        <v>628</v>
      </c>
      <c r="F2500" s="2" t="s">
        <v>2586</v>
      </c>
      <c r="G2500" s="72">
        <v>3.28865261E8</v>
      </c>
    </row>
    <row r="2501">
      <c r="A2501" s="2">
        <v>5.189208388E9</v>
      </c>
      <c r="B2501" s="72">
        <v>8.1525626E7</v>
      </c>
      <c r="C2501" s="74">
        <v>46223.8788769213</v>
      </c>
      <c r="D2501" s="2" t="s">
        <v>705</v>
      </c>
      <c r="F2501" s="2" t="s">
        <v>2587</v>
      </c>
      <c r="G2501" s="72">
        <v>3.25295756E8</v>
      </c>
    </row>
    <row r="2502">
      <c r="A2502" s="2">
        <v>5.189208388E9</v>
      </c>
      <c r="B2502" s="72">
        <v>8.1525626E7</v>
      </c>
      <c r="C2502" s="74">
        <v>46223.88313825231</v>
      </c>
      <c r="D2502" s="2" t="s">
        <v>667</v>
      </c>
      <c r="E2502" s="2" t="s">
        <v>1332</v>
      </c>
      <c r="F2502" s="2" t="s">
        <v>2588</v>
      </c>
      <c r="G2502" s="72">
        <v>3.25299809E8</v>
      </c>
    </row>
    <row r="2503">
      <c r="A2503" s="2">
        <v>5.189208388E9</v>
      </c>
      <c r="B2503" s="72">
        <v>8.1525626E7</v>
      </c>
      <c r="C2503" s="74">
        <v>46223.752985266205</v>
      </c>
      <c r="D2503" s="2" t="s">
        <v>628</v>
      </c>
      <c r="F2503" s="2" t="s">
        <v>2589</v>
      </c>
      <c r="G2503" s="72">
        <v>3.25171413E8</v>
      </c>
    </row>
    <row r="2504">
      <c r="A2504" s="2">
        <v>5.189208388E9</v>
      </c>
      <c r="B2504" s="72">
        <v>8.1525626E7</v>
      </c>
      <c r="C2504" s="74">
        <v>46223.8815777662</v>
      </c>
      <c r="D2504" s="2" t="s">
        <v>667</v>
      </c>
      <c r="E2504" s="2" t="s">
        <v>1332</v>
      </c>
      <c r="F2504" s="2" t="s">
        <v>2590</v>
      </c>
      <c r="G2504" s="72">
        <v>3.25298675E8</v>
      </c>
    </row>
    <row r="2505">
      <c r="A2505" s="2">
        <v>5.189215634E9</v>
      </c>
      <c r="B2505" s="72">
        <v>8.3102747E7</v>
      </c>
      <c r="C2505" s="74">
        <v>46233.02902847222</v>
      </c>
      <c r="D2505" s="2" t="s">
        <v>628</v>
      </c>
      <c r="F2505" s="2" t="s">
        <v>659</v>
      </c>
      <c r="G2505" s="72">
        <v>3.31639379E8</v>
      </c>
    </row>
    <row r="2506">
      <c r="A2506" s="2">
        <v>5.189215634E9</v>
      </c>
      <c r="B2506" s="72">
        <v>8.3102747E7</v>
      </c>
      <c r="C2506" s="74">
        <v>46234.54316587963</v>
      </c>
      <c r="D2506" s="2" t="s">
        <v>628</v>
      </c>
      <c r="F2506" s="2" t="s">
        <v>630</v>
      </c>
      <c r="G2506" s="72">
        <v>3.32592712E8</v>
      </c>
    </row>
    <row r="2507">
      <c r="A2507" s="2">
        <v>5.189285456E9</v>
      </c>
      <c r="B2507" s="72">
        <v>8.1172642E7</v>
      </c>
      <c r="C2507" s="74">
        <v>46221.95907196759</v>
      </c>
      <c r="D2507" s="2" t="s">
        <v>628</v>
      </c>
      <c r="F2507" s="2" t="s">
        <v>2591</v>
      </c>
      <c r="G2507" s="72">
        <v>3.23988016E8</v>
      </c>
    </row>
    <row r="2508">
      <c r="A2508" s="2">
        <v>5.189285456E9</v>
      </c>
      <c r="B2508" s="72">
        <v>8.1172642E7</v>
      </c>
      <c r="C2508" s="74">
        <v>46221.542843483796</v>
      </c>
      <c r="D2508" s="2" t="s">
        <v>628</v>
      </c>
      <c r="F2508" s="2" t="s">
        <v>630</v>
      </c>
      <c r="G2508" s="72">
        <v>3.23528906E8</v>
      </c>
    </row>
    <row r="2509">
      <c r="A2509" s="2">
        <v>5.189285456E9</v>
      </c>
      <c r="C2509" s="74">
        <v>46219.75205459491</v>
      </c>
      <c r="D2509" s="2" t="s">
        <v>628</v>
      </c>
      <c r="F2509" s="2" t="s">
        <v>2592</v>
      </c>
      <c r="G2509" s="72">
        <v>3.22240548E8</v>
      </c>
    </row>
    <row r="2510">
      <c r="A2510" s="2">
        <v>5.189610079E9</v>
      </c>
      <c r="B2510" s="72">
        <v>8.3205579E7</v>
      </c>
      <c r="C2510" s="74">
        <v>46234.546379374995</v>
      </c>
      <c r="D2510" s="2" t="s">
        <v>667</v>
      </c>
      <c r="E2510" s="2" t="s">
        <v>1332</v>
      </c>
      <c r="F2510" s="2" t="s">
        <v>2593</v>
      </c>
      <c r="G2510" s="72">
        <v>3.32636033E8</v>
      </c>
    </row>
    <row r="2511">
      <c r="A2511" s="2">
        <v>5.189610079E9</v>
      </c>
      <c r="B2511" s="72">
        <v>8.3205579E7</v>
      </c>
      <c r="C2511" s="74">
        <v>46234.96050773148</v>
      </c>
      <c r="D2511" s="2" t="s">
        <v>628</v>
      </c>
      <c r="F2511" s="2" t="s">
        <v>2532</v>
      </c>
      <c r="G2511" s="72">
        <v>3.33099874E8</v>
      </c>
    </row>
    <row r="2512">
      <c r="A2512" s="2">
        <v>5.189610079E9</v>
      </c>
      <c r="B2512" s="72">
        <v>8.3205579E7</v>
      </c>
      <c r="C2512" s="74">
        <v>46233.778314560186</v>
      </c>
      <c r="D2512" s="2" t="s">
        <v>628</v>
      </c>
      <c r="F2512" s="2" t="s">
        <v>2531</v>
      </c>
      <c r="G2512" s="72">
        <v>3.32103929E8</v>
      </c>
    </row>
    <row r="2513">
      <c r="A2513" s="2">
        <v>5.70885277E9</v>
      </c>
      <c r="B2513" s="72">
        <v>8.2760074E7</v>
      </c>
      <c r="C2513" s="74">
        <v>46230.95987859953</v>
      </c>
      <c r="D2513" s="2" t="s">
        <v>628</v>
      </c>
      <c r="F2513" s="2" t="s">
        <v>1785</v>
      </c>
      <c r="G2513" s="72">
        <v>3.30267671E8</v>
      </c>
    </row>
    <row r="2514">
      <c r="A2514" s="2">
        <v>5.852034672E9</v>
      </c>
      <c r="B2514" s="72">
        <v>8.3009536E7</v>
      </c>
      <c r="C2514" s="74">
        <v>46232.76337810185</v>
      </c>
      <c r="D2514" s="2" t="s">
        <v>667</v>
      </c>
      <c r="E2514" s="2" t="s">
        <v>1332</v>
      </c>
      <c r="F2514" s="2" t="s">
        <v>2594</v>
      </c>
      <c r="G2514" s="72">
        <v>3.31400217E8</v>
      </c>
    </row>
    <row r="2515">
      <c r="A2515" s="2">
        <v>5.852034672E9</v>
      </c>
      <c r="B2515" s="72">
        <v>8.3009536E7</v>
      </c>
      <c r="C2515" s="74">
        <v>46232.70617399305</v>
      </c>
      <c r="D2515" s="2" t="s">
        <v>628</v>
      </c>
      <c r="F2515" s="2" t="s">
        <v>2595</v>
      </c>
      <c r="G2515" s="72">
        <v>3.31339872E8</v>
      </c>
    </row>
    <row r="2516">
      <c r="A2516" s="2">
        <v>5.852034672E9</v>
      </c>
      <c r="B2516" s="72">
        <v>8.3009536E7</v>
      </c>
      <c r="C2516" s="74">
        <v>46233.96104015046</v>
      </c>
      <c r="D2516" s="2" t="s">
        <v>628</v>
      </c>
      <c r="F2516" s="2" t="s">
        <v>2596</v>
      </c>
      <c r="G2516" s="72">
        <v>3.32307588E8</v>
      </c>
    </row>
    <row r="2517">
      <c r="A2517" s="2">
        <v>5.852034672E9</v>
      </c>
      <c r="B2517" s="72">
        <v>8.3009536E7</v>
      </c>
      <c r="C2517" s="74">
        <v>46233.54544769676</v>
      </c>
      <c r="D2517" s="2" t="s">
        <v>628</v>
      </c>
      <c r="F2517" s="2" t="s">
        <v>630</v>
      </c>
      <c r="G2517" s="72">
        <v>3.31864994E8</v>
      </c>
    </row>
    <row r="2518">
      <c r="A2518" s="2">
        <v>5.862228995E9</v>
      </c>
      <c r="B2518" s="72">
        <v>8.0152136E7</v>
      </c>
      <c r="C2518" s="74">
        <v>46216.54357821759</v>
      </c>
      <c r="D2518" s="2" t="s">
        <v>628</v>
      </c>
      <c r="F2518" s="2" t="s">
        <v>630</v>
      </c>
      <c r="G2518" s="72">
        <v>3.20098584E8</v>
      </c>
    </row>
    <row r="2519">
      <c r="A2519" s="2">
        <v>5.862228995E9</v>
      </c>
      <c r="B2519" s="72">
        <v>8.0152136E7</v>
      </c>
      <c r="C2519" s="74">
        <v>46217.959932638885</v>
      </c>
      <c r="D2519" s="2" t="s">
        <v>628</v>
      </c>
      <c r="F2519" s="2" t="s">
        <v>2597</v>
      </c>
      <c r="G2519" s="72">
        <v>3.21112476E8</v>
      </c>
    </row>
    <row r="2520">
      <c r="A2520" s="2">
        <v>5.862228995E9</v>
      </c>
      <c r="B2520" s="72">
        <v>8.0152136E7</v>
      </c>
      <c r="C2520" s="74">
        <v>46215.06326740741</v>
      </c>
      <c r="D2520" s="2" t="s">
        <v>628</v>
      </c>
      <c r="F2520" s="2" t="s">
        <v>2598</v>
      </c>
      <c r="G2520" s="72">
        <v>3.19221322E8</v>
      </c>
    </row>
    <row r="2521">
      <c r="A2521" s="2" t="s">
        <v>2599</v>
      </c>
      <c r="B2521" s="72">
        <v>3.4656638E7</v>
      </c>
      <c r="C2521" s="74">
        <v>46222.543108275466</v>
      </c>
      <c r="D2521" s="2" t="s">
        <v>628</v>
      </c>
      <c r="F2521" s="2" t="s">
        <v>630</v>
      </c>
      <c r="G2521" s="72">
        <v>3.24317037E8</v>
      </c>
    </row>
    <row r="2522">
      <c r="A2522" s="2" t="s">
        <v>2599</v>
      </c>
      <c r="B2522" s="72">
        <v>3.4656638E7</v>
      </c>
      <c r="C2522" s="74">
        <v>46226.9596075</v>
      </c>
      <c r="D2522" s="2" t="s">
        <v>628</v>
      </c>
      <c r="F2522" s="2" t="s">
        <v>1146</v>
      </c>
      <c r="G2522" s="72">
        <v>3.27335003E8</v>
      </c>
    </row>
    <row r="2523">
      <c r="A2523" s="2" t="s">
        <v>2599</v>
      </c>
      <c r="B2523" s="72">
        <v>3.4656638E7</v>
      </c>
      <c r="C2523" s="74">
        <v>46220.7514002199</v>
      </c>
      <c r="D2523" s="2" t="s">
        <v>628</v>
      </c>
      <c r="F2523" s="2" t="s">
        <v>1143</v>
      </c>
      <c r="G2523" s="72">
        <v>3.22993337E8</v>
      </c>
    </row>
    <row r="2524">
      <c r="A2524" s="2">
        <v>6.032090781E9</v>
      </c>
      <c r="B2524" s="72">
        <v>8.2656204E7</v>
      </c>
      <c r="C2524" s="74">
        <v>46230.9615155787</v>
      </c>
      <c r="D2524" s="2" t="s">
        <v>628</v>
      </c>
      <c r="F2524" s="2" t="s">
        <v>838</v>
      </c>
      <c r="G2524" s="72">
        <v>3.30272606E8</v>
      </c>
    </row>
    <row r="2525">
      <c r="A2525" s="2">
        <v>6.032090781E9</v>
      </c>
      <c r="B2525" s="72">
        <v>8.2656204E7</v>
      </c>
      <c r="C2525" s="74">
        <v>46230.54552583334</v>
      </c>
      <c r="D2525" s="2" t="s">
        <v>628</v>
      </c>
      <c r="F2525" s="2" t="s">
        <v>630</v>
      </c>
      <c r="G2525" s="72">
        <v>3.29874666E8</v>
      </c>
    </row>
    <row r="2526">
      <c r="A2526" s="2">
        <v>6.032090781E9</v>
      </c>
      <c r="C2526" s="74">
        <v>46228.7537580787</v>
      </c>
      <c r="D2526" s="2" t="s">
        <v>628</v>
      </c>
      <c r="F2526" s="2" t="s">
        <v>785</v>
      </c>
      <c r="G2526" s="72">
        <v>3.2865395E8</v>
      </c>
    </row>
    <row r="2527">
      <c r="A2527" s="2">
        <v>6.032440684E9</v>
      </c>
      <c r="B2527" s="72">
        <v>8344885.0</v>
      </c>
      <c r="C2527" s="74">
        <v>46227.75426383102</v>
      </c>
      <c r="D2527" s="2" t="s">
        <v>628</v>
      </c>
      <c r="F2527" s="2" t="s">
        <v>2600</v>
      </c>
      <c r="G2527" s="72">
        <v>3.27887022E8</v>
      </c>
    </row>
    <row r="2528">
      <c r="A2528" s="2">
        <v>6.032440684E9</v>
      </c>
      <c r="B2528" s="72">
        <v>8344885.0</v>
      </c>
      <c r="C2528" s="74">
        <v>46228.96177930555</v>
      </c>
      <c r="D2528" s="2" t="s">
        <v>628</v>
      </c>
      <c r="F2528" s="2" t="s">
        <v>2601</v>
      </c>
      <c r="G2528" s="72">
        <v>3.28870163E8</v>
      </c>
    </row>
    <row r="2529">
      <c r="A2529" s="2">
        <v>6.032520003E9</v>
      </c>
      <c r="C2529" s="74">
        <v>46208.75236254629</v>
      </c>
      <c r="D2529" s="2" t="s">
        <v>628</v>
      </c>
      <c r="F2529" s="2" t="s">
        <v>2602</v>
      </c>
      <c r="G2529" s="72">
        <v>3.14994728E8</v>
      </c>
    </row>
    <row r="2530">
      <c r="A2530" s="2">
        <v>6.032520003E9</v>
      </c>
      <c r="B2530" s="72">
        <v>7.9353116E7</v>
      </c>
      <c r="C2530" s="74">
        <v>46210.5439210301</v>
      </c>
      <c r="D2530" s="2" t="s">
        <v>628</v>
      </c>
      <c r="F2530" s="2" t="s">
        <v>630</v>
      </c>
      <c r="G2530" s="72">
        <v>3.16015656E8</v>
      </c>
    </row>
    <row r="2531">
      <c r="A2531" s="2">
        <v>6.032520003E9</v>
      </c>
      <c r="B2531" s="72">
        <v>7.9353116E7</v>
      </c>
      <c r="C2531" s="74">
        <v>46211.96015351852</v>
      </c>
      <c r="D2531" s="2" t="s">
        <v>628</v>
      </c>
      <c r="F2531" s="2" t="s">
        <v>2603</v>
      </c>
      <c r="G2531" s="72">
        <v>3.16985409E8</v>
      </c>
    </row>
    <row r="2532">
      <c r="A2532" s="2">
        <v>6.03252117E9</v>
      </c>
      <c r="B2532" s="72">
        <v>7591941.0</v>
      </c>
      <c r="C2532" s="74">
        <v>46229.96152456019</v>
      </c>
      <c r="D2532" s="2" t="s">
        <v>628</v>
      </c>
      <c r="F2532" s="2" t="s">
        <v>2604</v>
      </c>
      <c r="G2532" s="72">
        <v>3.29614982E8</v>
      </c>
    </row>
    <row r="2533">
      <c r="A2533" s="2">
        <v>6.032618383E9</v>
      </c>
      <c r="B2533" s="72">
        <v>8.3197756E7</v>
      </c>
      <c r="C2533" s="74">
        <v>46233.7535141088</v>
      </c>
      <c r="D2533" s="2" t="s">
        <v>628</v>
      </c>
      <c r="F2533" s="2" t="s">
        <v>2605</v>
      </c>
      <c r="G2533" s="72">
        <v>3.32080523E8</v>
      </c>
    </row>
    <row r="2534">
      <c r="A2534" s="2">
        <v>6.032760651E9</v>
      </c>
      <c r="B2534" s="72">
        <v>8.0422112E7</v>
      </c>
      <c r="C2534" s="74">
        <v>46216.96159039352</v>
      </c>
      <c r="D2534" s="2" t="s">
        <v>628</v>
      </c>
      <c r="F2534" s="2" t="s">
        <v>2606</v>
      </c>
      <c r="G2534" s="72">
        <v>3.20487771E8</v>
      </c>
    </row>
    <row r="2535">
      <c r="A2535" s="2">
        <v>6.032768217E9</v>
      </c>
      <c r="B2535" s="72">
        <v>8.1846137E7</v>
      </c>
      <c r="C2535" s="74">
        <v>46227.54377053241</v>
      </c>
      <c r="D2535" s="2" t="s">
        <v>628</v>
      </c>
      <c r="F2535" s="2" t="s">
        <v>630</v>
      </c>
      <c r="G2535" s="72">
        <v>3.27625696E8</v>
      </c>
    </row>
    <row r="2536">
      <c r="A2536" s="2">
        <v>6.032768217E9</v>
      </c>
      <c r="B2536" s="72">
        <v>8.1846137E7</v>
      </c>
      <c r="C2536" s="74">
        <v>46227.9593655787</v>
      </c>
      <c r="D2536" s="2" t="s">
        <v>628</v>
      </c>
      <c r="F2536" s="2" t="s">
        <v>2169</v>
      </c>
      <c r="G2536" s="72">
        <v>3.28113993E8</v>
      </c>
    </row>
    <row r="2537">
      <c r="A2537" s="2">
        <v>6.033048013E9</v>
      </c>
      <c r="B2537" s="72">
        <v>8.1383314E7</v>
      </c>
      <c r="C2537" s="74">
        <v>46222.75351923611</v>
      </c>
      <c r="D2537" s="2" t="s">
        <v>628</v>
      </c>
      <c r="F2537" s="2" t="s">
        <v>2607</v>
      </c>
      <c r="G2537" s="72">
        <v>3.24551496E8</v>
      </c>
    </row>
    <row r="2538">
      <c r="A2538" s="2">
        <v>6.033048013E9</v>
      </c>
      <c r="B2538" s="72">
        <v>8.1383314E7</v>
      </c>
      <c r="C2538" s="74">
        <v>46225.96211340278</v>
      </c>
      <c r="D2538" s="2" t="s">
        <v>628</v>
      </c>
      <c r="F2538" s="2" t="s">
        <v>2608</v>
      </c>
      <c r="G2538" s="72">
        <v>3.26636784E8</v>
      </c>
    </row>
    <row r="2539">
      <c r="A2539" s="2">
        <v>6.033048013E9</v>
      </c>
      <c r="B2539" s="72">
        <v>8.1383314E7</v>
      </c>
      <c r="C2539" s="74">
        <v>46224.54528627315</v>
      </c>
      <c r="D2539" s="2" t="s">
        <v>628</v>
      </c>
      <c r="F2539" s="2" t="s">
        <v>630</v>
      </c>
      <c r="G2539" s="72">
        <v>3.25624053E8</v>
      </c>
    </row>
    <row r="2540">
      <c r="A2540" s="2">
        <v>6.03320293E9</v>
      </c>
      <c r="B2540" s="72">
        <v>9934533.0</v>
      </c>
      <c r="C2540" s="74">
        <v>46227.962257349536</v>
      </c>
      <c r="D2540" s="2" t="s">
        <v>705</v>
      </c>
      <c r="F2540" s="2" t="s">
        <v>2609</v>
      </c>
      <c r="G2540" s="72">
        <v>3.28123692E8</v>
      </c>
    </row>
    <row r="2541">
      <c r="A2541" s="2">
        <v>6.03320293E9</v>
      </c>
      <c r="B2541" s="72">
        <v>9934533.0</v>
      </c>
      <c r="C2541" s="74">
        <v>46227.9615825463</v>
      </c>
      <c r="D2541" s="2" t="s">
        <v>628</v>
      </c>
      <c r="F2541" s="2" t="s">
        <v>1676</v>
      </c>
      <c r="G2541" s="72">
        <v>3.28121721E8</v>
      </c>
    </row>
    <row r="2542">
      <c r="A2542" s="2">
        <v>6.033214042E9</v>
      </c>
      <c r="B2542" s="72">
        <v>8.2763092E7</v>
      </c>
      <c r="C2542" s="74">
        <v>46230.969893981484</v>
      </c>
      <c r="D2542" s="2" t="s">
        <v>628</v>
      </c>
      <c r="F2542" s="2" t="s">
        <v>2610</v>
      </c>
      <c r="G2542" s="72">
        <v>3.30280558E8</v>
      </c>
    </row>
    <row r="2543">
      <c r="A2543" s="2">
        <v>6.033253088E9</v>
      </c>
      <c r="B2543" s="72">
        <v>8.195775E7</v>
      </c>
      <c r="C2543" s="74">
        <v>46224.761298067126</v>
      </c>
      <c r="D2543" s="2" t="s">
        <v>705</v>
      </c>
      <c r="F2543" s="2" t="s">
        <v>2611</v>
      </c>
      <c r="G2543" s="72">
        <v>3.25809836E8</v>
      </c>
    </row>
    <row r="2544">
      <c r="A2544" s="2">
        <v>6.033253088E9</v>
      </c>
      <c r="B2544" s="72">
        <v>8.195775E7</v>
      </c>
      <c r="C2544" s="74">
        <v>46226.962280162035</v>
      </c>
      <c r="D2544" s="2" t="s">
        <v>628</v>
      </c>
      <c r="F2544" s="2" t="s">
        <v>1863</v>
      </c>
      <c r="G2544" s="72">
        <v>3.27344948E8</v>
      </c>
    </row>
    <row r="2545">
      <c r="A2545" s="2">
        <v>6.033253088E9</v>
      </c>
      <c r="B2545" s="72">
        <v>8.195775E7</v>
      </c>
      <c r="C2545" s="74">
        <v>46226.54570861111</v>
      </c>
      <c r="D2545" s="2" t="s">
        <v>628</v>
      </c>
      <c r="F2545" s="2" t="s">
        <v>630</v>
      </c>
      <c r="G2545" s="72">
        <v>3.26916157E8</v>
      </c>
    </row>
    <row r="2546">
      <c r="A2546" s="2">
        <v>6.033253088E9</v>
      </c>
      <c r="C2546" s="74">
        <v>46224.75386435185</v>
      </c>
      <c r="D2546" s="2" t="s">
        <v>628</v>
      </c>
      <c r="F2546" s="2" t="s">
        <v>1862</v>
      </c>
      <c r="G2546" s="72">
        <v>3.25804528E8</v>
      </c>
    </row>
    <row r="2547">
      <c r="A2547" s="2">
        <v>6.033488705E9</v>
      </c>
      <c r="B2547" s="72">
        <v>1.2240053E7</v>
      </c>
      <c r="C2547" s="74">
        <v>46224.96173092593</v>
      </c>
      <c r="D2547" s="2" t="s">
        <v>628</v>
      </c>
      <c r="F2547" s="2" t="s">
        <v>2555</v>
      </c>
      <c r="G2547" s="72">
        <v>3.25991175E8</v>
      </c>
    </row>
    <row r="2548">
      <c r="A2548" s="2">
        <v>6.033488705E9</v>
      </c>
      <c r="C2548" s="74">
        <v>46221.75336174769</v>
      </c>
      <c r="D2548" s="2" t="s">
        <v>628</v>
      </c>
      <c r="F2548" s="2" t="s">
        <v>2612</v>
      </c>
      <c r="G2548" s="72">
        <v>3.23781699E8</v>
      </c>
    </row>
    <row r="2549">
      <c r="A2549" s="2">
        <v>6.033488705E9</v>
      </c>
      <c r="B2549" s="72">
        <v>1.2240053E7</v>
      </c>
      <c r="C2549" s="74">
        <v>46223.544784791666</v>
      </c>
      <c r="D2549" s="2" t="s">
        <v>628</v>
      </c>
      <c r="F2549" s="2" t="s">
        <v>630</v>
      </c>
      <c r="G2549" s="72">
        <v>3.24986612E8</v>
      </c>
    </row>
    <row r="2550">
      <c r="A2550" s="2">
        <v>6.033598127E9</v>
      </c>
      <c r="B2550" s="72">
        <v>5557372.0</v>
      </c>
      <c r="C2550" s="74">
        <v>46219.754325925926</v>
      </c>
      <c r="D2550" s="2" t="s">
        <v>628</v>
      </c>
      <c r="F2550" s="2" t="s">
        <v>915</v>
      </c>
      <c r="G2550" s="72">
        <v>3.22259919E8</v>
      </c>
    </row>
    <row r="2551">
      <c r="A2551" s="2">
        <v>6.033598127E9</v>
      </c>
      <c r="B2551" s="72">
        <v>5557372.0</v>
      </c>
      <c r="C2551" s="74">
        <v>46221.9610794676</v>
      </c>
      <c r="D2551" s="2" t="s">
        <v>628</v>
      </c>
      <c r="F2551" s="2" t="s">
        <v>916</v>
      </c>
      <c r="G2551" s="72">
        <v>3.23999123E8</v>
      </c>
    </row>
    <row r="2552">
      <c r="A2552" s="2">
        <v>6.033598127E9</v>
      </c>
      <c r="B2552" s="72">
        <v>5557372.0</v>
      </c>
      <c r="C2552" s="74">
        <v>46221.544832569445</v>
      </c>
      <c r="D2552" s="2" t="s">
        <v>628</v>
      </c>
      <c r="F2552" s="2" t="s">
        <v>630</v>
      </c>
      <c r="G2552" s="72">
        <v>3.23554687E8</v>
      </c>
    </row>
    <row r="2553">
      <c r="A2553" s="2">
        <v>6.033818134E9</v>
      </c>
      <c r="B2553" s="72">
        <v>8.0576566E7</v>
      </c>
      <c r="C2553" s="74">
        <v>46217.96008372685</v>
      </c>
      <c r="D2553" s="2" t="s">
        <v>628</v>
      </c>
      <c r="F2553" s="2" t="s">
        <v>674</v>
      </c>
      <c r="G2553" s="72">
        <v>3.21112965E8</v>
      </c>
    </row>
    <row r="2554">
      <c r="A2554" s="2">
        <v>6.034383418E9</v>
      </c>
      <c r="B2554" s="72">
        <v>8.012995E7</v>
      </c>
      <c r="C2554" s="74">
        <v>46214.95964472222</v>
      </c>
      <c r="D2554" s="2" t="s">
        <v>628</v>
      </c>
      <c r="F2554" s="2" t="s">
        <v>2613</v>
      </c>
      <c r="G2554" s="72">
        <v>3.19130374E8</v>
      </c>
    </row>
    <row r="2555">
      <c r="A2555" s="2">
        <v>6.034405957E9</v>
      </c>
      <c r="B2555" s="72">
        <v>8.2081467E7</v>
      </c>
      <c r="C2555" s="74">
        <v>46226.96132318287</v>
      </c>
      <c r="D2555" s="2" t="s">
        <v>628</v>
      </c>
      <c r="F2555" s="2" t="s">
        <v>1375</v>
      </c>
      <c r="G2555" s="72">
        <v>3.27341348E8</v>
      </c>
    </row>
    <row r="2556">
      <c r="A2556" s="2">
        <v>6.034755533E9</v>
      </c>
      <c r="B2556" s="72">
        <v>8.092326E7</v>
      </c>
      <c r="C2556" s="74">
        <v>46219.96025304398</v>
      </c>
      <c r="D2556" s="2" t="s">
        <v>628</v>
      </c>
      <c r="F2556" s="2" t="s">
        <v>2007</v>
      </c>
      <c r="G2556" s="72">
        <v>3.22475813E8</v>
      </c>
    </row>
    <row r="2557">
      <c r="A2557" s="2">
        <v>6.034779443E9</v>
      </c>
      <c r="B2557" s="72">
        <v>8.0923382E7</v>
      </c>
      <c r="C2557" s="74">
        <v>46219.960425763886</v>
      </c>
      <c r="D2557" s="2" t="s">
        <v>628</v>
      </c>
      <c r="F2557" s="2" t="s">
        <v>1563</v>
      </c>
      <c r="G2557" s="72">
        <v>3.22476626E8</v>
      </c>
    </row>
    <row r="2558">
      <c r="A2558" s="2">
        <v>6.034947024E9</v>
      </c>
      <c r="B2558" s="72">
        <v>8.1108336E7</v>
      </c>
      <c r="C2558" s="74">
        <v>46220.96040265047</v>
      </c>
      <c r="D2558" s="2" t="s">
        <v>628</v>
      </c>
      <c r="F2558" s="2" t="s">
        <v>638</v>
      </c>
      <c r="G2558" s="72">
        <v>3.23244714E8</v>
      </c>
    </row>
    <row r="2559">
      <c r="A2559" s="2">
        <v>6.034960974E9</v>
      </c>
      <c r="B2559" s="72">
        <v>8.1218108E7</v>
      </c>
      <c r="C2559" s="74">
        <v>46223.54420971065</v>
      </c>
      <c r="D2559" s="2" t="s">
        <v>628</v>
      </c>
      <c r="F2559" s="2" t="s">
        <v>630</v>
      </c>
      <c r="G2559" s="72">
        <v>3.24977131E8</v>
      </c>
    </row>
    <row r="2560">
      <c r="A2560" s="2">
        <v>6.034960974E9</v>
      </c>
      <c r="B2560" s="72">
        <v>8.1218108E7</v>
      </c>
      <c r="C2560" s="74">
        <v>46221.75227265046</v>
      </c>
      <c r="D2560" s="2" t="s">
        <v>628</v>
      </c>
      <c r="F2560" s="2" t="s">
        <v>2282</v>
      </c>
      <c r="G2560" s="72">
        <v>3.23773579E8</v>
      </c>
    </row>
    <row r="2561">
      <c r="A2561" s="2">
        <v>6.034960974E9</v>
      </c>
      <c r="B2561" s="72">
        <v>8.1218108E7</v>
      </c>
      <c r="C2561" s="74">
        <v>46224.960458807866</v>
      </c>
      <c r="D2561" s="2" t="s">
        <v>628</v>
      </c>
      <c r="F2561" s="2" t="s">
        <v>2281</v>
      </c>
      <c r="G2561" s="72">
        <v>3.25987767E8</v>
      </c>
    </row>
    <row r="2562">
      <c r="A2562" s="2">
        <v>6.034969781E9</v>
      </c>
      <c r="B2562" s="72">
        <v>7.8650845E7</v>
      </c>
      <c r="C2562" s="74">
        <v>46206.96015782407</v>
      </c>
      <c r="D2562" s="2" t="s">
        <v>628</v>
      </c>
      <c r="F2562" s="2" t="s">
        <v>1188</v>
      </c>
      <c r="G2562" s="72">
        <v>3.13800109E8</v>
      </c>
    </row>
    <row r="2563">
      <c r="A2563" s="2">
        <v>6.034969781E9</v>
      </c>
      <c r="B2563" s="72">
        <v>7.8650845E7</v>
      </c>
      <c r="C2563" s="74">
        <v>46205.799752418985</v>
      </c>
      <c r="D2563" s="2" t="s">
        <v>628</v>
      </c>
      <c r="F2563" s="2" t="s">
        <v>1679</v>
      </c>
      <c r="G2563" s="72">
        <v>3.1290277E8</v>
      </c>
    </row>
    <row r="2564">
      <c r="A2564" s="2">
        <v>6.035087998E9</v>
      </c>
      <c r="B2564" s="72">
        <v>3.8298269E7</v>
      </c>
      <c r="C2564" s="74">
        <v>46233.96010203703</v>
      </c>
      <c r="D2564" s="2" t="s">
        <v>628</v>
      </c>
      <c r="F2564" s="2" t="s">
        <v>2614</v>
      </c>
      <c r="G2564" s="72">
        <v>3.32303998E8</v>
      </c>
    </row>
    <row r="2565">
      <c r="A2565" s="2">
        <v>6.035087998E9</v>
      </c>
      <c r="C2565" s="74">
        <v>46232.75316653935</v>
      </c>
      <c r="D2565" s="2" t="s">
        <v>628</v>
      </c>
      <c r="F2565" s="2" t="s">
        <v>781</v>
      </c>
      <c r="G2565" s="72">
        <v>3.31384553E8</v>
      </c>
    </row>
    <row r="2566">
      <c r="A2566" s="2">
        <v>6.035087998E9</v>
      </c>
      <c r="C2566" s="74">
        <v>46232.751216689816</v>
      </c>
      <c r="D2566" s="2" t="s">
        <v>628</v>
      </c>
      <c r="F2566" s="2" t="s">
        <v>781</v>
      </c>
      <c r="G2566" s="72">
        <v>3.31373693E8</v>
      </c>
    </row>
    <row r="2567">
      <c r="A2567" s="2">
        <v>6.035332578E9</v>
      </c>
      <c r="B2567" s="72">
        <v>8.1985791E7</v>
      </c>
      <c r="C2567" s="74">
        <v>46226.70553523148</v>
      </c>
      <c r="D2567" s="2" t="s">
        <v>667</v>
      </c>
      <c r="E2567" s="2" t="s">
        <v>668</v>
      </c>
      <c r="F2567" s="2" t="s">
        <v>2615</v>
      </c>
      <c r="G2567" s="72">
        <v>3.27063657E8</v>
      </c>
    </row>
    <row r="2568">
      <c r="A2568" s="2">
        <v>6.035332578E9</v>
      </c>
      <c r="B2568" s="72">
        <v>8.1985791E7</v>
      </c>
      <c r="C2568" s="74">
        <v>46226.699358275466</v>
      </c>
      <c r="D2568" s="2" t="s">
        <v>628</v>
      </c>
      <c r="F2568" s="2" t="s">
        <v>1566</v>
      </c>
      <c r="G2568" s="72">
        <v>3.27061245E8</v>
      </c>
    </row>
    <row r="2569">
      <c r="A2569" s="2">
        <v>6.035332578E9</v>
      </c>
      <c r="B2569" s="72">
        <v>8.1985791E7</v>
      </c>
      <c r="C2569" s="74">
        <v>46226.960075717594</v>
      </c>
      <c r="D2569" s="2" t="s">
        <v>628</v>
      </c>
      <c r="F2569" s="2" t="s">
        <v>1567</v>
      </c>
      <c r="G2569" s="72">
        <v>3.27336546E8</v>
      </c>
    </row>
    <row r="2570">
      <c r="A2570" s="2">
        <v>6.035349314E9</v>
      </c>
      <c r="B2570" s="72">
        <v>8.062572E7</v>
      </c>
      <c r="C2570" s="74">
        <v>46218.92683091435</v>
      </c>
      <c r="D2570" s="2" t="s">
        <v>667</v>
      </c>
      <c r="E2570" s="2" t="s">
        <v>703</v>
      </c>
      <c r="F2570" s="2" t="s">
        <v>2616</v>
      </c>
      <c r="G2570" s="72">
        <v>3.21742462E8</v>
      </c>
    </row>
    <row r="2571">
      <c r="A2571" s="2">
        <v>6.035349314E9</v>
      </c>
      <c r="B2571" s="72">
        <v>8.062572E7</v>
      </c>
      <c r="C2571" s="74">
        <v>46218.93939576389</v>
      </c>
      <c r="D2571" s="2" t="s">
        <v>667</v>
      </c>
      <c r="E2571" s="2" t="s">
        <v>703</v>
      </c>
      <c r="F2571" s="2" t="s">
        <v>2617</v>
      </c>
      <c r="G2571" s="72">
        <v>3.21751623E8</v>
      </c>
    </row>
    <row r="2572">
      <c r="A2572" s="2">
        <v>6.035349314E9</v>
      </c>
      <c r="B2572" s="72">
        <v>8.062572E7</v>
      </c>
      <c r="C2572" s="74">
        <v>46218.89164431713</v>
      </c>
      <c r="D2572" s="2" t="s">
        <v>667</v>
      </c>
      <c r="E2572" s="2" t="s">
        <v>703</v>
      </c>
      <c r="F2572" s="2" t="s">
        <v>2618</v>
      </c>
      <c r="G2572" s="72">
        <v>3.2170954E8</v>
      </c>
    </row>
    <row r="2573">
      <c r="A2573" s="2">
        <v>6.035349314E9</v>
      </c>
      <c r="B2573" s="72">
        <v>8.062572E7</v>
      </c>
      <c r="C2573" s="74">
        <v>46218.8909844213</v>
      </c>
      <c r="D2573" s="2" t="s">
        <v>705</v>
      </c>
      <c r="F2573" s="2" t="s">
        <v>2619</v>
      </c>
      <c r="G2573" s="72">
        <v>3.21709096E8</v>
      </c>
    </row>
    <row r="2574">
      <c r="A2574" s="2">
        <v>6.035349314E9</v>
      </c>
      <c r="B2574" s="72">
        <v>8.062572E7</v>
      </c>
      <c r="C2574" s="74">
        <v>46218.959831851855</v>
      </c>
      <c r="D2574" s="2" t="s">
        <v>628</v>
      </c>
      <c r="F2574" s="2" t="s">
        <v>2620</v>
      </c>
      <c r="G2574" s="72">
        <v>3.21767685E8</v>
      </c>
    </row>
    <row r="2575">
      <c r="A2575" s="2">
        <v>6.035349314E9</v>
      </c>
      <c r="B2575" s="72">
        <v>8.062572E7</v>
      </c>
      <c r="C2575" s="74">
        <v>46218.86372363426</v>
      </c>
      <c r="D2575" s="2" t="s">
        <v>705</v>
      </c>
      <c r="F2575" s="2" t="s">
        <v>2621</v>
      </c>
      <c r="G2575" s="72">
        <v>3.21677802E8</v>
      </c>
    </row>
    <row r="2576">
      <c r="A2576" s="2">
        <v>6.035349314E9</v>
      </c>
      <c r="B2576" s="72">
        <v>8.062572E7</v>
      </c>
      <c r="C2576" s="74">
        <v>46218.88952082176</v>
      </c>
      <c r="D2576" s="2" t="s">
        <v>667</v>
      </c>
      <c r="E2576" s="2" t="s">
        <v>703</v>
      </c>
      <c r="F2576" s="2" t="s">
        <v>2622</v>
      </c>
      <c r="G2576" s="72">
        <v>3.21708092E8</v>
      </c>
    </row>
    <row r="2577">
      <c r="A2577" s="2">
        <v>6.035349314E9</v>
      </c>
      <c r="B2577" s="72">
        <v>8.062572E7</v>
      </c>
      <c r="C2577" s="74">
        <v>46218.935330775465</v>
      </c>
      <c r="D2577" s="2" t="s">
        <v>705</v>
      </c>
      <c r="F2577" s="2" t="s">
        <v>2623</v>
      </c>
      <c r="G2577" s="72">
        <v>3.21748532E8</v>
      </c>
    </row>
    <row r="2578">
      <c r="A2578" s="2">
        <v>6.035349314E9</v>
      </c>
      <c r="B2578" s="72">
        <v>8.062572E7</v>
      </c>
      <c r="C2578" s="74">
        <v>46218.542549618054</v>
      </c>
      <c r="D2578" s="2" t="s">
        <v>628</v>
      </c>
      <c r="F2578" s="2" t="s">
        <v>630</v>
      </c>
      <c r="G2578" s="72">
        <v>3.21348027E8</v>
      </c>
    </row>
    <row r="2579">
      <c r="A2579" s="2">
        <v>6.035406568E9</v>
      </c>
      <c r="B2579" s="72">
        <v>8.0628182E7</v>
      </c>
      <c r="C2579" s="74">
        <v>46218.96081996528</v>
      </c>
      <c r="D2579" s="2" t="s">
        <v>628</v>
      </c>
      <c r="F2579" s="2" t="s">
        <v>798</v>
      </c>
      <c r="G2579" s="72">
        <v>3.21771589E8</v>
      </c>
    </row>
    <row r="2580">
      <c r="A2580" s="2">
        <v>6.035406568E9</v>
      </c>
      <c r="C2580" s="74">
        <v>46216.83648341435</v>
      </c>
      <c r="D2580" s="2" t="s">
        <v>628</v>
      </c>
      <c r="F2580" s="2" t="s">
        <v>643</v>
      </c>
      <c r="G2580" s="72">
        <v>3.20366255E8</v>
      </c>
    </row>
    <row r="2581">
      <c r="A2581" s="2">
        <v>6.035406568E9</v>
      </c>
      <c r="B2581" s="72">
        <v>8.0628182E7</v>
      </c>
      <c r="C2581" s="74">
        <v>46218.543714178246</v>
      </c>
      <c r="D2581" s="2" t="s">
        <v>628</v>
      </c>
      <c r="F2581" s="2" t="s">
        <v>630</v>
      </c>
      <c r="G2581" s="72">
        <v>3.21361256E8</v>
      </c>
    </row>
    <row r="2582">
      <c r="A2582" s="2">
        <v>6.035465708E9</v>
      </c>
      <c r="B2582" s="72">
        <v>5018596.0</v>
      </c>
      <c r="C2582" s="74">
        <v>46223.808812222225</v>
      </c>
      <c r="D2582" s="2" t="s">
        <v>705</v>
      </c>
      <c r="F2582" s="2" t="s">
        <v>2624</v>
      </c>
      <c r="G2582" s="72">
        <v>3.25226917E8</v>
      </c>
    </row>
    <row r="2583">
      <c r="A2583" s="2">
        <v>6.035465708E9</v>
      </c>
      <c r="B2583" s="72">
        <v>5018596.0</v>
      </c>
      <c r="C2583" s="74">
        <v>46223.80883079861</v>
      </c>
      <c r="D2583" s="2" t="s">
        <v>653</v>
      </c>
      <c r="F2583" s="2" t="s">
        <v>1219</v>
      </c>
      <c r="G2583" s="72">
        <v>3.25226932E8</v>
      </c>
    </row>
    <row r="2584">
      <c r="A2584" s="2">
        <v>6.035465708E9</v>
      </c>
      <c r="B2584" s="72">
        <v>5018596.0</v>
      </c>
      <c r="C2584" s="74">
        <v>46223.80882658565</v>
      </c>
      <c r="D2584" s="2" t="s">
        <v>705</v>
      </c>
      <c r="F2584" s="2" t="s">
        <v>722</v>
      </c>
      <c r="G2584" s="72">
        <v>3.25226926E8</v>
      </c>
    </row>
    <row r="2585">
      <c r="A2585" s="2">
        <v>6.035465708E9</v>
      </c>
      <c r="B2585" s="72">
        <v>5018596.0</v>
      </c>
      <c r="C2585" s="74">
        <v>46223.80883494213</v>
      </c>
      <c r="D2585" s="2" t="s">
        <v>653</v>
      </c>
      <c r="F2585" s="2" t="s">
        <v>1220</v>
      </c>
      <c r="G2585" s="72">
        <v>3.25226933E8</v>
      </c>
    </row>
    <row r="2586">
      <c r="A2586" s="2">
        <v>6.035465708E9</v>
      </c>
      <c r="B2586" s="72">
        <v>5018596.0</v>
      </c>
      <c r="C2586" s="74">
        <v>46223.75240902777</v>
      </c>
      <c r="D2586" s="2" t="s">
        <v>628</v>
      </c>
      <c r="F2586" s="2" t="s">
        <v>731</v>
      </c>
      <c r="G2586" s="72">
        <v>3.25169214E8</v>
      </c>
    </row>
    <row r="2587">
      <c r="A2587" s="2">
        <v>6.035485886E9</v>
      </c>
      <c r="B2587" s="72">
        <v>8.0421847E7</v>
      </c>
      <c r="C2587" s="74">
        <v>46216.96104969908</v>
      </c>
      <c r="D2587" s="2" t="s">
        <v>628</v>
      </c>
      <c r="F2587" s="2" t="s">
        <v>2591</v>
      </c>
      <c r="G2587" s="72">
        <v>3.20486389E8</v>
      </c>
    </row>
    <row r="2588">
      <c r="A2588" s="2">
        <v>6.035485886E9</v>
      </c>
      <c r="B2588" s="72">
        <v>8.0421847E7</v>
      </c>
      <c r="C2588" s="74">
        <v>46217.959714236116</v>
      </c>
      <c r="D2588" s="2" t="s">
        <v>628</v>
      </c>
      <c r="F2588" s="2" t="s">
        <v>2625</v>
      </c>
      <c r="G2588" s="72">
        <v>3.21111758E8</v>
      </c>
    </row>
    <row r="2589">
      <c r="A2589" s="2">
        <v>6.035485886E9</v>
      </c>
      <c r="B2589" s="72">
        <v>8.0421847E7</v>
      </c>
      <c r="C2589" s="74">
        <v>46217.50378597222</v>
      </c>
      <c r="D2589" s="2" t="s">
        <v>628</v>
      </c>
      <c r="F2589" s="2" t="s">
        <v>2626</v>
      </c>
      <c r="G2589" s="72">
        <v>3.20700183E8</v>
      </c>
    </row>
    <row r="2590">
      <c r="A2590" s="2">
        <v>6.035489545E9</v>
      </c>
      <c r="B2590" s="72">
        <v>7.8624725E7</v>
      </c>
      <c r="C2590" s="74">
        <v>46207.95969971065</v>
      </c>
      <c r="D2590" s="2" t="s">
        <v>628</v>
      </c>
      <c r="F2590" s="2" t="s">
        <v>2627</v>
      </c>
      <c r="G2590" s="72">
        <v>3.14476963E8</v>
      </c>
    </row>
    <row r="2591">
      <c r="A2591" s="2">
        <v>6.035489545E9</v>
      </c>
      <c r="B2591" s="72">
        <v>7.8624725E7</v>
      </c>
      <c r="C2591" s="74">
        <v>46205.75297806713</v>
      </c>
      <c r="D2591" s="2" t="s">
        <v>628</v>
      </c>
      <c r="F2591" s="2" t="s">
        <v>2278</v>
      </c>
      <c r="G2591" s="72">
        <v>3.12835176E8</v>
      </c>
    </row>
    <row r="2592">
      <c r="A2592" s="2">
        <v>6.035489545E9</v>
      </c>
      <c r="B2592" s="72">
        <v>7.8624725E7</v>
      </c>
      <c r="C2592" s="74">
        <v>46207.544155173615</v>
      </c>
      <c r="D2592" s="2" t="s">
        <v>628</v>
      </c>
      <c r="F2592" s="2" t="s">
        <v>630</v>
      </c>
      <c r="G2592" s="72">
        <v>3.14079277E8</v>
      </c>
    </row>
    <row r="2593">
      <c r="A2593" s="2">
        <v>6.035660457E9</v>
      </c>
      <c r="B2593" s="72">
        <v>8.0421257E7</v>
      </c>
      <c r="C2593" s="74">
        <v>46217.96066380787</v>
      </c>
      <c r="D2593" s="2" t="s">
        <v>628</v>
      </c>
      <c r="F2593" s="2" t="s">
        <v>739</v>
      </c>
      <c r="G2593" s="72">
        <v>3.21114337E8</v>
      </c>
    </row>
    <row r="2594">
      <c r="A2594" s="2">
        <v>6.035660457E9</v>
      </c>
      <c r="C2594" s="74">
        <v>46215.752015833335</v>
      </c>
      <c r="D2594" s="2" t="s">
        <v>628</v>
      </c>
      <c r="F2594" s="2" t="s">
        <v>740</v>
      </c>
      <c r="G2594" s="72">
        <v>3.19673829E8</v>
      </c>
    </row>
    <row r="2595">
      <c r="A2595" s="2">
        <v>6.035660457E9</v>
      </c>
      <c r="B2595" s="72">
        <v>8.0421257E7</v>
      </c>
      <c r="C2595" s="74">
        <v>46216.959978576386</v>
      </c>
      <c r="D2595" s="2" t="s">
        <v>628</v>
      </c>
      <c r="F2595" s="2" t="s">
        <v>739</v>
      </c>
      <c r="G2595" s="72">
        <v>3.20483218E8</v>
      </c>
    </row>
    <row r="2596">
      <c r="A2596" s="2">
        <v>6.035660457E9</v>
      </c>
      <c r="C2596" s="74">
        <v>46216.75258310185</v>
      </c>
      <c r="D2596" s="2" t="s">
        <v>628</v>
      </c>
      <c r="F2596" s="2" t="s">
        <v>740</v>
      </c>
      <c r="G2596" s="72">
        <v>3.20293117E8</v>
      </c>
    </row>
    <row r="2597">
      <c r="A2597" s="2">
        <v>6.035713499E9</v>
      </c>
      <c r="B2597" s="72">
        <v>8.1739827E7</v>
      </c>
      <c r="C2597" s="74">
        <v>46224.960850393516</v>
      </c>
      <c r="D2597" s="2" t="s">
        <v>628</v>
      </c>
      <c r="F2597" s="2" t="s">
        <v>2628</v>
      </c>
      <c r="G2597" s="72">
        <v>3.25988963E8</v>
      </c>
    </row>
    <row r="2598">
      <c r="A2598" s="2">
        <v>6.035821202E9</v>
      </c>
      <c r="B2598" s="72">
        <v>8.134839E7</v>
      </c>
      <c r="C2598" s="74">
        <v>46222.95960313657</v>
      </c>
      <c r="D2598" s="2" t="s">
        <v>628</v>
      </c>
      <c r="F2598" s="2" t="s">
        <v>2629</v>
      </c>
      <c r="G2598" s="72">
        <v>3.24722115E8</v>
      </c>
    </row>
    <row r="2599">
      <c r="A2599" s="2">
        <v>6.035821202E9</v>
      </c>
      <c r="B2599" s="72">
        <v>8.134839E7</v>
      </c>
      <c r="C2599" s="74">
        <v>46222.55548178241</v>
      </c>
      <c r="D2599" s="2" t="s">
        <v>628</v>
      </c>
      <c r="F2599" s="2" t="s">
        <v>2630</v>
      </c>
      <c r="G2599" s="72">
        <v>3.24364937E8</v>
      </c>
    </row>
    <row r="2600">
      <c r="A2600" s="2">
        <v>6.03582252E9</v>
      </c>
      <c r="B2600" s="72">
        <v>4675288.0</v>
      </c>
      <c r="C2600" s="74">
        <v>46220.960809861106</v>
      </c>
      <c r="D2600" s="2" t="s">
        <v>628</v>
      </c>
      <c r="F2600" s="2" t="s">
        <v>2631</v>
      </c>
      <c r="G2600" s="72">
        <v>3.2324631E8</v>
      </c>
    </row>
    <row r="2601">
      <c r="A2601" s="2">
        <v>6.03582252E9</v>
      </c>
      <c r="B2601" s="72">
        <v>4675288.0</v>
      </c>
      <c r="C2601" s="74">
        <v>46220.51529267361</v>
      </c>
      <c r="D2601" s="2" t="s">
        <v>628</v>
      </c>
      <c r="F2601" s="2" t="s">
        <v>2632</v>
      </c>
      <c r="G2601" s="72">
        <v>3.22735869E8</v>
      </c>
    </row>
    <row r="2602">
      <c r="A2602" s="2">
        <v>6.035833582E9</v>
      </c>
      <c r="B2602" s="72">
        <v>8.1792493E7</v>
      </c>
      <c r="C2602" s="74">
        <v>46225.54539024306</v>
      </c>
      <c r="D2602" s="2" t="s">
        <v>628</v>
      </c>
      <c r="F2602" s="2" t="s">
        <v>630</v>
      </c>
      <c r="G2602" s="72">
        <v>3.26240849E8</v>
      </c>
    </row>
    <row r="2603">
      <c r="A2603" s="2">
        <v>6.035833582E9</v>
      </c>
      <c r="B2603" s="72">
        <v>8.1792493E7</v>
      </c>
      <c r="C2603" s="74">
        <v>46225.961128379626</v>
      </c>
      <c r="D2603" s="2" t="s">
        <v>628</v>
      </c>
      <c r="F2603" s="2" t="s">
        <v>2633</v>
      </c>
      <c r="G2603" s="72">
        <v>3.26633263E8</v>
      </c>
    </row>
    <row r="2604">
      <c r="A2604" s="2">
        <v>6.035871371E9</v>
      </c>
      <c r="B2604" s="72">
        <v>4065358.0</v>
      </c>
      <c r="C2604" s="74">
        <v>46205.962082592596</v>
      </c>
      <c r="D2604" s="2" t="s">
        <v>628</v>
      </c>
      <c r="F2604" s="2" t="s">
        <v>1808</v>
      </c>
      <c r="G2604" s="72">
        <v>3.13060883E8</v>
      </c>
    </row>
    <row r="2605">
      <c r="A2605" s="2">
        <v>6.035871371E9</v>
      </c>
      <c r="B2605" s="72">
        <v>4065358.0</v>
      </c>
      <c r="C2605" s="74">
        <v>46205.748683171296</v>
      </c>
      <c r="D2605" s="2" t="s">
        <v>628</v>
      </c>
      <c r="F2605" s="2" t="s">
        <v>683</v>
      </c>
      <c r="G2605" s="72">
        <v>3.12814201E8</v>
      </c>
    </row>
    <row r="2606">
      <c r="A2606" s="2">
        <v>6.036010128E9</v>
      </c>
      <c r="B2606" s="72">
        <v>8.2546334E7</v>
      </c>
      <c r="C2606" s="74">
        <v>46229.75159127315</v>
      </c>
      <c r="D2606" s="2" t="s">
        <v>628</v>
      </c>
      <c r="F2606" s="2" t="s">
        <v>2634</v>
      </c>
      <c r="G2606" s="72">
        <v>3.2941938E8</v>
      </c>
    </row>
    <row r="2607">
      <c r="A2607" s="2">
        <v>6.036010128E9</v>
      </c>
      <c r="B2607" s="72">
        <v>8.2546334E7</v>
      </c>
      <c r="C2607" s="74">
        <v>46230.96024738426</v>
      </c>
      <c r="D2607" s="2" t="s">
        <v>628</v>
      </c>
      <c r="F2607" s="2" t="s">
        <v>2635</v>
      </c>
      <c r="G2607" s="72">
        <v>3.30268939E8</v>
      </c>
    </row>
    <row r="2608">
      <c r="A2608" s="2">
        <v>6.03616896E9</v>
      </c>
      <c r="B2608" s="72">
        <v>8.1956382E7</v>
      </c>
      <c r="C2608" s="74">
        <v>46227.96163929398</v>
      </c>
      <c r="D2608" s="2" t="s">
        <v>628</v>
      </c>
      <c r="F2608" s="2" t="s">
        <v>1029</v>
      </c>
      <c r="G2608" s="72">
        <v>3.28121923E8</v>
      </c>
    </row>
    <row r="2609">
      <c r="A2609" s="2">
        <v>6.03616896E9</v>
      </c>
      <c r="B2609" s="72">
        <v>8.1956382E7</v>
      </c>
      <c r="C2609" s="74">
        <v>46226.54528329861</v>
      </c>
      <c r="D2609" s="2" t="s">
        <v>628</v>
      </c>
      <c r="F2609" s="2" t="s">
        <v>630</v>
      </c>
      <c r="G2609" s="72">
        <v>3.26908545E8</v>
      </c>
    </row>
    <row r="2610">
      <c r="A2610" s="2">
        <v>6.036315237E9</v>
      </c>
      <c r="B2610" s="72">
        <v>8.110881E7</v>
      </c>
      <c r="C2610" s="74">
        <v>46220.961222743055</v>
      </c>
      <c r="D2610" s="2" t="s">
        <v>628</v>
      </c>
      <c r="F2610" s="2" t="s">
        <v>717</v>
      </c>
      <c r="G2610" s="72">
        <v>3.23247707E8</v>
      </c>
    </row>
    <row r="2611">
      <c r="A2611" s="2">
        <v>6.036315237E9</v>
      </c>
      <c r="C2611" s="74">
        <v>46219.754198310184</v>
      </c>
      <c r="D2611" s="2" t="s">
        <v>628</v>
      </c>
      <c r="F2611" s="2" t="s">
        <v>683</v>
      </c>
      <c r="G2611" s="72">
        <v>3.22258414E8</v>
      </c>
    </row>
    <row r="2612">
      <c r="A2612" s="2">
        <v>6.036513023E9</v>
      </c>
      <c r="B2612" s="72">
        <v>7.8319673E7</v>
      </c>
      <c r="C2612" s="74">
        <v>46204.96047283565</v>
      </c>
      <c r="D2612" s="2" t="s">
        <v>628</v>
      </c>
      <c r="F2612" s="2" t="s">
        <v>2636</v>
      </c>
      <c r="G2612" s="72">
        <v>3.12383009E8</v>
      </c>
    </row>
    <row r="2613">
      <c r="A2613" s="2">
        <v>6.036742928E9</v>
      </c>
      <c r="B2613" s="72">
        <v>8.2270945E7</v>
      </c>
      <c r="C2613" s="74">
        <v>46227.9591309838</v>
      </c>
      <c r="D2613" s="2" t="s">
        <v>628</v>
      </c>
      <c r="F2613" s="2" t="s">
        <v>2637</v>
      </c>
      <c r="G2613" s="72">
        <v>3.28113293E8</v>
      </c>
    </row>
    <row r="2614">
      <c r="A2614" s="2">
        <v>6.036895934E9</v>
      </c>
      <c r="B2614" s="72">
        <v>8.265696E7</v>
      </c>
      <c r="C2614" s="74">
        <v>46230.54579902778</v>
      </c>
      <c r="D2614" s="2" t="s">
        <v>628</v>
      </c>
      <c r="F2614" s="2" t="s">
        <v>630</v>
      </c>
      <c r="G2614" s="72">
        <v>3.29879578E8</v>
      </c>
    </row>
    <row r="2615">
      <c r="A2615" s="2">
        <v>6.036895934E9</v>
      </c>
      <c r="B2615" s="72">
        <v>8.265696E7</v>
      </c>
      <c r="C2615" s="74">
        <v>46230.962176319445</v>
      </c>
      <c r="D2615" s="2" t="s">
        <v>628</v>
      </c>
      <c r="F2615" s="2" t="s">
        <v>998</v>
      </c>
      <c r="G2615" s="72">
        <v>3.30274471E8</v>
      </c>
    </row>
    <row r="2616">
      <c r="A2616" s="2">
        <v>6.037032987E9</v>
      </c>
      <c r="B2616" s="72">
        <v>7.8428119E7</v>
      </c>
      <c r="C2616" s="74">
        <v>46204.57088716435</v>
      </c>
      <c r="D2616" s="2" t="s">
        <v>628</v>
      </c>
      <c r="F2616" s="2" t="s">
        <v>2278</v>
      </c>
      <c r="G2616" s="72">
        <v>3.12037093E8</v>
      </c>
    </row>
    <row r="2617">
      <c r="A2617" s="2">
        <v>6.037032987E9</v>
      </c>
      <c r="B2617" s="72">
        <v>7.8428119E7</v>
      </c>
      <c r="C2617" s="74">
        <v>46204.95956260417</v>
      </c>
      <c r="D2617" s="2" t="s">
        <v>628</v>
      </c>
      <c r="F2617" s="2" t="s">
        <v>2627</v>
      </c>
      <c r="G2617" s="72">
        <v>3.12379476E8</v>
      </c>
    </row>
    <row r="2618">
      <c r="A2618" s="2">
        <v>6.037180227E9</v>
      </c>
      <c r="B2618" s="72">
        <v>8.1006634E7</v>
      </c>
      <c r="C2618" s="74">
        <v>46221.95962296297</v>
      </c>
      <c r="D2618" s="2" t="s">
        <v>628</v>
      </c>
      <c r="F2618" s="2" t="s">
        <v>1087</v>
      </c>
      <c r="G2618" s="72">
        <v>3.23990418E8</v>
      </c>
    </row>
    <row r="2619">
      <c r="A2619" s="2">
        <v>6.037180227E9</v>
      </c>
      <c r="B2619" s="72">
        <v>8.1006634E7</v>
      </c>
      <c r="C2619" s="74">
        <v>46220.6591247801</v>
      </c>
      <c r="D2619" s="2" t="s">
        <v>628</v>
      </c>
      <c r="F2619" s="2" t="s">
        <v>1086</v>
      </c>
      <c r="G2619" s="72">
        <v>3.22911249E8</v>
      </c>
    </row>
    <row r="2620">
      <c r="A2620" s="2">
        <v>6.037180227E9</v>
      </c>
      <c r="B2620" s="72">
        <v>8.1006634E7</v>
      </c>
      <c r="C2620" s="74">
        <v>46221.54347792824</v>
      </c>
      <c r="D2620" s="2" t="s">
        <v>628</v>
      </c>
      <c r="F2620" s="2" t="s">
        <v>630</v>
      </c>
      <c r="G2620" s="72">
        <v>3.23537205E8</v>
      </c>
    </row>
    <row r="2621">
      <c r="A2621" s="2">
        <v>6.037249912E9</v>
      </c>
      <c r="B2621" s="72">
        <v>8.0279828E7</v>
      </c>
      <c r="C2621" s="74">
        <v>46215.96189747685</v>
      </c>
      <c r="D2621" s="2" t="s">
        <v>628</v>
      </c>
      <c r="F2621" s="2" t="s">
        <v>1509</v>
      </c>
      <c r="G2621" s="72">
        <v>3.19863767E8</v>
      </c>
    </row>
    <row r="2622">
      <c r="A2622" s="2">
        <v>6.037260608E9</v>
      </c>
      <c r="B2622" s="72">
        <v>7.9086974E7</v>
      </c>
      <c r="C2622" s="74">
        <v>46209.959207754626</v>
      </c>
      <c r="D2622" s="2" t="s">
        <v>628</v>
      </c>
      <c r="F2622" s="2" t="s">
        <v>1240</v>
      </c>
      <c r="G2622" s="72">
        <v>3.15776929E8</v>
      </c>
    </row>
    <row r="2623">
      <c r="A2623" s="2">
        <v>6.037260608E9</v>
      </c>
      <c r="B2623" s="72">
        <v>7.9086974E7</v>
      </c>
      <c r="C2623" s="74">
        <v>46208.59226435186</v>
      </c>
      <c r="D2623" s="2" t="s">
        <v>628</v>
      </c>
      <c r="F2623" s="2" t="s">
        <v>774</v>
      </c>
      <c r="G2623" s="72">
        <v>3.14878437E8</v>
      </c>
    </row>
    <row r="2624">
      <c r="A2624" s="2">
        <v>6.037260608E9</v>
      </c>
      <c r="B2624" s="72">
        <v>7.9086974E7</v>
      </c>
      <c r="C2624" s="74">
        <v>46209.54331383102</v>
      </c>
      <c r="D2624" s="2" t="s">
        <v>628</v>
      </c>
      <c r="F2624" s="2" t="s">
        <v>630</v>
      </c>
      <c r="G2624" s="72">
        <v>3.1539178E8</v>
      </c>
    </row>
    <row r="2625">
      <c r="A2625" s="2">
        <v>6.037311592E9</v>
      </c>
      <c r="B2625" s="72">
        <v>8.1956842E7</v>
      </c>
      <c r="C2625" s="74">
        <v>46226.54544436342</v>
      </c>
      <c r="D2625" s="2" t="s">
        <v>628</v>
      </c>
      <c r="F2625" s="2" t="s">
        <v>630</v>
      </c>
      <c r="G2625" s="72">
        <v>3.26911258E8</v>
      </c>
    </row>
    <row r="2626">
      <c r="A2626" s="2">
        <v>6.037311592E9</v>
      </c>
      <c r="C2626" s="74">
        <v>46224.75307987268</v>
      </c>
      <c r="D2626" s="2" t="s">
        <v>628</v>
      </c>
      <c r="F2626" s="2" t="s">
        <v>2638</v>
      </c>
      <c r="G2626" s="72">
        <v>3.25800714E8</v>
      </c>
    </row>
    <row r="2627">
      <c r="A2627" s="2">
        <v>6.037311592E9</v>
      </c>
      <c r="B2627" s="72">
        <v>8.1956842E7</v>
      </c>
      <c r="C2627" s="74">
        <v>46226.961503425926</v>
      </c>
      <c r="D2627" s="2" t="s">
        <v>628</v>
      </c>
      <c r="F2627" s="2" t="s">
        <v>2639</v>
      </c>
      <c r="G2627" s="72">
        <v>3.27342081E8</v>
      </c>
    </row>
    <row r="2628">
      <c r="A2628" s="2">
        <v>6.037625663E9</v>
      </c>
      <c r="B2628" s="72">
        <v>8.1245969E7</v>
      </c>
      <c r="C2628" s="74">
        <v>46221.83497938658</v>
      </c>
      <c r="D2628" s="2" t="s">
        <v>628</v>
      </c>
      <c r="F2628" s="2" t="s">
        <v>1256</v>
      </c>
      <c r="G2628" s="72">
        <v>3.23863716E8</v>
      </c>
    </row>
    <row r="2629">
      <c r="A2629" s="2">
        <v>6.037625663E9</v>
      </c>
      <c r="B2629" s="72">
        <v>8.1245969E7</v>
      </c>
      <c r="C2629" s="74">
        <v>46222.96088532408</v>
      </c>
      <c r="D2629" s="2" t="s">
        <v>628</v>
      </c>
      <c r="F2629" s="2" t="s">
        <v>1257</v>
      </c>
      <c r="G2629" s="72">
        <v>3.24726564E8</v>
      </c>
    </row>
    <row r="2630">
      <c r="A2630" s="2">
        <v>6.037625663E9</v>
      </c>
      <c r="B2630" s="72">
        <v>8.1245969E7</v>
      </c>
      <c r="C2630" s="74">
        <v>46221.969617766204</v>
      </c>
      <c r="D2630" s="2" t="s">
        <v>705</v>
      </c>
      <c r="F2630" s="2" t="s">
        <v>2640</v>
      </c>
      <c r="G2630" s="72">
        <v>3.24009887E8</v>
      </c>
    </row>
    <row r="2631">
      <c r="A2631" s="2">
        <v>6.037709204E9</v>
      </c>
      <c r="B2631" s="72">
        <v>8.0923264E7</v>
      </c>
      <c r="C2631" s="74">
        <v>46219.960260486114</v>
      </c>
      <c r="D2631" s="2" t="s">
        <v>628</v>
      </c>
      <c r="F2631" s="2" t="s">
        <v>1826</v>
      </c>
      <c r="G2631" s="72">
        <v>3.22475851E8</v>
      </c>
    </row>
    <row r="2632">
      <c r="A2632" s="2">
        <v>6.037995466E9</v>
      </c>
      <c r="B2632" s="72">
        <v>8.2535357E7</v>
      </c>
      <c r="C2632" s="74">
        <v>46229.67115333333</v>
      </c>
      <c r="D2632" s="2" t="s">
        <v>628</v>
      </c>
      <c r="F2632" s="2" t="s">
        <v>2641</v>
      </c>
      <c r="G2632" s="72">
        <v>3.29370791E8</v>
      </c>
    </row>
    <row r="2633">
      <c r="A2633" s="2">
        <v>6.037995466E9</v>
      </c>
      <c r="B2633" s="72">
        <v>8.2535357E7</v>
      </c>
      <c r="C2633" s="74">
        <v>46229.787342662035</v>
      </c>
      <c r="D2633" s="2" t="s">
        <v>705</v>
      </c>
      <c r="F2633" s="2" t="s">
        <v>2642</v>
      </c>
      <c r="G2633" s="72">
        <v>3.29453285E8</v>
      </c>
    </row>
    <row r="2634">
      <c r="A2634" s="2">
        <v>6.037995466E9</v>
      </c>
      <c r="B2634" s="72">
        <v>8.2535357E7</v>
      </c>
      <c r="C2634" s="74">
        <v>46229.789026238424</v>
      </c>
      <c r="D2634" s="2" t="s">
        <v>705</v>
      </c>
      <c r="F2634" s="2" t="s">
        <v>2643</v>
      </c>
      <c r="G2634" s="72">
        <v>3.29454025E8</v>
      </c>
    </row>
    <row r="2635">
      <c r="A2635" s="2">
        <v>6.037995466E9</v>
      </c>
      <c r="B2635" s="72">
        <v>8.2535357E7</v>
      </c>
      <c r="C2635" s="74">
        <v>46229.96186225694</v>
      </c>
      <c r="D2635" s="2" t="s">
        <v>628</v>
      </c>
      <c r="F2635" s="2" t="s">
        <v>2644</v>
      </c>
      <c r="G2635" s="72">
        <v>3.29616071E8</v>
      </c>
    </row>
    <row r="2636">
      <c r="A2636" s="2">
        <v>6.038038272E9</v>
      </c>
      <c r="B2636" s="72">
        <v>8.2546552E7</v>
      </c>
      <c r="C2636" s="74">
        <v>46229.82463253472</v>
      </c>
      <c r="D2636" s="2" t="s">
        <v>705</v>
      </c>
      <c r="F2636" s="2" t="s">
        <v>2645</v>
      </c>
      <c r="G2636" s="72">
        <v>3.29494025E8</v>
      </c>
    </row>
    <row r="2637">
      <c r="A2637" s="2">
        <v>6.038038272E9</v>
      </c>
      <c r="B2637" s="72">
        <v>8.2546552E7</v>
      </c>
      <c r="C2637" s="74">
        <v>46229.817726875</v>
      </c>
      <c r="D2637" s="2" t="s">
        <v>705</v>
      </c>
      <c r="F2637" s="2" t="s">
        <v>2646</v>
      </c>
      <c r="G2637" s="72">
        <v>3.29489407E8</v>
      </c>
    </row>
    <row r="2638">
      <c r="A2638" s="2">
        <v>6.038038272E9</v>
      </c>
      <c r="B2638" s="72">
        <v>8.2546552E7</v>
      </c>
      <c r="C2638" s="74">
        <v>46230.95962900463</v>
      </c>
      <c r="D2638" s="2" t="s">
        <v>628</v>
      </c>
      <c r="F2638" s="2" t="s">
        <v>674</v>
      </c>
      <c r="G2638" s="72">
        <v>3.30267033E8</v>
      </c>
    </row>
    <row r="2639">
      <c r="A2639" s="2">
        <v>6.038038272E9</v>
      </c>
      <c r="B2639" s="72">
        <v>8.2546552E7</v>
      </c>
      <c r="C2639" s="74">
        <v>46229.75167070601</v>
      </c>
      <c r="D2639" s="2" t="s">
        <v>628</v>
      </c>
      <c r="F2639" s="2" t="s">
        <v>675</v>
      </c>
      <c r="G2639" s="72">
        <v>3.29419973E8</v>
      </c>
    </row>
    <row r="2640">
      <c r="A2640" s="2">
        <v>6.038038272E9</v>
      </c>
      <c r="B2640" s="72">
        <v>8.2546552E7</v>
      </c>
      <c r="C2640" s="74">
        <v>46229.82407431713</v>
      </c>
      <c r="D2640" s="2" t="s">
        <v>667</v>
      </c>
      <c r="E2640" s="2" t="s">
        <v>703</v>
      </c>
      <c r="F2640" s="2" t="s">
        <v>2647</v>
      </c>
      <c r="G2640" s="72">
        <v>3.2949366E8</v>
      </c>
    </row>
    <row r="2641">
      <c r="A2641" s="2">
        <v>6.038038272E9</v>
      </c>
      <c r="B2641" s="72">
        <v>8.2546552E7</v>
      </c>
      <c r="C2641" s="74">
        <v>46230.92309991898</v>
      </c>
      <c r="D2641" s="2" t="s">
        <v>667</v>
      </c>
      <c r="E2641" s="2" t="s">
        <v>886</v>
      </c>
      <c r="F2641" s="2" t="s">
        <v>2648</v>
      </c>
      <c r="G2641" s="72">
        <v>3.30238709E8</v>
      </c>
    </row>
    <row r="2642">
      <c r="A2642" s="2">
        <v>6.038091679E9</v>
      </c>
      <c r="B2642" s="72">
        <v>3.5801549E7</v>
      </c>
      <c r="C2642" s="74">
        <v>46205.752770949075</v>
      </c>
      <c r="D2642" s="2" t="s">
        <v>628</v>
      </c>
      <c r="F2642" s="2" t="s">
        <v>2649</v>
      </c>
      <c r="G2642" s="72">
        <v>3.12832558E8</v>
      </c>
    </row>
    <row r="2643">
      <c r="A2643" s="2">
        <v>6.038091679E9</v>
      </c>
      <c r="B2643" s="72">
        <v>3.5801549E7</v>
      </c>
      <c r="C2643" s="74">
        <v>46207.96094376157</v>
      </c>
      <c r="D2643" s="2" t="s">
        <v>628</v>
      </c>
      <c r="F2643" s="2" t="s">
        <v>2650</v>
      </c>
      <c r="G2643" s="72">
        <v>3.14485885E8</v>
      </c>
    </row>
    <row r="2644">
      <c r="A2644" s="2">
        <v>6.038091679E9</v>
      </c>
      <c r="B2644" s="72">
        <v>3.5801549E7</v>
      </c>
      <c r="C2644" s="74">
        <v>46207.54443012732</v>
      </c>
      <c r="D2644" s="2" t="s">
        <v>628</v>
      </c>
      <c r="F2644" s="2" t="s">
        <v>630</v>
      </c>
      <c r="G2644" s="72">
        <v>3.14084476E8</v>
      </c>
    </row>
    <row r="2645">
      <c r="A2645" s="2">
        <v>6.038200924E9</v>
      </c>
      <c r="B2645" s="72">
        <v>9966744.0</v>
      </c>
      <c r="C2645" s="74">
        <v>46208.96095502315</v>
      </c>
      <c r="D2645" s="2" t="s">
        <v>628</v>
      </c>
      <c r="F2645" s="2" t="s">
        <v>2651</v>
      </c>
      <c r="G2645" s="72">
        <v>3.15167232E8</v>
      </c>
    </row>
    <row r="2646">
      <c r="A2646" s="2">
        <v>6.038200924E9</v>
      </c>
      <c r="B2646" s="72">
        <v>9966744.0</v>
      </c>
      <c r="C2646" s="74">
        <v>46207.753047488426</v>
      </c>
      <c r="D2646" s="2" t="s">
        <v>628</v>
      </c>
      <c r="F2646" s="2" t="s">
        <v>2652</v>
      </c>
      <c r="G2646" s="72">
        <v>3.14294196E8</v>
      </c>
    </row>
    <row r="2647">
      <c r="A2647" s="2">
        <v>6.03828922E9</v>
      </c>
      <c r="B2647" s="72">
        <v>8.0190643E7</v>
      </c>
      <c r="C2647" s="74">
        <v>46215.54521532408</v>
      </c>
      <c r="D2647" s="2" t="s">
        <v>628</v>
      </c>
      <c r="F2647" s="2" t="s">
        <v>630</v>
      </c>
      <c r="G2647" s="72">
        <v>3.19488473E8</v>
      </c>
    </row>
    <row r="2648">
      <c r="A2648" s="2">
        <v>6.03828922E9</v>
      </c>
      <c r="B2648" s="72">
        <v>8.0190643E7</v>
      </c>
      <c r="C2648" s="74">
        <v>46215.96135204862</v>
      </c>
      <c r="D2648" s="2" t="s">
        <v>628</v>
      </c>
      <c r="F2648" s="2" t="s">
        <v>1265</v>
      </c>
      <c r="G2648" s="72">
        <v>3.1986216E8</v>
      </c>
    </row>
    <row r="2649">
      <c r="A2649" s="2">
        <v>6.038606615E9</v>
      </c>
      <c r="B2649" s="72">
        <v>8.0739995E7</v>
      </c>
      <c r="C2649" s="74">
        <v>46218.96162350694</v>
      </c>
      <c r="D2649" s="2" t="s">
        <v>628</v>
      </c>
      <c r="F2649" s="2" t="s">
        <v>2653</v>
      </c>
      <c r="G2649" s="72">
        <v>3.21774127E8</v>
      </c>
    </row>
    <row r="2650">
      <c r="A2650" s="2">
        <v>6.038607839E9</v>
      </c>
      <c r="B2650" s="72">
        <v>8.2175065E7</v>
      </c>
      <c r="C2650" s="74">
        <v>46227.692784363426</v>
      </c>
      <c r="D2650" s="2" t="s">
        <v>628</v>
      </c>
      <c r="F2650" s="2" t="s">
        <v>893</v>
      </c>
      <c r="G2650" s="72">
        <v>3.27817744E8</v>
      </c>
    </row>
    <row r="2651">
      <c r="A2651" s="2">
        <v>6.038607839E9</v>
      </c>
      <c r="B2651" s="72">
        <v>8.2175065E7</v>
      </c>
      <c r="C2651" s="74">
        <v>46228.95902944445</v>
      </c>
      <c r="D2651" s="2" t="s">
        <v>628</v>
      </c>
      <c r="F2651" s="2" t="s">
        <v>892</v>
      </c>
      <c r="G2651" s="72">
        <v>3.28855896E8</v>
      </c>
    </row>
    <row r="2652">
      <c r="A2652" s="2">
        <v>6.038607839E9</v>
      </c>
      <c r="B2652" s="72">
        <v>8.2175065E7</v>
      </c>
      <c r="C2652" s="74">
        <v>46228.54247543981</v>
      </c>
      <c r="D2652" s="2" t="s">
        <v>628</v>
      </c>
      <c r="F2652" s="2" t="s">
        <v>630</v>
      </c>
      <c r="G2652" s="72">
        <v>3.28399486E8</v>
      </c>
    </row>
    <row r="2653">
      <c r="A2653" s="2">
        <v>6.039266762E9</v>
      </c>
      <c r="B2653" s="72">
        <v>6.8960958E7</v>
      </c>
      <c r="C2653" s="74">
        <v>46207.04045732639</v>
      </c>
      <c r="D2653" s="2" t="s">
        <v>628</v>
      </c>
      <c r="F2653" s="2" t="s">
        <v>2654</v>
      </c>
      <c r="G2653" s="72">
        <v>3.13869971E8</v>
      </c>
    </row>
    <row r="2654">
      <c r="A2654" s="2">
        <v>6.039302886E9</v>
      </c>
      <c r="C2654" s="74">
        <v>46227.75281737269</v>
      </c>
      <c r="D2654" s="2" t="s">
        <v>628</v>
      </c>
      <c r="F2654" s="2" t="s">
        <v>1535</v>
      </c>
      <c r="G2654" s="72">
        <v>3.27874339E8</v>
      </c>
    </row>
    <row r="2655">
      <c r="A2655" s="2">
        <v>6.039302886E9</v>
      </c>
      <c r="B2655" s="72">
        <v>8.2512666E7</v>
      </c>
      <c r="C2655" s="74">
        <v>46229.96090679398</v>
      </c>
      <c r="D2655" s="2" t="s">
        <v>628</v>
      </c>
      <c r="F2655" s="2" t="s">
        <v>2456</v>
      </c>
      <c r="G2655" s="72">
        <v>3.29612794E8</v>
      </c>
    </row>
    <row r="2656">
      <c r="A2656" s="2">
        <v>6.039302886E9</v>
      </c>
      <c r="B2656" s="72">
        <v>8.2512666E7</v>
      </c>
      <c r="C2656" s="74">
        <v>46229.54600268519</v>
      </c>
      <c r="D2656" s="2" t="s">
        <v>628</v>
      </c>
      <c r="F2656" s="2" t="s">
        <v>630</v>
      </c>
      <c r="G2656" s="72">
        <v>3.29220337E8</v>
      </c>
    </row>
    <row r="2657">
      <c r="A2657" s="2">
        <v>6.039307524E9</v>
      </c>
      <c r="B2657" s="72">
        <v>8.001214E7</v>
      </c>
      <c r="C2657" s="74">
        <v>46214.96016577547</v>
      </c>
      <c r="D2657" s="2" t="s">
        <v>628</v>
      </c>
      <c r="F2657" s="2" t="s">
        <v>2655</v>
      </c>
      <c r="G2657" s="72">
        <v>3.1913368E8</v>
      </c>
    </row>
    <row r="2658">
      <c r="A2658" s="2">
        <v>6.039307524E9</v>
      </c>
      <c r="B2658" s="72">
        <v>8.001214E7</v>
      </c>
      <c r="C2658" s="74">
        <v>46214.52538344907</v>
      </c>
      <c r="D2658" s="2" t="s">
        <v>705</v>
      </c>
      <c r="F2658" s="2" t="s">
        <v>2656</v>
      </c>
      <c r="G2658" s="72">
        <v>3.18677124E8</v>
      </c>
    </row>
    <row r="2659">
      <c r="A2659" s="2">
        <v>6.039307524E9</v>
      </c>
      <c r="B2659" s="72">
        <v>8.001214E7</v>
      </c>
      <c r="C2659" s="74">
        <v>46214.48525150463</v>
      </c>
      <c r="D2659" s="2" t="s">
        <v>628</v>
      </c>
      <c r="F2659" s="2" t="s">
        <v>2657</v>
      </c>
      <c r="G2659" s="72">
        <v>3.18620948E8</v>
      </c>
    </row>
    <row r="2660">
      <c r="A2660" s="2">
        <v>6.039333115E9</v>
      </c>
      <c r="B2660" s="72">
        <v>8.0738543E7</v>
      </c>
      <c r="C2660" s="74">
        <v>46218.95867331019</v>
      </c>
      <c r="D2660" s="2" t="s">
        <v>628</v>
      </c>
      <c r="F2660" s="2" t="s">
        <v>2053</v>
      </c>
      <c r="G2660" s="72">
        <v>3.21765345E8</v>
      </c>
    </row>
    <row r="2661">
      <c r="A2661" s="2">
        <v>6.039333115E9</v>
      </c>
      <c r="C2661" s="74">
        <v>46217.75068195602</v>
      </c>
      <c r="D2661" s="2" t="s">
        <v>628</v>
      </c>
      <c r="F2661" s="2" t="s">
        <v>2054</v>
      </c>
      <c r="G2661" s="72">
        <v>3.20914553E8</v>
      </c>
    </row>
    <row r="2662">
      <c r="A2662" s="2">
        <v>6.039865925E9</v>
      </c>
      <c r="C2662" s="74">
        <v>46220.75190646991</v>
      </c>
      <c r="D2662" s="2" t="s">
        <v>628</v>
      </c>
      <c r="F2662" s="2" t="s">
        <v>1679</v>
      </c>
      <c r="G2662" s="72">
        <v>3.22996425E8</v>
      </c>
    </row>
    <row r="2663">
      <c r="A2663" s="2">
        <v>6.039865925E9</v>
      </c>
      <c r="B2663" s="72">
        <v>8.1283684E7</v>
      </c>
      <c r="C2663" s="74">
        <v>46221.960234872684</v>
      </c>
      <c r="D2663" s="2" t="s">
        <v>628</v>
      </c>
      <c r="F2663" s="2" t="s">
        <v>1678</v>
      </c>
      <c r="G2663" s="72">
        <v>3.23994079E8</v>
      </c>
    </row>
    <row r="2664">
      <c r="A2664" s="2">
        <v>6.039913807E9</v>
      </c>
      <c r="B2664" s="72">
        <v>8.1284493E7</v>
      </c>
      <c r="C2664" s="74">
        <v>46221.961706574075</v>
      </c>
      <c r="D2664" s="2" t="s">
        <v>628</v>
      </c>
      <c r="F2664" s="2" t="s">
        <v>648</v>
      </c>
      <c r="G2664" s="72">
        <v>3.24001946E8</v>
      </c>
    </row>
    <row r="2665">
      <c r="A2665" s="2">
        <v>6.039916519E9</v>
      </c>
      <c r="C2665" s="74">
        <v>46228.75108180556</v>
      </c>
      <c r="D2665" s="2" t="s">
        <v>628</v>
      </c>
      <c r="F2665" s="2" t="s">
        <v>2171</v>
      </c>
      <c r="G2665" s="72">
        <v>3.28635867E8</v>
      </c>
    </row>
    <row r="2666">
      <c r="A2666" s="2">
        <v>6.039916519E9</v>
      </c>
      <c r="B2666" s="72">
        <v>8.260414E7</v>
      </c>
      <c r="C2666" s="74">
        <v>46229.958706805555</v>
      </c>
      <c r="D2666" s="2" t="s">
        <v>628</v>
      </c>
      <c r="F2666" s="2" t="s">
        <v>2172</v>
      </c>
      <c r="G2666" s="72">
        <v>3.29607011E8</v>
      </c>
    </row>
    <row r="2667">
      <c r="A2667" s="2">
        <v>6.039984252E9</v>
      </c>
      <c r="B2667" s="72">
        <v>3.3730887E7</v>
      </c>
      <c r="C2667" s="74">
        <v>46232.67813115741</v>
      </c>
      <c r="D2667" s="2" t="s">
        <v>628</v>
      </c>
      <c r="F2667" s="2" t="s">
        <v>1419</v>
      </c>
      <c r="G2667" s="72">
        <v>3.3132709E8</v>
      </c>
    </row>
    <row r="2668">
      <c r="A2668" s="2">
        <v>6.039984252E9</v>
      </c>
      <c r="B2668" s="72">
        <v>3.3730887E7</v>
      </c>
      <c r="C2668" s="74">
        <v>46233.54599452546</v>
      </c>
      <c r="D2668" s="2" t="s">
        <v>628</v>
      </c>
      <c r="F2668" s="2" t="s">
        <v>630</v>
      </c>
      <c r="G2668" s="72">
        <v>3.31874508E8</v>
      </c>
    </row>
    <row r="2669">
      <c r="A2669" s="2">
        <v>6.039984252E9</v>
      </c>
      <c r="B2669" s="72">
        <v>3.3730887E7</v>
      </c>
      <c r="C2669" s="74">
        <v>46233.961729849536</v>
      </c>
      <c r="D2669" s="2" t="s">
        <v>628</v>
      </c>
      <c r="F2669" s="2" t="s">
        <v>1420</v>
      </c>
      <c r="G2669" s="72">
        <v>3.32310517E8</v>
      </c>
    </row>
    <row r="2670">
      <c r="A2670" s="2">
        <v>6.134847158E9</v>
      </c>
      <c r="B2670" s="72">
        <v>7584294.0</v>
      </c>
      <c r="C2670" s="74">
        <v>46221.54247263889</v>
      </c>
      <c r="D2670" s="2" t="s">
        <v>628</v>
      </c>
      <c r="F2670" s="2" t="s">
        <v>630</v>
      </c>
      <c r="G2670" s="72">
        <v>3.23525538E8</v>
      </c>
    </row>
    <row r="2671">
      <c r="A2671" s="2">
        <v>6.134847158E9</v>
      </c>
      <c r="B2671" s="72">
        <v>7584294.0</v>
      </c>
      <c r="C2671" s="74">
        <v>46222.54315728009</v>
      </c>
      <c r="D2671" s="2" t="s">
        <v>628</v>
      </c>
      <c r="F2671" s="2" t="s">
        <v>630</v>
      </c>
      <c r="G2671" s="72">
        <v>3.24317734E8</v>
      </c>
    </row>
    <row r="2672">
      <c r="A2672" s="2">
        <v>6.134847158E9</v>
      </c>
      <c r="C2672" s="74">
        <v>46220.896969814814</v>
      </c>
      <c r="D2672" s="2" t="s">
        <v>628</v>
      </c>
      <c r="F2672" s="2" t="s">
        <v>1535</v>
      </c>
      <c r="G2672" s="72">
        <v>3.231803E8</v>
      </c>
    </row>
    <row r="2673">
      <c r="A2673" s="2">
        <v>6.134847158E9</v>
      </c>
      <c r="B2673" s="72">
        <v>7584294.0</v>
      </c>
      <c r="C2673" s="74">
        <v>46222.95970599537</v>
      </c>
      <c r="D2673" s="2" t="s">
        <v>628</v>
      </c>
      <c r="F2673" s="2" t="s">
        <v>2456</v>
      </c>
      <c r="G2673" s="72">
        <v>3.24722492E8</v>
      </c>
    </row>
    <row r="2674">
      <c r="A2674" s="2" t="s">
        <v>2658</v>
      </c>
      <c r="C2674" s="74">
        <v>46207.75158350695</v>
      </c>
      <c r="D2674" s="2" t="s">
        <v>628</v>
      </c>
      <c r="F2674" s="2" t="s">
        <v>2659</v>
      </c>
      <c r="G2674" s="72">
        <v>3.14282293E8</v>
      </c>
    </row>
    <row r="2675">
      <c r="A2675" s="2" t="s">
        <v>2658</v>
      </c>
      <c r="B2675" s="72">
        <v>1.0285138E7</v>
      </c>
      <c r="C2675" s="74">
        <v>46210.959942500005</v>
      </c>
      <c r="D2675" s="2" t="s">
        <v>628</v>
      </c>
      <c r="F2675" s="2" t="s">
        <v>2660</v>
      </c>
      <c r="G2675" s="72">
        <v>3.16367952E8</v>
      </c>
    </row>
    <row r="2676">
      <c r="A2676" s="2" t="s">
        <v>2658</v>
      </c>
      <c r="B2676" s="72">
        <v>1.0285138E7</v>
      </c>
      <c r="C2676" s="74">
        <v>46209.5435991088</v>
      </c>
      <c r="D2676" s="2" t="s">
        <v>628</v>
      </c>
      <c r="F2676" s="2" t="s">
        <v>630</v>
      </c>
      <c r="G2676" s="72">
        <v>3.15393594E8</v>
      </c>
    </row>
    <row r="2677">
      <c r="A2677" s="2" t="s">
        <v>2661</v>
      </c>
      <c r="B2677" s="72">
        <v>8156894.0</v>
      </c>
      <c r="C2677" s="74">
        <v>46219.958505347226</v>
      </c>
      <c r="D2677" s="2" t="s">
        <v>628</v>
      </c>
      <c r="F2677" s="2" t="s">
        <v>2662</v>
      </c>
      <c r="G2677" s="72">
        <v>3.2247135E8</v>
      </c>
    </row>
    <row r="2678">
      <c r="A2678" s="2" t="s">
        <v>2661</v>
      </c>
      <c r="C2678" s="74">
        <v>46218.75078767361</v>
      </c>
      <c r="D2678" s="2" t="s">
        <v>628</v>
      </c>
      <c r="F2678" s="2" t="s">
        <v>2663</v>
      </c>
      <c r="G2678" s="72">
        <v>3.21558279E8</v>
      </c>
    </row>
    <row r="2679">
      <c r="A2679" s="2" t="s">
        <v>2664</v>
      </c>
      <c r="B2679" s="72">
        <v>8199434.0</v>
      </c>
      <c r="C2679" s="74">
        <v>46230.753978946756</v>
      </c>
      <c r="D2679" s="2" t="s">
        <v>628</v>
      </c>
      <c r="F2679" s="2" t="s">
        <v>2665</v>
      </c>
      <c r="G2679" s="72">
        <v>3.30070139E8</v>
      </c>
    </row>
    <row r="2680">
      <c r="A2680" s="2" t="s">
        <v>2664</v>
      </c>
      <c r="B2680" s="72">
        <v>8199434.0</v>
      </c>
      <c r="C2680" s="74">
        <v>46232.545077939816</v>
      </c>
      <c r="D2680" s="2" t="s">
        <v>628</v>
      </c>
      <c r="F2680" s="2" t="s">
        <v>630</v>
      </c>
      <c r="G2680" s="72">
        <v>3.3118372E8</v>
      </c>
    </row>
    <row r="2681">
      <c r="A2681" s="2" t="s">
        <v>2664</v>
      </c>
      <c r="B2681" s="72">
        <v>8199434.0</v>
      </c>
      <c r="C2681" s="74">
        <v>46232.96077612268</v>
      </c>
      <c r="D2681" s="2" t="s">
        <v>628</v>
      </c>
      <c r="F2681" s="2" t="s">
        <v>2666</v>
      </c>
      <c r="G2681" s="72">
        <v>3.31586881E8</v>
      </c>
    </row>
    <row r="2682">
      <c r="A2682" s="2">
        <v>6.172836377E9</v>
      </c>
      <c r="B2682" s="72">
        <v>7.8462301E7</v>
      </c>
      <c r="C2682" s="74">
        <v>46204.75260734954</v>
      </c>
      <c r="D2682" s="2" t="s">
        <v>628</v>
      </c>
      <c r="F2682" s="2" t="s">
        <v>1681</v>
      </c>
      <c r="G2682" s="72">
        <v>3.1218958E8</v>
      </c>
    </row>
    <row r="2683">
      <c r="A2683" s="2">
        <v>6.172836377E9</v>
      </c>
      <c r="B2683" s="72">
        <v>7.8462301E7</v>
      </c>
      <c r="C2683" s="74">
        <v>46206.54432503472</v>
      </c>
      <c r="D2683" s="2" t="s">
        <v>628</v>
      </c>
      <c r="F2683" s="2" t="s">
        <v>630</v>
      </c>
      <c r="G2683" s="72">
        <v>3.13341815E8</v>
      </c>
    </row>
    <row r="2684">
      <c r="A2684" s="2">
        <v>6.172836377E9</v>
      </c>
      <c r="B2684" s="72">
        <v>7.8462301E7</v>
      </c>
      <c r="C2684" s="74">
        <v>46207.960427858794</v>
      </c>
      <c r="D2684" s="2" t="s">
        <v>628</v>
      </c>
      <c r="F2684" s="2" t="s">
        <v>2667</v>
      </c>
      <c r="G2684" s="72">
        <v>3.14482542E8</v>
      </c>
    </row>
    <row r="2685">
      <c r="A2685" s="2">
        <v>6.173064668E9</v>
      </c>
      <c r="B2685" s="72">
        <v>7.9865581E7</v>
      </c>
      <c r="C2685" s="74">
        <v>46213.68732753472</v>
      </c>
      <c r="D2685" s="2" t="s">
        <v>628</v>
      </c>
      <c r="F2685" s="2" t="s">
        <v>2668</v>
      </c>
      <c r="G2685" s="72">
        <v>3.18120521E8</v>
      </c>
    </row>
    <row r="2686">
      <c r="A2686" s="2">
        <v>6.173064668E9</v>
      </c>
      <c r="B2686" s="72">
        <v>7.9865581E7</v>
      </c>
      <c r="C2686" s="74">
        <v>46213.96029935185</v>
      </c>
      <c r="D2686" s="2" t="s">
        <v>628</v>
      </c>
      <c r="F2686" s="2" t="s">
        <v>2669</v>
      </c>
      <c r="G2686" s="72">
        <v>3.1840801E8</v>
      </c>
    </row>
    <row r="2687">
      <c r="A2687" s="2">
        <v>6.17319198E9</v>
      </c>
      <c r="C2687" s="74">
        <v>46233.75198454861</v>
      </c>
      <c r="D2687" s="2" t="s">
        <v>628</v>
      </c>
      <c r="F2687" s="2" t="s">
        <v>997</v>
      </c>
      <c r="G2687" s="72">
        <v>3.32065771E8</v>
      </c>
    </row>
    <row r="2688">
      <c r="A2688" s="2">
        <v>6.173470826E9</v>
      </c>
      <c r="B2688" s="72">
        <v>8.1781483E7</v>
      </c>
      <c r="C2688" s="74">
        <v>46226.96168090278</v>
      </c>
      <c r="D2688" s="2" t="s">
        <v>628</v>
      </c>
      <c r="F2688" s="2" t="s">
        <v>2670</v>
      </c>
      <c r="G2688" s="72">
        <v>3.27342888E8</v>
      </c>
    </row>
    <row r="2689">
      <c r="A2689" s="2">
        <v>6.173470826E9</v>
      </c>
      <c r="B2689" s="72">
        <v>8.1781483E7</v>
      </c>
      <c r="C2689" s="74">
        <v>46225.63120074074</v>
      </c>
      <c r="D2689" s="2" t="s">
        <v>628</v>
      </c>
      <c r="F2689" s="2" t="s">
        <v>2671</v>
      </c>
      <c r="G2689" s="72">
        <v>3.26341852E8</v>
      </c>
    </row>
    <row r="2690">
      <c r="A2690" s="2">
        <v>6.173470826E9</v>
      </c>
      <c r="B2690" s="72">
        <v>8.1781483E7</v>
      </c>
      <c r="C2690" s="74">
        <v>46225.95943400463</v>
      </c>
      <c r="D2690" s="2" t="s">
        <v>628</v>
      </c>
      <c r="F2690" s="2" t="s">
        <v>2670</v>
      </c>
      <c r="G2690" s="72">
        <v>3.26628042E8</v>
      </c>
    </row>
    <row r="2691">
      <c r="A2691" s="2">
        <v>6.173470826E9</v>
      </c>
      <c r="B2691" s="72">
        <v>8.1781483E7</v>
      </c>
      <c r="C2691" s="74">
        <v>46225.49649041667</v>
      </c>
      <c r="D2691" s="2" t="s">
        <v>628</v>
      </c>
      <c r="F2691" s="2" t="s">
        <v>2671</v>
      </c>
      <c r="G2691" s="72">
        <v>3.26164992E8</v>
      </c>
    </row>
    <row r="2692">
      <c r="A2692" s="2">
        <v>6.175124564E9</v>
      </c>
      <c r="B2692" s="72">
        <v>4.108149E7</v>
      </c>
      <c r="C2692" s="74">
        <v>46223.96028303241</v>
      </c>
      <c r="D2692" s="2" t="s">
        <v>628</v>
      </c>
      <c r="F2692" s="2" t="s">
        <v>1717</v>
      </c>
      <c r="G2692" s="72">
        <v>3.25365248E8</v>
      </c>
    </row>
    <row r="2693">
      <c r="A2693" s="2">
        <v>6.175124564E9</v>
      </c>
      <c r="B2693" s="72">
        <v>4.108149E7</v>
      </c>
      <c r="C2693" s="74">
        <v>46223.76118381944</v>
      </c>
      <c r="D2693" s="2" t="s">
        <v>705</v>
      </c>
      <c r="F2693" s="2" t="s">
        <v>2672</v>
      </c>
      <c r="G2693" s="72">
        <v>3.25183161E8</v>
      </c>
    </row>
    <row r="2694">
      <c r="A2694" s="2">
        <v>6.175124564E9</v>
      </c>
      <c r="B2694" s="72">
        <v>4.108149E7</v>
      </c>
      <c r="C2694" s="74">
        <v>46222.75199927083</v>
      </c>
      <c r="D2694" s="2" t="s">
        <v>628</v>
      </c>
      <c r="F2694" s="2" t="s">
        <v>1768</v>
      </c>
      <c r="G2694" s="72">
        <v>3.24540636E8</v>
      </c>
    </row>
    <row r="2695">
      <c r="A2695" s="2">
        <v>6.175124564E9</v>
      </c>
      <c r="B2695" s="72">
        <v>4.108149E7</v>
      </c>
      <c r="C2695" s="74">
        <v>46223.76074893519</v>
      </c>
      <c r="D2695" s="2" t="s">
        <v>667</v>
      </c>
      <c r="E2695" s="2" t="s">
        <v>1332</v>
      </c>
      <c r="F2695" s="2" t="s">
        <v>2673</v>
      </c>
      <c r="G2695" s="72">
        <v>3.25182897E8</v>
      </c>
    </row>
    <row r="2696">
      <c r="A2696" s="2">
        <v>6.175482837E9</v>
      </c>
      <c r="B2696" s="72">
        <v>8.0975842E7</v>
      </c>
      <c r="C2696" s="74">
        <v>46220.51581390046</v>
      </c>
      <c r="D2696" s="2" t="s">
        <v>628</v>
      </c>
      <c r="F2696" s="2" t="s">
        <v>645</v>
      </c>
      <c r="G2696" s="72">
        <v>3.22736047E8</v>
      </c>
    </row>
    <row r="2697">
      <c r="A2697" s="2">
        <v>6.175482837E9</v>
      </c>
      <c r="B2697" s="72">
        <v>8.0975842E7</v>
      </c>
      <c r="C2697" s="74">
        <v>46220.961386863426</v>
      </c>
      <c r="D2697" s="2" t="s">
        <v>628</v>
      </c>
      <c r="F2697" s="2" t="s">
        <v>762</v>
      </c>
      <c r="G2697" s="72">
        <v>3.23248197E8</v>
      </c>
    </row>
    <row r="2698">
      <c r="A2698" s="2">
        <v>6.175486191E9</v>
      </c>
      <c r="B2698" s="72">
        <v>3.1995071E7</v>
      </c>
      <c r="C2698" s="74">
        <v>46211.557743831014</v>
      </c>
      <c r="D2698" s="2" t="s">
        <v>705</v>
      </c>
      <c r="F2698" s="2" t="s">
        <v>1283</v>
      </c>
      <c r="G2698" s="72">
        <v>3.16631471E8</v>
      </c>
    </row>
    <row r="2699">
      <c r="A2699" s="2">
        <v>6.175486191E9</v>
      </c>
      <c r="B2699" s="72">
        <v>3.1995071E7</v>
      </c>
      <c r="C2699" s="74">
        <v>46210.75138288194</v>
      </c>
      <c r="D2699" s="2" t="s">
        <v>628</v>
      </c>
      <c r="F2699" s="2" t="s">
        <v>2231</v>
      </c>
      <c r="G2699" s="72">
        <v>3.16185337E8</v>
      </c>
    </row>
    <row r="2700">
      <c r="A2700" s="2">
        <v>6.175486191E9</v>
      </c>
      <c r="B2700" s="72">
        <v>3.1995071E7</v>
      </c>
      <c r="C2700" s="74">
        <v>46213.9607583912</v>
      </c>
      <c r="D2700" s="2" t="s">
        <v>628</v>
      </c>
      <c r="F2700" s="2" t="s">
        <v>2232</v>
      </c>
      <c r="G2700" s="72">
        <v>3.18409454E8</v>
      </c>
    </row>
    <row r="2701">
      <c r="A2701" s="2">
        <v>6.175486191E9</v>
      </c>
      <c r="B2701" s="72">
        <v>3.1995071E7</v>
      </c>
      <c r="C2701" s="74">
        <v>46211.55806888889</v>
      </c>
      <c r="D2701" s="2" t="s">
        <v>705</v>
      </c>
      <c r="F2701" s="2" t="s">
        <v>2674</v>
      </c>
      <c r="G2701" s="72">
        <v>3.16631606E8</v>
      </c>
    </row>
    <row r="2702">
      <c r="A2702" s="2">
        <v>6.17605933E9</v>
      </c>
      <c r="B2702" s="72">
        <v>4129470.0</v>
      </c>
      <c r="C2702" s="74">
        <v>46212.96158743056</v>
      </c>
      <c r="D2702" s="2" t="s">
        <v>628</v>
      </c>
      <c r="F2702" s="2" t="s">
        <v>2675</v>
      </c>
      <c r="G2702" s="72">
        <v>3.17663534E8</v>
      </c>
    </row>
    <row r="2703">
      <c r="A2703" s="2">
        <v>6.17605933E9</v>
      </c>
      <c r="C2703" s="74">
        <v>46210.753753819445</v>
      </c>
      <c r="D2703" s="2" t="s">
        <v>628</v>
      </c>
      <c r="F2703" s="2" t="s">
        <v>2676</v>
      </c>
      <c r="G2703" s="72">
        <v>3.16200033E8</v>
      </c>
    </row>
    <row r="2704">
      <c r="A2704" s="2">
        <v>6.17605933E9</v>
      </c>
      <c r="B2704" s="72">
        <v>4129470.0</v>
      </c>
      <c r="C2704" s="74">
        <v>46212.54505159722</v>
      </c>
      <c r="D2704" s="2" t="s">
        <v>628</v>
      </c>
      <c r="F2704" s="2" t="s">
        <v>630</v>
      </c>
      <c r="G2704" s="72">
        <v>3.17256916E8</v>
      </c>
    </row>
    <row r="2705">
      <c r="A2705" s="2">
        <v>6.176100329E9</v>
      </c>
      <c r="C2705" s="74">
        <v>46232.75377685185</v>
      </c>
      <c r="D2705" s="2" t="s">
        <v>628</v>
      </c>
      <c r="F2705" s="2" t="s">
        <v>2677</v>
      </c>
      <c r="G2705" s="72">
        <v>3.3138711E8</v>
      </c>
    </row>
    <row r="2706">
      <c r="A2706" s="2">
        <v>6.176100329E9</v>
      </c>
      <c r="B2706" s="72">
        <v>8.327329E7</v>
      </c>
      <c r="C2706" s="74">
        <v>46233.96074381944</v>
      </c>
      <c r="D2706" s="2" t="s">
        <v>628</v>
      </c>
      <c r="F2706" s="2" t="s">
        <v>2678</v>
      </c>
      <c r="G2706" s="72">
        <v>3.32306619E8</v>
      </c>
    </row>
    <row r="2707">
      <c r="A2707" s="2">
        <v>6.176337111E9</v>
      </c>
      <c r="B2707" s="72">
        <v>7.9655233E7</v>
      </c>
      <c r="C2707" s="74">
        <v>46213.96081243055</v>
      </c>
      <c r="D2707" s="2" t="s">
        <v>628</v>
      </c>
      <c r="F2707" s="2" t="s">
        <v>1378</v>
      </c>
      <c r="G2707" s="72">
        <v>3.18409606E8</v>
      </c>
    </row>
    <row r="2708">
      <c r="A2708" s="2">
        <v>6.176337111E9</v>
      </c>
      <c r="B2708" s="72">
        <v>7.9655233E7</v>
      </c>
      <c r="C2708" s="74">
        <v>46212.5445555787</v>
      </c>
      <c r="D2708" s="2" t="s">
        <v>628</v>
      </c>
      <c r="F2708" s="2" t="s">
        <v>630</v>
      </c>
      <c r="G2708" s="72">
        <v>3.17247924E8</v>
      </c>
    </row>
    <row r="2709">
      <c r="A2709" s="2">
        <v>6.176826839E9</v>
      </c>
      <c r="B2709" s="72">
        <v>8.0740242E7</v>
      </c>
      <c r="C2709" s="74">
        <v>46218.96213875</v>
      </c>
      <c r="D2709" s="2" t="s">
        <v>628</v>
      </c>
      <c r="F2709" s="2" t="s">
        <v>2679</v>
      </c>
      <c r="G2709" s="72">
        <v>3.21775486E8</v>
      </c>
    </row>
    <row r="2710">
      <c r="A2710" s="2">
        <v>6.177806042E9</v>
      </c>
      <c r="C2710" s="74">
        <v>46218.75277390046</v>
      </c>
      <c r="D2710" s="2" t="s">
        <v>628</v>
      </c>
      <c r="F2710" s="2" t="s">
        <v>770</v>
      </c>
      <c r="G2710" s="72">
        <v>3.21573239E8</v>
      </c>
    </row>
    <row r="2711">
      <c r="A2711" s="2">
        <v>6.177806042E9</v>
      </c>
      <c r="B2711" s="72">
        <v>8.098187E7</v>
      </c>
      <c r="C2711" s="74">
        <v>46220.54471350694</v>
      </c>
      <c r="D2711" s="2" t="s">
        <v>628</v>
      </c>
      <c r="F2711" s="2" t="s">
        <v>630</v>
      </c>
      <c r="G2711" s="72">
        <v>3.22772212E8</v>
      </c>
    </row>
    <row r="2712">
      <c r="A2712" s="2">
        <v>6.177806042E9</v>
      </c>
      <c r="B2712" s="72">
        <v>8.098187E7</v>
      </c>
      <c r="C2712" s="74">
        <v>46221.96084871527</v>
      </c>
      <c r="D2712" s="2" t="s">
        <v>628</v>
      </c>
      <c r="F2712" s="2" t="s">
        <v>769</v>
      </c>
      <c r="G2712" s="72">
        <v>3.23997674E8</v>
      </c>
    </row>
    <row r="2713">
      <c r="A2713" s="2">
        <v>6.177973818E9</v>
      </c>
      <c r="B2713" s="72">
        <v>8.0631365E7</v>
      </c>
      <c r="C2713" s="74">
        <v>46218.54481789352</v>
      </c>
      <c r="D2713" s="2" t="s">
        <v>628</v>
      </c>
      <c r="F2713" s="2" t="s">
        <v>630</v>
      </c>
      <c r="G2713" s="72">
        <v>3.21377954E8</v>
      </c>
    </row>
    <row r="2714">
      <c r="A2714" s="2">
        <v>6.177973818E9</v>
      </c>
      <c r="B2714" s="72">
        <v>8.0631365E7</v>
      </c>
      <c r="C2714" s="74">
        <v>46218.961319016205</v>
      </c>
      <c r="D2714" s="2" t="s">
        <v>628</v>
      </c>
      <c r="F2714" s="2" t="s">
        <v>744</v>
      </c>
      <c r="G2714" s="72">
        <v>3.21773213E8</v>
      </c>
    </row>
    <row r="2715">
      <c r="A2715" s="2">
        <v>6.177974339E9</v>
      </c>
      <c r="B2715" s="72">
        <v>8.0923821E7</v>
      </c>
      <c r="C2715" s="74">
        <v>46219.9613413426</v>
      </c>
      <c r="D2715" s="2" t="s">
        <v>628</v>
      </c>
      <c r="F2715" s="2" t="s">
        <v>1811</v>
      </c>
      <c r="G2715" s="72">
        <v>3.22479979E8</v>
      </c>
    </row>
    <row r="2716">
      <c r="A2716" s="2">
        <v>6.17803202E9</v>
      </c>
      <c r="B2716" s="72">
        <v>4517546.0</v>
      </c>
      <c r="C2716" s="74">
        <v>46208.961536689814</v>
      </c>
      <c r="D2716" s="2" t="s">
        <v>628</v>
      </c>
      <c r="F2716" s="2" t="s">
        <v>2680</v>
      </c>
      <c r="G2716" s="72">
        <v>3.1516886E8</v>
      </c>
    </row>
    <row r="2717">
      <c r="A2717" s="2">
        <v>6.17803202E9</v>
      </c>
      <c r="B2717" s="72">
        <v>4517546.0</v>
      </c>
      <c r="C2717" s="74">
        <v>46206.54491</v>
      </c>
      <c r="D2717" s="2" t="s">
        <v>628</v>
      </c>
      <c r="F2717" s="2" t="s">
        <v>630</v>
      </c>
      <c r="G2717" s="72">
        <v>3.13351508E8</v>
      </c>
    </row>
    <row r="2718">
      <c r="A2718" s="2">
        <v>6.17803202E9</v>
      </c>
      <c r="C2718" s="74">
        <v>46204.75333875</v>
      </c>
      <c r="D2718" s="2" t="s">
        <v>628</v>
      </c>
      <c r="F2718" s="2" t="s">
        <v>2681</v>
      </c>
      <c r="G2718" s="72">
        <v>3.12195717E8</v>
      </c>
    </row>
    <row r="2719">
      <c r="A2719" s="2">
        <v>6.178234069E9</v>
      </c>
      <c r="B2719" s="72">
        <v>8.1994384E7</v>
      </c>
      <c r="C2719" s="74">
        <v>46226.750763449076</v>
      </c>
      <c r="D2719" s="2" t="s">
        <v>628</v>
      </c>
      <c r="F2719" s="2" t="s">
        <v>1430</v>
      </c>
      <c r="G2719" s="72">
        <v>3.27094781E8</v>
      </c>
    </row>
    <row r="2720">
      <c r="A2720" s="2">
        <v>6.178234069E9</v>
      </c>
      <c r="B2720" s="72">
        <v>8.1994384E7</v>
      </c>
      <c r="C2720" s="74">
        <v>46227.959490127316</v>
      </c>
      <c r="D2720" s="2" t="s">
        <v>628</v>
      </c>
      <c r="F2720" s="2" t="s">
        <v>2407</v>
      </c>
      <c r="G2720" s="72">
        <v>3.28114403E8</v>
      </c>
    </row>
    <row r="2721">
      <c r="A2721" s="2">
        <v>6.178270963E9</v>
      </c>
      <c r="B2721" s="72">
        <v>1.1291768E7</v>
      </c>
      <c r="C2721" s="74">
        <v>46231.54426928241</v>
      </c>
      <c r="D2721" s="2" t="s">
        <v>628</v>
      </c>
      <c r="F2721" s="2" t="s">
        <v>630</v>
      </c>
      <c r="G2721" s="72">
        <v>3.30526892E8</v>
      </c>
    </row>
    <row r="2722">
      <c r="A2722" s="2">
        <v>6.178270963E9</v>
      </c>
      <c r="C2722" s="74">
        <v>46229.75189644676</v>
      </c>
      <c r="D2722" s="2" t="s">
        <v>628</v>
      </c>
      <c r="F2722" s="2" t="s">
        <v>2171</v>
      </c>
      <c r="G2722" s="72">
        <v>3.29421765E8</v>
      </c>
    </row>
    <row r="2723">
      <c r="A2723" s="2">
        <v>6.178270963E9</v>
      </c>
      <c r="B2723" s="72">
        <v>1.1291768E7</v>
      </c>
      <c r="C2723" s="74">
        <v>46231.95992193287</v>
      </c>
      <c r="D2723" s="2" t="s">
        <v>628</v>
      </c>
      <c r="F2723" s="2" t="s">
        <v>2172</v>
      </c>
      <c r="G2723" s="72">
        <v>3.30915462E8</v>
      </c>
    </row>
    <row r="2724">
      <c r="A2724" s="2">
        <v>6.178427087E9</v>
      </c>
      <c r="B2724" s="72">
        <v>8.1020519E7</v>
      </c>
      <c r="C2724" s="74">
        <v>46221.54483945602</v>
      </c>
      <c r="D2724" s="2" t="s">
        <v>628</v>
      </c>
      <c r="F2724" s="2" t="s">
        <v>630</v>
      </c>
      <c r="G2724" s="72">
        <v>3.23554773E8</v>
      </c>
    </row>
    <row r="2725">
      <c r="A2725" s="2">
        <v>6.178427087E9</v>
      </c>
      <c r="B2725" s="72">
        <v>8.1020519E7</v>
      </c>
      <c r="C2725" s="74">
        <v>46220.72991300926</v>
      </c>
      <c r="D2725" s="2" t="s">
        <v>628</v>
      </c>
      <c r="F2725" s="2" t="s">
        <v>2682</v>
      </c>
      <c r="G2725" s="72">
        <v>3.2297523E8</v>
      </c>
    </row>
    <row r="2726">
      <c r="A2726" s="2">
        <v>6.178427087E9</v>
      </c>
      <c r="B2726" s="72">
        <v>8.1020519E7</v>
      </c>
      <c r="C2726" s="74">
        <v>46221.95473557871</v>
      </c>
      <c r="D2726" s="2" t="s">
        <v>705</v>
      </c>
      <c r="F2726" s="2" t="s">
        <v>2683</v>
      </c>
      <c r="G2726" s="72">
        <v>3.23984345E8</v>
      </c>
    </row>
    <row r="2727">
      <c r="A2727" s="2">
        <v>6.178427087E9</v>
      </c>
      <c r="B2727" s="72">
        <v>8.1020519E7</v>
      </c>
      <c r="C2727" s="74">
        <v>46221.96081395833</v>
      </c>
      <c r="D2727" s="2" t="s">
        <v>628</v>
      </c>
      <c r="F2727" s="2" t="s">
        <v>2684</v>
      </c>
      <c r="G2727" s="72">
        <v>3.2399745E8</v>
      </c>
    </row>
    <row r="2728">
      <c r="A2728" s="2">
        <v>6.178694277E9</v>
      </c>
      <c r="B2728" s="72">
        <v>7.9302338E7</v>
      </c>
      <c r="C2728" s="74">
        <v>46209.96064052083</v>
      </c>
      <c r="D2728" s="2" t="s">
        <v>628</v>
      </c>
      <c r="F2728" s="2" t="s">
        <v>2685</v>
      </c>
      <c r="G2728" s="72">
        <v>3.15780788E8</v>
      </c>
    </row>
    <row r="2729">
      <c r="A2729" s="2">
        <v>6.178694277E9</v>
      </c>
      <c r="C2729" s="74">
        <v>46208.75241461805</v>
      </c>
      <c r="D2729" s="2" t="s">
        <v>628</v>
      </c>
      <c r="F2729" s="2" t="s">
        <v>2686</v>
      </c>
      <c r="G2729" s="72">
        <v>3.14995185E8</v>
      </c>
    </row>
    <row r="2730">
      <c r="A2730" s="2">
        <v>6.178697326E9</v>
      </c>
      <c r="B2730" s="72">
        <v>8.007064E7</v>
      </c>
      <c r="C2730" s="74">
        <v>46217.96159921296</v>
      </c>
      <c r="D2730" s="2" t="s">
        <v>628</v>
      </c>
      <c r="F2730" s="2" t="s">
        <v>2687</v>
      </c>
      <c r="G2730" s="72">
        <v>3.21117049E8</v>
      </c>
    </row>
    <row r="2731">
      <c r="A2731" s="2">
        <v>6.178697326E9</v>
      </c>
      <c r="B2731" s="72">
        <v>8.007064E7</v>
      </c>
      <c r="C2731" s="74">
        <v>46217.544759375</v>
      </c>
      <c r="D2731" s="2" t="s">
        <v>628</v>
      </c>
      <c r="F2731" s="2" t="s">
        <v>630</v>
      </c>
      <c r="G2731" s="72">
        <v>3.20742793E8</v>
      </c>
    </row>
    <row r="2732">
      <c r="A2732" s="2">
        <v>6.178697326E9</v>
      </c>
      <c r="B2732" s="72">
        <v>8.007064E7</v>
      </c>
      <c r="C2732" s="74">
        <v>46217.96185528935</v>
      </c>
      <c r="D2732" s="2" t="s">
        <v>628</v>
      </c>
      <c r="F2732" s="2" t="s">
        <v>2687</v>
      </c>
      <c r="G2732" s="72">
        <v>3.2111783E8</v>
      </c>
    </row>
    <row r="2733">
      <c r="A2733" s="2">
        <v>6.178697326E9</v>
      </c>
      <c r="B2733" s="72">
        <v>8.007064E7</v>
      </c>
      <c r="C2733" s="74">
        <v>46215.75318193287</v>
      </c>
      <c r="D2733" s="2" t="s">
        <v>628</v>
      </c>
      <c r="F2733" s="2" t="s">
        <v>2688</v>
      </c>
      <c r="G2733" s="72">
        <v>3.19681913E8</v>
      </c>
    </row>
    <row r="2734">
      <c r="A2734" s="2">
        <v>6.178697326E9</v>
      </c>
      <c r="B2734" s="72">
        <v>8.007064E7</v>
      </c>
      <c r="C2734" s="74">
        <v>46216.54534590278</v>
      </c>
      <c r="D2734" s="2" t="s">
        <v>628</v>
      </c>
      <c r="F2734" s="2" t="s">
        <v>630</v>
      </c>
      <c r="G2734" s="72">
        <v>3.20124571E8</v>
      </c>
    </row>
    <row r="2735">
      <c r="A2735" s="2">
        <v>6.178697326E9</v>
      </c>
      <c r="B2735" s="72">
        <v>8.007064E7</v>
      </c>
      <c r="C2735" s="74">
        <v>46214.75405966435</v>
      </c>
      <c r="D2735" s="2" t="s">
        <v>628</v>
      </c>
      <c r="F2735" s="2" t="s">
        <v>2688</v>
      </c>
      <c r="G2735" s="72">
        <v>3.18929435E8</v>
      </c>
    </row>
    <row r="2736">
      <c r="A2736" s="2">
        <v>6.17910825E9</v>
      </c>
      <c r="B2736" s="72">
        <v>8.110895E7</v>
      </c>
      <c r="C2736" s="74">
        <v>46220.961497129625</v>
      </c>
      <c r="D2736" s="2" t="s">
        <v>628</v>
      </c>
      <c r="F2736" s="2" t="s">
        <v>674</v>
      </c>
      <c r="G2736" s="72">
        <v>3.23248577E8</v>
      </c>
    </row>
    <row r="2737">
      <c r="A2737" s="2">
        <v>6.179438219E9</v>
      </c>
      <c r="B2737" s="72">
        <v>8.1435676E7</v>
      </c>
      <c r="C2737" s="74">
        <v>46222.96110010416</v>
      </c>
      <c r="D2737" s="2" t="s">
        <v>628</v>
      </c>
      <c r="F2737" s="2" t="s">
        <v>1196</v>
      </c>
      <c r="G2737" s="72">
        <v>3.24727143E8</v>
      </c>
    </row>
    <row r="2738">
      <c r="A2738" s="2">
        <v>6.179590053E9</v>
      </c>
      <c r="B2738" s="72">
        <v>8.0798382E7</v>
      </c>
      <c r="C2738" s="74">
        <v>46219.54539690972</v>
      </c>
      <c r="D2738" s="2" t="s">
        <v>628</v>
      </c>
      <c r="F2738" s="2" t="s">
        <v>630</v>
      </c>
      <c r="G2738" s="72">
        <v>3.22058512E8</v>
      </c>
    </row>
    <row r="2739">
      <c r="A2739" s="2">
        <v>6.179590053E9</v>
      </c>
      <c r="B2739" s="72">
        <v>8.0798382E7</v>
      </c>
      <c r="C2739" s="74">
        <v>46219.96167420139</v>
      </c>
      <c r="D2739" s="2" t="s">
        <v>628</v>
      </c>
      <c r="F2739" s="2" t="s">
        <v>2689</v>
      </c>
      <c r="G2739" s="72">
        <v>3.22481158E8</v>
      </c>
    </row>
    <row r="2740">
      <c r="A2740" s="2">
        <v>6.17967566E9</v>
      </c>
      <c r="B2740" s="72">
        <v>8.0517135E7</v>
      </c>
      <c r="C2740" s="74">
        <v>46218.96034451389</v>
      </c>
      <c r="D2740" s="2" t="s">
        <v>628</v>
      </c>
      <c r="F2740" s="2" t="s">
        <v>2232</v>
      </c>
      <c r="G2740" s="72">
        <v>3.21769698E8</v>
      </c>
    </row>
    <row r="2741">
      <c r="A2741" s="2">
        <v>6.17967566E9</v>
      </c>
      <c r="B2741" s="72">
        <v>8.0517135E7</v>
      </c>
      <c r="C2741" s="74">
        <v>46217.75296090278</v>
      </c>
      <c r="D2741" s="2" t="s">
        <v>628</v>
      </c>
      <c r="F2741" s="2" t="s">
        <v>2231</v>
      </c>
      <c r="G2741" s="72">
        <v>3.20925302E8</v>
      </c>
    </row>
    <row r="2742">
      <c r="A2742" s="2">
        <v>6.193185012E9</v>
      </c>
      <c r="B2742" s="72">
        <v>8.1108164E7</v>
      </c>
      <c r="C2742" s="74">
        <v>46220.96008438658</v>
      </c>
      <c r="D2742" s="2" t="s">
        <v>628</v>
      </c>
      <c r="F2742" s="2" t="s">
        <v>873</v>
      </c>
      <c r="G2742" s="72">
        <v>3.23243517E8</v>
      </c>
    </row>
    <row r="2743">
      <c r="A2743" s="2">
        <v>6.36577306E9</v>
      </c>
      <c r="B2743" s="72">
        <v>7.9701317E7</v>
      </c>
      <c r="C2743" s="74">
        <v>46219.96199578704</v>
      </c>
      <c r="D2743" s="2" t="s">
        <v>628</v>
      </c>
      <c r="F2743" s="2" t="s">
        <v>2538</v>
      </c>
      <c r="G2743" s="72">
        <v>3.22482131E8</v>
      </c>
    </row>
    <row r="2744">
      <c r="A2744" s="2">
        <v>6.36577306E9</v>
      </c>
      <c r="B2744" s="72">
        <v>7.9701317E7</v>
      </c>
      <c r="C2744" s="74">
        <v>46214.54495978009</v>
      </c>
      <c r="D2744" s="2" t="s">
        <v>628</v>
      </c>
      <c r="F2744" s="2" t="s">
        <v>630</v>
      </c>
      <c r="G2744" s="72">
        <v>3.18720294E8</v>
      </c>
    </row>
    <row r="2745">
      <c r="A2745" s="2">
        <v>6.36577306E9</v>
      </c>
      <c r="B2745" s="72">
        <v>7.9701317E7</v>
      </c>
      <c r="C2745" s="74">
        <v>46212.75448974537</v>
      </c>
      <c r="D2745" s="2" t="s">
        <v>628</v>
      </c>
      <c r="F2745" s="2" t="s">
        <v>2690</v>
      </c>
      <c r="G2745" s="72">
        <v>3.17444833E8</v>
      </c>
    </row>
    <row r="2746">
      <c r="A2746" s="2">
        <v>6.467262264E9</v>
      </c>
      <c r="B2746" s="72">
        <v>7.9028834E7</v>
      </c>
      <c r="C2746" s="74">
        <v>46207.96090446759</v>
      </c>
      <c r="D2746" s="2" t="s">
        <v>628</v>
      </c>
      <c r="F2746" s="2" t="s">
        <v>2691</v>
      </c>
      <c r="G2746" s="72">
        <v>3.14485667E8</v>
      </c>
    </row>
    <row r="2747">
      <c r="A2747" s="2">
        <v>6.467262264E9</v>
      </c>
      <c r="C2747" s="74">
        <v>46206.75300216435</v>
      </c>
      <c r="D2747" s="2" t="s">
        <v>628</v>
      </c>
      <c r="F2747" s="2" t="s">
        <v>2692</v>
      </c>
      <c r="G2747" s="72">
        <v>3.13567647E8</v>
      </c>
    </row>
    <row r="2748">
      <c r="A2748" s="2">
        <v>6.4733996E9</v>
      </c>
      <c r="B2748" s="72">
        <v>8.3362059E7</v>
      </c>
      <c r="C2748" s="74">
        <v>46234.665019004635</v>
      </c>
      <c r="D2748" s="2" t="s">
        <v>628</v>
      </c>
      <c r="F2748" s="2" t="s">
        <v>2693</v>
      </c>
      <c r="G2748" s="72">
        <v>3.3275595E8</v>
      </c>
    </row>
    <row r="2749">
      <c r="A2749" s="2">
        <v>6.4733996E9</v>
      </c>
      <c r="B2749" s="72">
        <v>8.3362059E7</v>
      </c>
      <c r="C2749" s="74">
        <v>46234.96213907408</v>
      </c>
      <c r="D2749" s="2" t="s">
        <v>628</v>
      </c>
      <c r="F2749" s="2" t="s">
        <v>2694</v>
      </c>
      <c r="G2749" s="72">
        <v>3.33105311E8</v>
      </c>
    </row>
    <row r="2750">
      <c r="A2750" s="2">
        <v>6.513081227E9</v>
      </c>
      <c r="B2750" s="72">
        <v>8.1839772E7</v>
      </c>
      <c r="C2750" s="74">
        <v>46226.95962645834</v>
      </c>
      <c r="D2750" s="2" t="s">
        <v>628</v>
      </c>
      <c r="F2750" s="2" t="s">
        <v>660</v>
      </c>
      <c r="G2750" s="72">
        <v>3.27335054E8</v>
      </c>
    </row>
    <row r="2751">
      <c r="A2751" s="2">
        <v>6.513081227E9</v>
      </c>
      <c r="C2751" s="74">
        <v>46225.75137903936</v>
      </c>
      <c r="D2751" s="2" t="s">
        <v>628</v>
      </c>
      <c r="F2751" s="2" t="s">
        <v>659</v>
      </c>
      <c r="G2751" s="72">
        <v>3.26425404E8</v>
      </c>
    </row>
    <row r="2752">
      <c r="A2752" s="2">
        <v>6.824352165E9</v>
      </c>
      <c r="B2752" s="72">
        <v>7.8698339E7</v>
      </c>
      <c r="C2752" s="74">
        <v>46205.960254363425</v>
      </c>
      <c r="D2752" s="2" t="s">
        <v>628</v>
      </c>
      <c r="F2752" s="2" t="s">
        <v>2695</v>
      </c>
      <c r="G2752" s="72">
        <v>3.13055185E8</v>
      </c>
    </row>
    <row r="2753">
      <c r="A2753" s="2">
        <v>7.042005319E9</v>
      </c>
      <c r="C2753" s="74">
        <v>46215.75349884259</v>
      </c>
      <c r="D2753" s="2" t="s">
        <v>628</v>
      </c>
      <c r="F2753" s="2" t="s">
        <v>2696</v>
      </c>
      <c r="G2753" s="72">
        <v>3.19684093E8</v>
      </c>
    </row>
    <row r="2754">
      <c r="A2754" s="2">
        <v>7.042005319E9</v>
      </c>
      <c r="B2754" s="72">
        <v>8.0478246E7</v>
      </c>
      <c r="C2754" s="74">
        <v>46217.54503815972</v>
      </c>
      <c r="D2754" s="2" t="s">
        <v>628</v>
      </c>
      <c r="F2754" s="2" t="s">
        <v>630</v>
      </c>
      <c r="G2754" s="72">
        <v>3.20745453E8</v>
      </c>
    </row>
    <row r="2755">
      <c r="A2755" s="2">
        <v>7.042005319E9</v>
      </c>
      <c r="B2755" s="72">
        <v>8.0478246E7</v>
      </c>
      <c r="C2755" s="74">
        <v>46218.96136018519</v>
      </c>
      <c r="D2755" s="2" t="s">
        <v>628</v>
      </c>
      <c r="F2755" s="2" t="s">
        <v>2697</v>
      </c>
      <c r="G2755" s="72">
        <v>3.21773316E8</v>
      </c>
    </row>
    <row r="2756">
      <c r="A2756" s="2">
        <v>7.044373099E9</v>
      </c>
      <c r="B2756" s="72">
        <v>8.2173627E7</v>
      </c>
      <c r="C2756" s="74">
        <v>46227.68186025463</v>
      </c>
      <c r="D2756" s="2" t="s">
        <v>628</v>
      </c>
      <c r="F2756" s="2" t="s">
        <v>915</v>
      </c>
      <c r="G2756" s="72">
        <v>3.278112E8</v>
      </c>
    </row>
    <row r="2757">
      <c r="A2757" s="2">
        <v>7.044373099E9</v>
      </c>
      <c r="B2757" s="72">
        <v>8.2173627E7</v>
      </c>
      <c r="C2757" s="74">
        <v>46227.96101189815</v>
      </c>
      <c r="D2757" s="2" t="s">
        <v>628</v>
      </c>
      <c r="F2757" s="2" t="s">
        <v>916</v>
      </c>
      <c r="G2757" s="72">
        <v>3.28119671E8</v>
      </c>
    </row>
    <row r="2758">
      <c r="A2758" s="2">
        <v>7.089753952E9</v>
      </c>
      <c r="B2758" s="72">
        <v>8.0833513E7</v>
      </c>
      <c r="C2758" s="74">
        <v>46220.959002083335</v>
      </c>
      <c r="D2758" s="2" t="s">
        <v>628</v>
      </c>
      <c r="F2758" s="2" t="s">
        <v>1074</v>
      </c>
      <c r="G2758" s="72">
        <v>3.23240579E8</v>
      </c>
    </row>
    <row r="2759">
      <c r="A2759" s="2">
        <v>7.089753952E9</v>
      </c>
      <c r="B2759" s="72">
        <v>8.0833513E7</v>
      </c>
      <c r="C2759" s="74">
        <v>46219.74397012731</v>
      </c>
      <c r="D2759" s="2" t="s">
        <v>628</v>
      </c>
      <c r="F2759" s="2" t="s">
        <v>1071</v>
      </c>
      <c r="G2759" s="72">
        <v>3.22228929E8</v>
      </c>
    </row>
    <row r="2760">
      <c r="A2760" s="2">
        <v>7.089753952E9</v>
      </c>
      <c r="B2760" s="72">
        <v>8.0833513E7</v>
      </c>
      <c r="C2760" s="74">
        <v>46220.54345814815</v>
      </c>
      <c r="D2760" s="2" t="s">
        <v>628</v>
      </c>
      <c r="F2760" s="2" t="s">
        <v>630</v>
      </c>
      <c r="G2760" s="72">
        <v>3.22756499E8</v>
      </c>
    </row>
    <row r="2761">
      <c r="A2761" s="2">
        <v>7.159281878E9</v>
      </c>
      <c r="B2761" s="72">
        <v>8.2001521E7</v>
      </c>
      <c r="C2761" s="74">
        <v>46226.75269471065</v>
      </c>
      <c r="D2761" s="2" t="s">
        <v>628</v>
      </c>
      <c r="F2761" s="2" t="s">
        <v>2698</v>
      </c>
      <c r="G2761" s="72">
        <v>3.27108456E8</v>
      </c>
    </row>
    <row r="2762">
      <c r="A2762" s="2">
        <v>7.159281878E9</v>
      </c>
      <c r="B2762" s="72">
        <v>8.2001521E7</v>
      </c>
      <c r="C2762" s="74">
        <v>46226.9622908912</v>
      </c>
      <c r="D2762" s="2" t="s">
        <v>628</v>
      </c>
      <c r="F2762" s="2" t="s">
        <v>2699</v>
      </c>
      <c r="G2762" s="72">
        <v>3.27344975E8</v>
      </c>
    </row>
    <row r="2763">
      <c r="A2763" s="2">
        <v>7.162002138E9</v>
      </c>
      <c r="B2763" s="72">
        <v>7.8148767E7</v>
      </c>
      <c r="C2763" s="74">
        <v>46204.960852222226</v>
      </c>
      <c r="D2763" s="2" t="s">
        <v>628</v>
      </c>
      <c r="F2763" s="2" t="s">
        <v>2700</v>
      </c>
      <c r="G2763" s="72">
        <v>3.12384575E8</v>
      </c>
    </row>
    <row r="2764">
      <c r="A2764" s="2">
        <v>7.162002138E9</v>
      </c>
      <c r="B2764" s="72">
        <v>7.8148767E7</v>
      </c>
      <c r="C2764" s="74">
        <v>46204.74200135417</v>
      </c>
      <c r="D2764" s="2" t="s">
        <v>628</v>
      </c>
      <c r="F2764" s="2" t="s">
        <v>2693</v>
      </c>
      <c r="G2764" s="72">
        <v>3.12176493E8</v>
      </c>
    </row>
    <row r="2765">
      <c r="A2765" s="2">
        <v>7.166090587E9</v>
      </c>
      <c r="B2765" s="72">
        <v>8.2080784E7</v>
      </c>
      <c r="C2765" s="74">
        <v>46226.96003636574</v>
      </c>
      <c r="D2765" s="2" t="s">
        <v>628</v>
      </c>
      <c r="F2765" s="2" t="s">
        <v>902</v>
      </c>
      <c r="G2765" s="72">
        <v>3.2733639E8</v>
      </c>
    </row>
    <row r="2766">
      <c r="A2766" s="2">
        <v>7.242634706E9</v>
      </c>
      <c r="B2766" s="72">
        <v>8.0222079E7</v>
      </c>
      <c r="C2766" s="74">
        <v>46216.959688773146</v>
      </c>
      <c r="D2766" s="2" t="s">
        <v>628</v>
      </c>
      <c r="F2766" s="2" t="s">
        <v>1752</v>
      </c>
      <c r="G2766" s="72">
        <v>3.204825E8</v>
      </c>
    </row>
    <row r="2767">
      <c r="A2767" s="2">
        <v>7.242634706E9</v>
      </c>
      <c r="B2767" s="72">
        <v>8.0222079E7</v>
      </c>
      <c r="C2767" s="74">
        <v>46215.7518365162</v>
      </c>
      <c r="D2767" s="2" t="s">
        <v>628</v>
      </c>
      <c r="F2767" s="2" t="s">
        <v>2701</v>
      </c>
      <c r="G2767" s="72">
        <v>3.19672694E8</v>
      </c>
    </row>
    <row r="2768">
      <c r="A2768" s="2">
        <v>7.343082433E9</v>
      </c>
      <c r="C2768" s="74">
        <v>46234.75451423611</v>
      </c>
      <c r="D2768" s="2" t="s">
        <v>628</v>
      </c>
      <c r="F2768" s="2" t="s">
        <v>1381</v>
      </c>
      <c r="G2768" s="72">
        <v>3.32860322E8</v>
      </c>
    </row>
    <row r="2769">
      <c r="A2769" s="2">
        <v>7.405061598E9</v>
      </c>
      <c r="B2769" s="72">
        <v>8.2692105E7</v>
      </c>
      <c r="C2769" s="74">
        <v>46230.74339440972</v>
      </c>
      <c r="D2769" s="2" t="s">
        <v>628</v>
      </c>
      <c r="F2769" s="2" t="s">
        <v>2340</v>
      </c>
      <c r="G2769" s="72">
        <v>3.30051434E8</v>
      </c>
    </row>
    <row r="2770">
      <c r="A2770" s="2">
        <v>7.405061598E9</v>
      </c>
      <c r="B2770" s="72">
        <v>8.2692105E7</v>
      </c>
      <c r="C2770" s="74">
        <v>46230.9616809838</v>
      </c>
      <c r="D2770" s="2" t="s">
        <v>628</v>
      </c>
      <c r="F2770" s="2" t="s">
        <v>2341</v>
      </c>
      <c r="G2770" s="72">
        <v>3.30273053E8</v>
      </c>
    </row>
    <row r="2771">
      <c r="A2771" s="2">
        <v>7.576195572E9</v>
      </c>
      <c r="B2771" s="72">
        <v>7.9538509E7</v>
      </c>
      <c r="C2771" s="74">
        <v>46211.75249881945</v>
      </c>
      <c r="D2771" s="2" t="s">
        <v>628</v>
      </c>
      <c r="F2771" s="2" t="s">
        <v>1961</v>
      </c>
      <c r="G2771" s="72">
        <v>3.16794909E8</v>
      </c>
    </row>
    <row r="2772">
      <c r="A2772" s="2">
        <v>7.576195572E9</v>
      </c>
      <c r="B2772" s="72">
        <v>7.9538509E7</v>
      </c>
      <c r="C2772" s="74">
        <v>46214.961029872684</v>
      </c>
      <c r="D2772" s="2" t="s">
        <v>628</v>
      </c>
      <c r="F2772" s="2" t="s">
        <v>2702</v>
      </c>
      <c r="G2772" s="72">
        <v>3.19138292E8</v>
      </c>
    </row>
    <row r="2773">
      <c r="A2773" s="2">
        <v>7.576195572E9</v>
      </c>
      <c r="B2773" s="72">
        <v>7.9538509E7</v>
      </c>
      <c r="C2773" s="74">
        <v>46213.54548383102</v>
      </c>
      <c r="D2773" s="2" t="s">
        <v>628</v>
      </c>
      <c r="F2773" s="2" t="s">
        <v>630</v>
      </c>
      <c r="G2773" s="72">
        <v>3.1796156E8</v>
      </c>
    </row>
    <row r="2774">
      <c r="A2774" s="2">
        <v>7.60413233E9</v>
      </c>
      <c r="C2774" s="74">
        <v>46215.75150592593</v>
      </c>
      <c r="D2774" s="2" t="s">
        <v>628</v>
      </c>
      <c r="F2774" s="2" t="s">
        <v>2703</v>
      </c>
      <c r="G2774" s="72">
        <v>3.19670488E8</v>
      </c>
    </row>
    <row r="2775">
      <c r="A2775" s="2">
        <v>7.60413233E9</v>
      </c>
      <c r="B2775" s="72">
        <v>8.006317E7</v>
      </c>
      <c r="C2775" s="74">
        <v>46214.75112321759</v>
      </c>
      <c r="D2775" s="2" t="s">
        <v>628</v>
      </c>
      <c r="F2775" s="2" t="s">
        <v>2703</v>
      </c>
      <c r="G2775" s="72">
        <v>3.18909835E8</v>
      </c>
    </row>
    <row r="2776">
      <c r="A2776" s="2">
        <v>7.60413233E9</v>
      </c>
      <c r="B2776" s="72">
        <v>8.006317E7</v>
      </c>
      <c r="C2776" s="74">
        <v>46215.95984393518</v>
      </c>
      <c r="D2776" s="2" t="s">
        <v>628</v>
      </c>
      <c r="F2776" s="2" t="s">
        <v>2704</v>
      </c>
      <c r="G2776" s="72">
        <v>3.1985762E8</v>
      </c>
    </row>
    <row r="2777">
      <c r="A2777" s="2">
        <v>7.60413233E9</v>
      </c>
      <c r="B2777" s="72">
        <v>8.006317E7</v>
      </c>
      <c r="C2777" s="74">
        <v>46216.96177034722</v>
      </c>
      <c r="D2777" s="2" t="s">
        <v>628</v>
      </c>
      <c r="F2777" s="2" t="s">
        <v>2704</v>
      </c>
      <c r="G2777" s="72">
        <v>3.2048821E8</v>
      </c>
    </row>
    <row r="2778">
      <c r="A2778" s="2">
        <v>7.60413233E9</v>
      </c>
      <c r="C2778" s="74">
        <v>46215.75329334491</v>
      </c>
      <c r="D2778" s="2" t="s">
        <v>628</v>
      </c>
      <c r="F2778" s="2" t="s">
        <v>2703</v>
      </c>
      <c r="G2778" s="72">
        <v>3.19682764E8</v>
      </c>
    </row>
    <row r="2779">
      <c r="A2779" s="2">
        <v>7.703777637E9</v>
      </c>
      <c r="B2779" s="72">
        <v>8.2271463E7</v>
      </c>
      <c r="C2779" s="74">
        <v>46227.96028077546</v>
      </c>
      <c r="D2779" s="2" t="s">
        <v>628</v>
      </c>
      <c r="F2779" s="2" t="s">
        <v>1417</v>
      </c>
      <c r="G2779" s="72">
        <v>3.28116823E8</v>
      </c>
    </row>
    <row r="2780">
      <c r="A2780" s="2">
        <v>7.706554442E9</v>
      </c>
      <c r="B2780" s="72">
        <v>8.2371921E7</v>
      </c>
      <c r="C2780" s="74">
        <v>46228.703347187504</v>
      </c>
      <c r="D2780" s="2" t="s">
        <v>628</v>
      </c>
      <c r="F2780" s="2" t="s">
        <v>2705</v>
      </c>
      <c r="G2780" s="72">
        <v>3.28596017E8</v>
      </c>
    </row>
    <row r="2781">
      <c r="A2781" s="2">
        <v>7.706554442E9</v>
      </c>
      <c r="B2781" s="72">
        <v>8.2371921E7</v>
      </c>
      <c r="C2781" s="74">
        <v>46228.96083534722</v>
      </c>
      <c r="D2781" s="2" t="s">
        <v>628</v>
      </c>
      <c r="F2781" s="2" t="s">
        <v>2706</v>
      </c>
      <c r="G2781" s="72">
        <v>3.288659E8</v>
      </c>
    </row>
    <row r="2782">
      <c r="A2782" s="2">
        <v>7.708617294E9</v>
      </c>
      <c r="B2782" s="72">
        <v>8.1846171E7</v>
      </c>
      <c r="C2782" s="74">
        <v>46226.96195547454</v>
      </c>
      <c r="D2782" s="2" t="s">
        <v>628</v>
      </c>
      <c r="F2782" s="2" t="s">
        <v>744</v>
      </c>
      <c r="G2782" s="72">
        <v>3.27343993E8</v>
      </c>
    </row>
    <row r="2783">
      <c r="A2783" s="2">
        <v>7.73562753E9</v>
      </c>
      <c r="B2783" s="72">
        <v>8.2192094E7</v>
      </c>
      <c r="C2783" s="74">
        <v>46229.54563116898</v>
      </c>
      <c r="D2783" s="2" t="s">
        <v>628</v>
      </c>
      <c r="F2783" s="2" t="s">
        <v>630</v>
      </c>
      <c r="G2783" s="72">
        <v>3.29214604E8</v>
      </c>
    </row>
    <row r="2784">
      <c r="A2784" s="2">
        <v>7.73562753E9</v>
      </c>
      <c r="B2784" s="72">
        <v>8.2192094E7</v>
      </c>
      <c r="C2784" s="74">
        <v>46227.752738310184</v>
      </c>
      <c r="D2784" s="2" t="s">
        <v>628</v>
      </c>
      <c r="F2784" s="2" t="s">
        <v>924</v>
      </c>
      <c r="G2784" s="72">
        <v>3.27873646E8</v>
      </c>
    </row>
    <row r="2785">
      <c r="A2785" s="2">
        <v>7.73562753E9</v>
      </c>
      <c r="B2785" s="72">
        <v>8.2192094E7</v>
      </c>
      <c r="C2785" s="74">
        <v>46229.96141920139</v>
      </c>
      <c r="D2785" s="2" t="s">
        <v>628</v>
      </c>
      <c r="F2785" s="2" t="s">
        <v>925</v>
      </c>
      <c r="G2785" s="72">
        <v>3.29614615E8</v>
      </c>
    </row>
    <row r="2786">
      <c r="A2786" s="2" t="s">
        <v>2707</v>
      </c>
      <c r="B2786" s="72">
        <v>7893216.0</v>
      </c>
      <c r="C2786" s="74">
        <v>46209.54525638889</v>
      </c>
      <c r="D2786" s="2" t="s">
        <v>628</v>
      </c>
      <c r="F2786" s="2" t="s">
        <v>630</v>
      </c>
      <c r="G2786" s="72">
        <v>3.15418753E8</v>
      </c>
    </row>
    <row r="2787">
      <c r="A2787" s="2" t="s">
        <v>2707</v>
      </c>
      <c r="B2787" s="72">
        <v>7893216.0</v>
      </c>
      <c r="C2787" s="74">
        <v>46207.753874525464</v>
      </c>
      <c r="D2787" s="2" t="s">
        <v>628</v>
      </c>
      <c r="F2787" s="2" t="s">
        <v>2708</v>
      </c>
      <c r="G2787" s="72">
        <v>3.14298447E8</v>
      </c>
    </row>
    <row r="2788">
      <c r="A2788" s="2" t="s">
        <v>2707</v>
      </c>
      <c r="B2788" s="72">
        <v>7893216.0</v>
      </c>
      <c r="C2788" s="74">
        <v>46210.96170635417</v>
      </c>
      <c r="D2788" s="2" t="s">
        <v>628</v>
      </c>
      <c r="F2788" s="2" t="s">
        <v>2709</v>
      </c>
      <c r="G2788" s="72">
        <v>3.16373368E8</v>
      </c>
    </row>
    <row r="2789">
      <c r="A2789" s="2">
        <v>7.74200477E9</v>
      </c>
      <c r="B2789" s="72">
        <v>4238637.0</v>
      </c>
      <c r="C2789" s="74">
        <v>46220.69835039352</v>
      </c>
      <c r="D2789" s="2" t="s">
        <v>628</v>
      </c>
      <c r="F2789" s="2" t="s">
        <v>2710</v>
      </c>
      <c r="G2789" s="72">
        <v>3.22950082E8</v>
      </c>
    </row>
    <row r="2790">
      <c r="A2790" s="2">
        <v>7.74200477E9</v>
      </c>
      <c r="B2790" s="72">
        <v>4238637.0</v>
      </c>
      <c r="C2790" s="74">
        <v>46221.54412679398</v>
      </c>
      <c r="D2790" s="2" t="s">
        <v>628</v>
      </c>
      <c r="F2790" s="2" t="s">
        <v>630</v>
      </c>
      <c r="G2790" s="72">
        <v>3.23546072E8</v>
      </c>
    </row>
    <row r="2791">
      <c r="A2791" s="2">
        <v>7.74200477E9</v>
      </c>
      <c r="B2791" s="72">
        <v>4238637.0</v>
      </c>
      <c r="C2791" s="74">
        <v>46221.96037714121</v>
      </c>
      <c r="D2791" s="2" t="s">
        <v>628</v>
      </c>
      <c r="F2791" s="2" t="s">
        <v>2711</v>
      </c>
      <c r="G2791" s="72">
        <v>3.2399492E8</v>
      </c>
    </row>
    <row r="2792">
      <c r="A2792" s="2">
        <v>7.742183694E9</v>
      </c>
      <c r="B2792" s="72">
        <v>8.1640568E7</v>
      </c>
      <c r="C2792" s="74">
        <v>46224.544735393516</v>
      </c>
      <c r="D2792" s="2" t="s">
        <v>628</v>
      </c>
      <c r="F2792" s="2" t="s">
        <v>630</v>
      </c>
      <c r="G2792" s="72">
        <v>3.25617908E8</v>
      </c>
    </row>
    <row r="2793">
      <c r="A2793" s="2">
        <v>7.742183694E9</v>
      </c>
      <c r="C2793" s="74">
        <v>46222.75313329861</v>
      </c>
      <c r="D2793" s="2" t="s">
        <v>628</v>
      </c>
      <c r="F2793" s="2" t="s">
        <v>1814</v>
      </c>
      <c r="G2793" s="72">
        <v>3.24549246E8</v>
      </c>
    </row>
    <row r="2794">
      <c r="A2794" s="2">
        <v>7.742183694E9</v>
      </c>
      <c r="B2794" s="72">
        <v>8.1640568E7</v>
      </c>
      <c r="C2794" s="74">
        <v>46226.96162047454</v>
      </c>
      <c r="D2794" s="2" t="s">
        <v>628</v>
      </c>
      <c r="F2794" s="2" t="s">
        <v>1813</v>
      </c>
      <c r="G2794" s="72">
        <v>3.27342604E8</v>
      </c>
    </row>
    <row r="2795">
      <c r="A2795" s="2">
        <v>7.742266705E9</v>
      </c>
      <c r="B2795" s="72">
        <v>4695103.0</v>
      </c>
      <c r="C2795" s="74">
        <v>46228.54281842592</v>
      </c>
      <c r="D2795" s="2" t="s">
        <v>628</v>
      </c>
      <c r="F2795" s="2" t="s">
        <v>630</v>
      </c>
      <c r="G2795" s="72">
        <v>3.28402912E8</v>
      </c>
    </row>
    <row r="2796">
      <c r="A2796" s="2">
        <v>7.742266705E9</v>
      </c>
      <c r="B2796" s="72">
        <v>4695103.0</v>
      </c>
      <c r="C2796" s="74">
        <v>46228.95927599537</v>
      </c>
      <c r="D2796" s="2" t="s">
        <v>628</v>
      </c>
      <c r="F2796" s="2" t="s">
        <v>2712</v>
      </c>
      <c r="G2796" s="72">
        <v>3.28856733E8</v>
      </c>
    </row>
    <row r="2797">
      <c r="A2797" s="2">
        <v>7.742266705E9</v>
      </c>
      <c r="B2797" s="72">
        <v>4695103.0</v>
      </c>
      <c r="C2797" s="74">
        <v>46226.75154577546</v>
      </c>
      <c r="D2797" s="2" t="s">
        <v>628</v>
      </c>
      <c r="F2797" s="2" t="s">
        <v>2713</v>
      </c>
      <c r="G2797" s="72">
        <v>3.27099846E8</v>
      </c>
    </row>
    <row r="2798">
      <c r="A2798" s="2">
        <v>7.742394835E9</v>
      </c>
      <c r="B2798" s="72">
        <v>8.2656607E7</v>
      </c>
      <c r="C2798" s="74">
        <v>46231.96173988426</v>
      </c>
      <c r="D2798" s="2" t="s">
        <v>628</v>
      </c>
      <c r="F2798" s="2" t="s">
        <v>1470</v>
      </c>
      <c r="G2798" s="72">
        <v>3.3092167E8</v>
      </c>
    </row>
    <row r="2799">
      <c r="A2799" s="2">
        <v>7.742394835E9</v>
      </c>
      <c r="B2799" s="72">
        <v>8.2656607E7</v>
      </c>
      <c r="C2799" s="74">
        <v>46230.54567313657</v>
      </c>
      <c r="D2799" s="2" t="s">
        <v>628</v>
      </c>
      <c r="F2799" s="2" t="s">
        <v>630</v>
      </c>
      <c r="G2799" s="72">
        <v>3.2987732E8</v>
      </c>
    </row>
    <row r="2800">
      <c r="A2800" s="2">
        <v>7.742398686E9</v>
      </c>
      <c r="B2800" s="72">
        <v>8.0923068E7</v>
      </c>
      <c r="C2800" s="74">
        <v>46219.95987737269</v>
      </c>
      <c r="D2800" s="2" t="s">
        <v>628</v>
      </c>
      <c r="F2800" s="2" t="s">
        <v>873</v>
      </c>
      <c r="G2800" s="72">
        <v>3.2247435E8</v>
      </c>
    </row>
    <row r="2801">
      <c r="A2801" s="2">
        <v>7.7425916E9</v>
      </c>
      <c r="C2801" s="74">
        <v>46229.753341620366</v>
      </c>
      <c r="D2801" s="2" t="s">
        <v>628</v>
      </c>
      <c r="F2801" s="2" t="s">
        <v>1768</v>
      </c>
      <c r="G2801" s="72">
        <v>3.29431621E8</v>
      </c>
    </row>
    <row r="2802">
      <c r="A2802" s="2">
        <v>7.7425916E9</v>
      </c>
      <c r="B2802" s="72">
        <v>8.2819129E7</v>
      </c>
      <c r="C2802" s="74">
        <v>46231.5447780324</v>
      </c>
      <c r="D2802" s="2" t="s">
        <v>628</v>
      </c>
      <c r="F2802" s="2" t="s">
        <v>630</v>
      </c>
      <c r="G2802" s="72">
        <v>3.30535233E8</v>
      </c>
    </row>
    <row r="2803">
      <c r="A2803" s="2">
        <v>7.7425916E9</v>
      </c>
      <c r="B2803" s="72">
        <v>8.2819129E7</v>
      </c>
      <c r="C2803" s="74">
        <v>46231.961531863424</v>
      </c>
      <c r="D2803" s="2" t="s">
        <v>628</v>
      </c>
      <c r="F2803" s="2" t="s">
        <v>1717</v>
      </c>
      <c r="G2803" s="72">
        <v>3.30920985E8</v>
      </c>
    </row>
    <row r="2804">
      <c r="A2804" s="2">
        <v>7.742741321E9</v>
      </c>
      <c r="B2804" s="72">
        <v>8.0576185E7</v>
      </c>
      <c r="C2804" s="74">
        <v>46217.95935211805</v>
      </c>
      <c r="D2804" s="2" t="s">
        <v>628</v>
      </c>
      <c r="F2804" s="2" t="s">
        <v>873</v>
      </c>
      <c r="G2804" s="72">
        <v>3.21110713E8</v>
      </c>
    </row>
    <row r="2805">
      <c r="A2805" s="2">
        <v>7.742797658E9</v>
      </c>
      <c r="C2805" s="74">
        <v>46219.750210983795</v>
      </c>
      <c r="D2805" s="2" t="s">
        <v>628</v>
      </c>
      <c r="F2805" s="2" t="s">
        <v>632</v>
      </c>
      <c r="G2805" s="72">
        <v>3.22232028E8</v>
      </c>
    </row>
    <row r="2806">
      <c r="A2806" s="2">
        <v>7.742797658E9</v>
      </c>
      <c r="B2806" s="72">
        <v>1.0741896E7</v>
      </c>
      <c r="C2806" s="74">
        <v>46221.54249665509</v>
      </c>
      <c r="D2806" s="2" t="s">
        <v>628</v>
      </c>
      <c r="F2806" s="2" t="s">
        <v>630</v>
      </c>
      <c r="G2806" s="72">
        <v>3.23525724E8</v>
      </c>
    </row>
    <row r="2807">
      <c r="A2807" s="2">
        <v>7.742797658E9</v>
      </c>
      <c r="B2807" s="72">
        <v>1.0741896E7</v>
      </c>
      <c r="C2807" s="74">
        <v>46221.95849858796</v>
      </c>
      <c r="D2807" s="2" t="s">
        <v>628</v>
      </c>
      <c r="F2807" s="2" t="s">
        <v>633</v>
      </c>
      <c r="G2807" s="72">
        <v>3.23987055E8</v>
      </c>
    </row>
    <row r="2808">
      <c r="A2808" s="2">
        <v>7.742841557E9</v>
      </c>
      <c r="B2808" s="72">
        <v>7.769261E7</v>
      </c>
      <c r="C2808" s="74">
        <v>46204.96150773148</v>
      </c>
      <c r="D2808" s="2" t="s">
        <v>628</v>
      </c>
      <c r="F2808" s="2" t="s">
        <v>2714</v>
      </c>
      <c r="G2808" s="72">
        <v>3.12386426E8</v>
      </c>
    </row>
    <row r="2809">
      <c r="A2809" s="2">
        <v>7.743037923E9</v>
      </c>
      <c r="B2809" s="72">
        <v>8.184613E7</v>
      </c>
      <c r="C2809" s="74">
        <v>46227.95972211806</v>
      </c>
      <c r="D2809" s="2" t="s">
        <v>628</v>
      </c>
      <c r="F2809" s="2" t="s">
        <v>2715</v>
      </c>
      <c r="G2809" s="72">
        <v>3.28115156E8</v>
      </c>
    </row>
    <row r="2810">
      <c r="A2810" s="2">
        <v>7.743037923E9</v>
      </c>
      <c r="B2810" s="72">
        <v>8.184613E7</v>
      </c>
      <c r="C2810" s="74">
        <v>46227.54256074074</v>
      </c>
      <c r="D2810" s="2" t="s">
        <v>628</v>
      </c>
      <c r="F2810" s="2" t="s">
        <v>630</v>
      </c>
      <c r="G2810" s="72">
        <v>3.27613481E8</v>
      </c>
    </row>
    <row r="2811">
      <c r="A2811" s="2">
        <v>7.74318042E9</v>
      </c>
      <c r="B2811" s="72">
        <v>3.763301E7</v>
      </c>
      <c r="C2811" s="74">
        <v>46214.88172797454</v>
      </c>
      <c r="D2811" s="2" t="s">
        <v>705</v>
      </c>
      <c r="F2811" s="96" t="s">
        <v>2716</v>
      </c>
      <c r="G2811" s="72">
        <v>3.19061476E8</v>
      </c>
    </row>
    <row r="2812">
      <c r="A2812" s="2">
        <v>7.743194956E9</v>
      </c>
      <c r="B2812" s="72">
        <v>8.2340702E7</v>
      </c>
      <c r="C2812" s="74">
        <v>46228.960664872684</v>
      </c>
      <c r="D2812" s="2" t="s">
        <v>628</v>
      </c>
      <c r="F2812" s="2" t="s">
        <v>2717</v>
      </c>
      <c r="G2812" s="72">
        <v>3.28865037E8</v>
      </c>
    </row>
    <row r="2813">
      <c r="A2813" s="2">
        <v>7.743194956E9</v>
      </c>
      <c r="B2813" s="72">
        <v>8.2340702E7</v>
      </c>
      <c r="C2813" s="74">
        <v>46228.54414703704</v>
      </c>
      <c r="D2813" s="2" t="s">
        <v>628</v>
      </c>
      <c r="F2813" s="2" t="s">
        <v>630</v>
      </c>
      <c r="G2813" s="72">
        <v>3.28420683E8</v>
      </c>
    </row>
    <row r="2814">
      <c r="A2814" s="2">
        <v>7.743291901E9</v>
      </c>
      <c r="B2814" s="72">
        <v>7.9637349E7</v>
      </c>
      <c r="C2814" s="74">
        <v>46212.959642974536</v>
      </c>
      <c r="D2814" s="2" t="s">
        <v>628</v>
      </c>
      <c r="F2814" s="2" t="s">
        <v>2718</v>
      </c>
      <c r="G2814" s="72">
        <v>3.17656273E8</v>
      </c>
    </row>
    <row r="2815">
      <c r="A2815" s="2">
        <v>7.743291901E9</v>
      </c>
      <c r="B2815" s="72">
        <v>7.9637349E7</v>
      </c>
      <c r="C2815" s="74">
        <v>46212.459595057866</v>
      </c>
      <c r="D2815" s="2" t="s">
        <v>628</v>
      </c>
      <c r="F2815" s="2" t="s">
        <v>1485</v>
      </c>
      <c r="G2815" s="72">
        <v>3.17127689E8</v>
      </c>
    </row>
    <row r="2816">
      <c r="A2816" s="2">
        <v>7.743664697E9</v>
      </c>
      <c r="B2816" s="72">
        <v>8.1434708E7</v>
      </c>
      <c r="C2816" s="74">
        <v>46222.95903680555</v>
      </c>
      <c r="D2816" s="2" t="s">
        <v>628</v>
      </c>
      <c r="F2816" s="2" t="s">
        <v>2610</v>
      </c>
      <c r="G2816" s="72">
        <v>3.24720696E8</v>
      </c>
    </row>
    <row r="2817">
      <c r="A2817" s="2">
        <v>7.744154835E9</v>
      </c>
      <c r="B2817" s="72">
        <v>8.322203E7</v>
      </c>
      <c r="C2817" s="74">
        <v>46233.798521122684</v>
      </c>
      <c r="D2817" s="2" t="s">
        <v>628</v>
      </c>
      <c r="F2817" s="2" t="s">
        <v>2719</v>
      </c>
      <c r="G2817" s="72">
        <v>3.32143667E8</v>
      </c>
    </row>
    <row r="2818">
      <c r="A2818" s="2">
        <v>7.744154835E9</v>
      </c>
      <c r="B2818" s="72">
        <v>8.322203E7</v>
      </c>
      <c r="C2818" s="74">
        <v>46234.95988866898</v>
      </c>
      <c r="D2818" s="2" t="s">
        <v>628</v>
      </c>
      <c r="F2818" s="2" t="s">
        <v>2554</v>
      </c>
      <c r="G2818" s="72">
        <v>3.33097629E8</v>
      </c>
    </row>
    <row r="2819">
      <c r="A2819" s="2">
        <v>7.744622725E9</v>
      </c>
      <c r="B2819" s="72">
        <v>4571502.0</v>
      </c>
      <c r="C2819" s="74">
        <v>46228.54529159723</v>
      </c>
      <c r="D2819" s="2" t="s">
        <v>628</v>
      </c>
      <c r="F2819" s="2" t="s">
        <v>630</v>
      </c>
      <c r="G2819" s="72">
        <v>3.28440503E8</v>
      </c>
    </row>
    <row r="2820">
      <c r="A2820" s="2">
        <v>7.744622725E9</v>
      </c>
      <c r="B2820" s="72">
        <v>4571502.0</v>
      </c>
      <c r="C2820" s="74">
        <v>46228.9619740162</v>
      </c>
      <c r="D2820" s="2" t="s">
        <v>628</v>
      </c>
      <c r="F2820" s="2" t="s">
        <v>2578</v>
      </c>
      <c r="G2820" s="72">
        <v>3.28871137E8</v>
      </c>
    </row>
    <row r="2821">
      <c r="A2821" s="2">
        <v>7.744622725E9</v>
      </c>
      <c r="B2821" s="72">
        <v>4571502.0</v>
      </c>
      <c r="C2821" s="74">
        <v>46226.75467512732</v>
      </c>
      <c r="D2821" s="2" t="s">
        <v>628</v>
      </c>
      <c r="F2821" s="2" t="s">
        <v>2577</v>
      </c>
      <c r="G2821" s="72">
        <v>3.27123168E8</v>
      </c>
    </row>
    <row r="2822">
      <c r="A2822" s="2">
        <v>7.745020906E9</v>
      </c>
      <c r="B2822" s="72">
        <v>8.0210081E7</v>
      </c>
      <c r="C2822" s="74">
        <v>46216.95968552084</v>
      </c>
      <c r="D2822" s="2" t="s">
        <v>628</v>
      </c>
      <c r="F2822" s="2" t="s">
        <v>1785</v>
      </c>
      <c r="G2822" s="72">
        <v>3.2048249E8</v>
      </c>
    </row>
    <row r="2823">
      <c r="A2823" s="2">
        <v>7.745020906E9</v>
      </c>
      <c r="B2823" s="72">
        <v>8.0210081E7</v>
      </c>
      <c r="C2823" s="74">
        <v>46215.6703031713</v>
      </c>
      <c r="D2823" s="2" t="s">
        <v>705</v>
      </c>
      <c r="F2823" s="2" t="s">
        <v>2720</v>
      </c>
      <c r="G2823" s="72">
        <v>3.19623644E8</v>
      </c>
    </row>
    <row r="2824">
      <c r="A2824" s="2">
        <v>7.745020906E9</v>
      </c>
      <c r="B2824" s="72">
        <v>8.0210081E7</v>
      </c>
      <c r="C2824" s="74">
        <v>46215.669785</v>
      </c>
      <c r="D2824" s="2" t="s">
        <v>628</v>
      </c>
      <c r="F2824" s="2" t="s">
        <v>1784</v>
      </c>
      <c r="G2824" s="72">
        <v>3.19621371E8</v>
      </c>
    </row>
    <row r="2825">
      <c r="A2825" s="2">
        <v>7.745020906E9</v>
      </c>
      <c r="B2825" s="72">
        <v>8.0210081E7</v>
      </c>
      <c r="C2825" s="74">
        <v>46215.74364126158</v>
      </c>
      <c r="D2825" s="2" t="s">
        <v>667</v>
      </c>
      <c r="E2825" s="2" t="s">
        <v>703</v>
      </c>
      <c r="F2825" s="2" t="s">
        <v>2721</v>
      </c>
      <c r="G2825" s="72">
        <v>3.19662723E8</v>
      </c>
    </row>
    <row r="2826">
      <c r="A2826" s="2">
        <v>7.745020906E9</v>
      </c>
      <c r="B2826" s="72">
        <v>8.0210081E7</v>
      </c>
      <c r="C2826" s="74">
        <v>46216.543291319445</v>
      </c>
      <c r="D2826" s="2" t="s">
        <v>628</v>
      </c>
      <c r="F2826" s="2" t="s">
        <v>630</v>
      </c>
      <c r="G2826" s="72">
        <v>3.20093982E8</v>
      </c>
    </row>
    <row r="2827">
      <c r="A2827" s="2">
        <v>7.745732001E9</v>
      </c>
      <c r="B2827" s="72">
        <v>8.0665767E7</v>
      </c>
      <c r="C2827" s="74">
        <v>46219.960025740744</v>
      </c>
      <c r="D2827" s="2" t="s">
        <v>628</v>
      </c>
      <c r="F2827" s="2" t="s">
        <v>2655</v>
      </c>
      <c r="G2827" s="72">
        <v>3.22474872E8</v>
      </c>
    </row>
    <row r="2828">
      <c r="A2828" s="2">
        <v>7.745732001E9</v>
      </c>
      <c r="B2828" s="72">
        <v>8.0665767E7</v>
      </c>
      <c r="C2828" s="74">
        <v>46219.54356269676</v>
      </c>
      <c r="D2828" s="2" t="s">
        <v>628</v>
      </c>
      <c r="F2828" s="2" t="s">
        <v>630</v>
      </c>
      <c r="G2828" s="72">
        <v>3.22031109E8</v>
      </c>
    </row>
    <row r="2829">
      <c r="A2829" s="2">
        <v>7.745732001E9</v>
      </c>
      <c r="B2829" s="72">
        <v>8.0665767E7</v>
      </c>
      <c r="C2829" s="74">
        <v>46218.737357210644</v>
      </c>
      <c r="D2829" s="2" t="s">
        <v>628</v>
      </c>
      <c r="F2829" s="2" t="s">
        <v>2657</v>
      </c>
      <c r="G2829" s="72">
        <v>3.21549524E8</v>
      </c>
    </row>
    <row r="2830">
      <c r="A2830" s="2">
        <v>7.745734442E9</v>
      </c>
      <c r="B2830" s="72">
        <v>8.3385543E7</v>
      </c>
      <c r="C2830" s="74">
        <v>46234.752448125</v>
      </c>
      <c r="D2830" s="2" t="s">
        <v>628</v>
      </c>
      <c r="F2830" s="2" t="s">
        <v>2514</v>
      </c>
      <c r="G2830" s="72">
        <v>3.32846785E8</v>
      </c>
    </row>
    <row r="2831">
      <c r="A2831" s="2">
        <v>7.746706042E9</v>
      </c>
      <c r="B2831" s="72">
        <v>1.1966561E7</v>
      </c>
      <c r="C2831" s="74">
        <v>46220.960773935185</v>
      </c>
      <c r="D2831" s="2" t="s">
        <v>628</v>
      </c>
      <c r="F2831" s="2" t="s">
        <v>2722</v>
      </c>
      <c r="G2831" s="72">
        <v>3.23246172E8</v>
      </c>
    </row>
    <row r="2832">
      <c r="A2832" s="2">
        <v>7.746706042E9</v>
      </c>
      <c r="B2832" s="72">
        <v>1.1966561E7</v>
      </c>
      <c r="C2832" s="74">
        <v>46220.70778271991</v>
      </c>
      <c r="D2832" s="2" t="s">
        <v>628</v>
      </c>
      <c r="F2832" s="2" t="s">
        <v>2285</v>
      </c>
      <c r="G2832" s="72">
        <v>3.22954905E8</v>
      </c>
    </row>
    <row r="2833">
      <c r="A2833" s="2">
        <v>7.747649274E9</v>
      </c>
      <c r="B2833" s="72">
        <v>7.842001E7</v>
      </c>
      <c r="C2833" s="74">
        <v>46204.54312949074</v>
      </c>
      <c r="D2833" s="2" t="s">
        <v>628</v>
      </c>
      <c r="F2833" s="2" t="s">
        <v>630</v>
      </c>
      <c r="G2833" s="72">
        <v>3.11993771E8</v>
      </c>
    </row>
    <row r="2834">
      <c r="A2834" s="2">
        <v>7.747649274E9</v>
      </c>
      <c r="B2834" s="72">
        <v>7.842001E7</v>
      </c>
      <c r="C2834" s="74">
        <v>46205.960136469905</v>
      </c>
      <c r="D2834" s="2" t="s">
        <v>628</v>
      </c>
      <c r="F2834" s="2" t="s">
        <v>2723</v>
      </c>
      <c r="G2834" s="72">
        <v>3.13054693E8</v>
      </c>
    </row>
    <row r="2835">
      <c r="A2835" s="2">
        <v>7.747660001E9</v>
      </c>
      <c r="B2835" s="72">
        <v>7.8459285E7</v>
      </c>
      <c r="C2835" s="74">
        <v>46204.75129528935</v>
      </c>
      <c r="D2835" s="2" t="s">
        <v>628</v>
      </c>
      <c r="F2835" s="2" t="s">
        <v>2010</v>
      </c>
      <c r="G2835" s="72">
        <v>3.12182916E8</v>
      </c>
    </row>
    <row r="2836">
      <c r="A2836" s="2">
        <v>7.747660001E9</v>
      </c>
      <c r="B2836" s="72">
        <v>7.8459285E7</v>
      </c>
      <c r="C2836" s="74">
        <v>46206.01409239583</v>
      </c>
      <c r="D2836" s="2" t="s">
        <v>628</v>
      </c>
      <c r="F2836" s="2" t="s">
        <v>2724</v>
      </c>
      <c r="G2836" s="72">
        <v>3.13102163E8</v>
      </c>
    </row>
    <row r="2837">
      <c r="A2837" s="2">
        <v>7.747720289E9</v>
      </c>
      <c r="B2837" s="72">
        <v>8.2747545E7</v>
      </c>
      <c r="C2837" s="74">
        <v>46231.924101122684</v>
      </c>
      <c r="D2837" s="2" t="s">
        <v>705</v>
      </c>
      <c r="F2837" s="2" t="s">
        <v>2725</v>
      </c>
      <c r="G2837" s="72">
        <v>3.30889457E8</v>
      </c>
    </row>
    <row r="2838">
      <c r="A2838" s="2">
        <v>7.747720289E9</v>
      </c>
      <c r="B2838" s="72">
        <v>8.2747545E7</v>
      </c>
      <c r="C2838" s="74">
        <v>46231.90863864584</v>
      </c>
      <c r="D2838" s="2" t="s">
        <v>667</v>
      </c>
      <c r="E2838" s="2" t="s">
        <v>1332</v>
      </c>
      <c r="F2838" s="2" t="s">
        <v>2726</v>
      </c>
      <c r="G2838" s="72">
        <v>3.30871265E8</v>
      </c>
    </row>
    <row r="2839">
      <c r="A2839" s="2">
        <v>7.747720289E9</v>
      </c>
      <c r="B2839" s="72">
        <v>8.2747545E7</v>
      </c>
      <c r="C2839" s="74">
        <v>46230.91225862269</v>
      </c>
      <c r="D2839" s="2" t="s">
        <v>667</v>
      </c>
      <c r="E2839" s="2" t="s">
        <v>886</v>
      </c>
      <c r="F2839" s="2" t="s">
        <v>2727</v>
      </c>
      <c r="G2839" s="72">
        <v>3.30224171E8</v>
      </c>
    </row>
    <row r="2840">
      <c r="A2840" s="2">
        <v>7.747720289E9</v>
      </c>
      <c r="B2840" s="72">
        <v>8.2747545E7</v>
      </c>
      <c r="C2840" s="74">
        <v>46230.91296696759</v>
      </c>
      <c r="D2840" s="2" t="s">
        <v>705</v>
      </c>
      <c r="F2840" s="2" t="s">
        <v>2728</v>
      </c>
      <c r="G2840" s="72">
        <v>3.30224718E8</v>
      </c>
    </row>
    <row r="2841">
      <c r="A2841" s="2">
        <v>7.747720289E9</v>
      </c>
      <c r="B2841" s="72">
        <v>8.2747545E7</v>
      </c>
      <c r="C2841" s="74">
        <v>46231.92753707176</v>
      </c>
      <c r="D2841" s="2" t="s">
        <v>667</v>
      </c>
      <c r="E2841" s="2" t="s">
        <v>1332</v>
      </c>
      <c r="F2841" s="2" t="s">
        <v>2432</v>
      </c>
      <c r="G2841" s="72">
        <v>3.30891832E8</v>
      </c>
    </row>
    <row r="2842">
      <c r="A2842" s="2">
        <v>7.747720289E9</v>
      </c>
      <c r="B2842" s="72">
        <v>8.2747545E7</v>
      </c>
      <c r="C2842" s="74">
        <v>46230.913628043985</v>
      </c>
      <c r="D2842" s="2" t="s">
        <v>705</v>
      </c>
      <c r="F2842" s="2" t="s">
        <v>2729</v>
      </c>
      <c r="G2842" s="72">
        <v>3.30225174E8</v>
      </c>
    </row>
    <row r="2843">
      <c r="A2843" s="2">
        <v>7.747720289E9</v>
      </c>
      <c r="B2843" s="72">
        <v>8.2747545E7</v>
      </c>
      <c r="C2843" s="74">
        <v>46231.5452784375</v>
      </c>
      <c r="D2843" s="2" t="s">
        <v>628</v>
      </c>
      <c r="F2843" s="2" t="s">
        <v>630</v>
      </c>
      <c r="G2843" s="72">
        <v>3.30542971E8</v>
      </c>
    </row>
    <row r="2844">
      <c r="A2844" s="2">
        <v>7.747720289E9</v>
      </c>
      <c r="B2844" s="72">
        <v>8.2747545E7</v>
      </c>
      <c r="C2844" s="74">
        <v>46230.92115879629</v>
      </c>
      <c r="D2844" s="2" t="s">
        <v>705</v>
      </c>
      <c r="F2844" s="2" t="s">
        <v>2730</v>
      </c>
      <c r="G2844" s="72">
        <v>3.30237226E8</v>
      </c>
    </row>
    <row r="2845">
      <c r="A2845" s="2">
        <v>7.747720289E9</v>
      </c>
      <c r="B2845" s="72">
        <v>8.2747545E7</v>
      </c>
      <c r="C2845" s="74">
        <v>46231.96215203704</v>
      </c>
      <c r="D2845" s="2" t="s">
        <v>628</v>
      </c>
      <c r="F2845" s="2" t="s">
        <v>2413</v>
      </c>
      <c r="G2845" s="72">
        <v>3.30922988E8</v>
      </c>
    </row>
    <row r="2846">
      <c r="A2846" s="2">
        <v>7.747720289E9</v>
      </c>
      <c r="B2846" s="72">
        <v>8.2747545E7</v>
      </c>
      <c r="C2846" s="74">
        <v>46230.91780899305</v>
      </c>
      <c r="D2846" s="2" t="s">
        <v>667</v>
      </c>
      <c r="E2846" s="2" t="s">
        <v>886</v>
      </c>
      <c r="F2846" s="2" t="s">
        <v>2432</v>
      </c>
      <c r="G2846" s="72">
        <v>3.30229363E8</v>
      </c>
    </row>
    <row r="2847">
      <c r="A2847" s="2">
        <v>7.74930588E9</v>
      </c>
      <c r="B2847" s="72">
        <v>8.2325885E7</v>
      </c>
      <c r="C2847" s="74">
        <v>46228.9614119676</v>
      </c>
      <c r="D2847" s="2" t="s">
        <v>628</v>
      </c>
      <c r="F2847" s="2" t="s">
        <v>2731</v>
      </c>
      <c r="G2847" s="72">
        <v>3.28868389E8</v>
      </c>
    </row>
    <row r="2848">
      <c r="A2848" s="2">
        <v>7.74930588E9</v>
      </c>
      <c r="B2848" s="72">
        <v>8.2325885E7</v>
      </c>
      <c r="C2848" s="74">
        <v>46228.46205519676</v>
      </c>
      <c r="D2848" s="2" t="s">
        <v>628</v>
      </c>
      <c r="F2848" s="2" t="s">
        <v>2732</v>
      </c>
      <c r="G2848" s="72">
        <v>3.28324576E8</v>
      </c>
    </row>
    <row r="2849">
      <c r="A2849" s="2">
        <v>7.749308668E9</v>
      </c>
      <c r="B2849" s="72">
        <v>8.31887E7</v>
      </c>
      <c r="C2849" s="74">
        <v>46233.75158131945</v>
      </c>
      <c r="D2849" s="2" t="s">
        <v>628</v>
      </c>
      <c r="F2849" s="2" t="s">
        <v>2733</v>
      </c>
      <c r="G2849" s="72">
        <v>3.32061856E8</v>
      </c>
    </row>
    <row r="2850">
      <c r="A2850" s="2">
        <v>7.812237041E9</v>
      </c>
      <c r="B2850" s="72">
        <v>4.4106346E7</v>
      </c>
      <c r="C2850" s="74">
        <v>46220.75310321759</v>
      </c>
      <c r="D2850" s="2" t="s">
        <v>628</v>
      </c>
      <c r="F2850" s="2" t="s">
        <v>1856</v>
      </c>
      <c r="G2850" s="72">
        <v>3.2300721E8</v>
      </c>
    </row>
    <row r="2851">
      <c r="A2851" s="2">
        <v>7.812237041E9</v>
      </c>
      <c r="B2851" s="72">
        <v>4.4106346E7</v>
      </c>
      <c r="C2851" s="74">
        <v>46222.96103921296</v>
      </c>
      <c r="D2851" s="2" t="s">
        <v>628</v>
      </c>
      <c r="F2851" s="2" t="s">
        <v>1854</v>
      </c>
      <c r="G2851" s="72">
        <v>3.24726971E8</v>
      </c>
    </row>
    <row r="2852">
      <c r="A2852" s="2">
        <v>7.812237041E9</v>
      </c>
      <c r="B2852" s="72">
        <v>4.4106346E7</v>
      </c>
      <c r="C2852" s="74">
        <v>46234.802920567134</v>
      </c>
      <c r="D2852" s="2" t="s">
        <v>653</v>
      </c>
      <c r="F2852" s="2" t="s">
        <v>2734</v>
      </c>
      <c r="G2852" s="72">
        <v>3.32922823E8</v>
      </c>
    </row>
    <row r="2853">
      <c r="A2853" s="2">
        <v>7.812237041E9</v>
      </c>
      <c r="B2853" s="72">
        <v>4.4106346E7</v>
      </c>
      <c r="C2853" s="74">
        <v>46222.544942106484</v>
      </c>
      <c r="D2853" s="2" t="s">
        <v>628</v>
      </c>
      <c r="F2853" s="2" t="s">
        <v>630</v>
      </c>
      <c r="G2853" s="72">
        <v>3.24346109E8</v>
      </c>
    </row>
    <row r="2854">
      <c r="A2854" s="2">
        <v>7.812237041E9</v>
      </c>
      <c r="B2854" s="72">
        <v>4.4106346E7</v>
      </c>
      <c r="C2854" s="74">
        <v>46234.80292381944</v>
      </c>
      <c r="D2854" s="2" t="s">
        <v>653</v>
      </c>
      <c r="F2854" s="2" t="s">
        <v>2735</v>
      </c>
      <c r="G2854" s="72">
        <v>3.32922827E8</v>
      </c>
    </row>
    <row r="2855">
      <c r="A2855" s="2">
        <v>7.812581884E9</v>
      </c>
      <c r="B2855" s="72">
        <v>8.2079018E7</v>
      </c>
      <c r="C2855" s="74">
        <v>46226.95206364583</v>
      </c>
      <c r="D2855" s="2" t="s">
        <v>628</v>
      </c>
      <c r="F2855" s="2" t="s">
        <v>2736</v>
      </c>
      <c r="G2855" s="72">
        <v>3.27329006E8</v>
      </c>
    </row>
    <row r="2856">
      <c r="A2856" s="2">
        <v>7.812581884E9</v>
      </c>
      <c r="B2856" s="72">
        <v>8.2079018E7</v>
      </c>
      <c r="C2856" s="74">
        <v>46227.95990609954</v>
      </c>
      <c r="D2856" s="2" t="s">
        <v>628</v>
      </c>
      <c r="F2856" s="2" t="s">
        <v>2737</v>
      </c>
      <c r="G2856" s="72">
        <v>3.28115691E8</v>
      </c>
    </row>
    <row r="2857">
      <c r="A2857" s="2">
        <v>7.813152081E9</v>
      </c>
      <c r="B2857" s="72">
        <v>4.0353666E7</v>
      </c>
      <c r="C2857" s="74">
        <v>46219.961520219906</v>
      </c>
      <c r="D2857" s="2" t="s">
        <v>628</v>
      </c>
      <c r="F2857" s="2" t="s">
        <v>730</v>
      </c>
      <c r="G2857" s="72">
        <v>3.22480645E8</v>
      </c>
    </row>
    <row r="2858">
      <c r="A2858" s="2">
        <v>7.813302091E9</v>
      </c>
      <c r="C2858" s="74">
        <v>46221.75323974537</v>
      </c>
      <c r="D2858" s="2" t="s">
        <v>628</v>
      </c>
      <c r="F2858" s="2" t="s">
        <v>2738</v>
      </c>
      <c r="G2858" s="72">
        <v>3.23780839E8</v>
      </c>
    </row>
    <row r="2859">
      <c r="A2859" s="2">
        <v>7.813302091E9</v>
      </c>
      <c r="B2859" s="72">
        <v>8.143575E7</v>
      </c>
      <c r="C2859" s="74">
        <v>46222.961267569444</v>
      </c>
      <c r="D2859" s="2" t="s">
        <v>628</v>
      </c>
      <c r="F2859" s="2" t="s">
        <v>2739</v>
      </c>
      <c r="G2859" s="72">
        <v>3.24727608E8</v>
      </c>
    </row>
    <row r="2860">
      <c r="A2860" s="2">
        <v>7.813463341E9</v>
      </c>
      <c r="B2860" s="72">
        <v>7.9221574E7</v>
      </c>
      <c r="C2860" s="74">
        <v>46209.62115209491</v>
      </c>
      <c r="D2860" s="2" t="s">
        <v>628</v>
      </c>
      <c r="F2860" s="2" t="s">
        <v>1696</v>
      </c>
      <c r="G2860" s="72">
        <v>3.15484847E8</v>
      </c>
    </row>
    <row r="2861">
      <c r="A2861" s="2">
        <v>7.813671721E9</v>
      </c>
      <c r="B2861" s="72">
        <v>8.2604401E7</v>
      </c>
      <c r="C2861" s="74">
        <v>46229.95984671296</v>
      </c>
      <c r="D2861" s="2" t="s">
        <v>628</v>
      </c>
      <c r="F2861" s="2" t="s">
        <v>1640</v>
      </c>
      <c r="G2861" s="72">
        <v>3.29609078E8</v>
      </c>
    </row>
    <row r="2862">
      <c r="A2862" s="2">
        <v>7.813894947E9</v>
      </c>
      <c r="B2862" s="72">
        <v>8.0628636E7</v>
      </c>
      <c r="C2862" s="74">
        <v>46218.54388188657</v>
      </c>
      <c r="D2862" s="2" t="s">
        <v>628</v>
      </c>
      <c r="F2862" s="2" t="s">
        <v>630</v>
      </c>
      <c r="G2862" s="72">
        <v>3.21363519E8</v>
      </c>
    </row>
    <row r="2863">
      <c r="A2863" s="2">
        <v>7.813894947E9</v>
      </c>
      <c r="B2863" s="72">
        <v>8.0628636E7</v>
      </c>
      <c r="C2863" s="74">
        <v>46218.95952418981</v>
      </c>
      <c r="D2863" s="2" t="s">
        <v>628</v>
      </c>
      <c r="F2863" s="2" t="s">
        <v>1998</v>
      </c>
      <c r="G2863" s="72">
        <v>3.21766782E8</v>
      </c>
    </row>
    <row r="2864">
      <c r="A2864" s="2">
        <v>7.814625317E9</v>
      </c>
      <c r="B2864" s="72">
        <v>3.4454495E7</v>
      </c>
      <c r="C2864" s="74">
        <v>46229.96013871528</v>
      </c>
      <c r="D2864" s="2" t="s">
        <v>628</v>
      </c>
      <c r="F2864" s="2" t="s">
        <v>2144</v>
      </c>
      <c r="G2864" s="72">
        <v>3.29610134E8</v>
      </c>
    </row>
    <row r="2865">
      <c r="A2865" s="2">
        <v>7.814625317E9</v>
      </c>
      <c r="B2865" s="72">
        <v>3.4454495E7</v>
      </c>
      <c r="C2865" s="74">
        <v>46205.548218854165</v>
      </c>
      <c r="D2865" s="2" t="s">
        <v>628</v>
      </c>
      <c r="F2865" s="2" t="s">
        <v>776</v>
      </c>
      <c r="G2865" s="72">
        <v>3.12655831E8</v>
      </c>
    </row>
    <row r="2866">
      <c r="A2866" s="2">
        <v>7.814625317E9</v>
      </c>
      <c r="B2866" s="72">
        <v>3.4454495E7</v>
      </c>
      <c r="C2866" s="74">
        <v>46205.56325177083</v>
      </c>
      <c r="D2866" s="2" t="s">
        <v>705</v>
      </c>
      <c r="F2866" s="2" t="s">
        <v>2740</v>
      </c>
      <c r="G2866" s="72">
        <v>3.12661485E8</v>
      </c>
    </row>
    <row r="2867">
      <c r="A2867" s="2">
        <v>7.814625317E9</v>
      </c>
      <c r="B2867" s="72">
        <v>3.4454495E7</v>
      </c>
      <c r="C2867" s="74">
        <v>46205.961224432875</v>
      </c>
      <c r="D2867" s="2" t="s">
        <v>628</v>
      </c>
      <c r="F2867" s="2" t="s">
        <v>1193</v>
      </c>
      <c r="G2867" s="72">
        <v>3.13058538E8</v>
      </c>
    </row>
    <row r="2868">
      <c r="A2868" s="2">
        <v>7.814625317E9</v>
      </c>
      <c r="B2868" s="72">
        <v>3.4454495E7</v>
      </c>
      <c r="C2868" s="74">
        <v>46230.58174395833</v>
      </c>
      <c r="D2868" s="2" t="s">
        <v>628</v>
      </c>
      <c r="F2868" s="2" t="s">
        <v>630</v>
      </c>
      <c r="G2868" s="72">
        <v>3.29900738E8</v>
      </c>
    </row>
    <row r="2869">
      <c r="A2869" s="2">
        <v>7.814625317E9</v>
      </c>
      <c r="B2869" s="72">
        <v>3.4454495E7</v>
      </c>
      <c r="C2869" s="74">
        <v>46205.56376638889</v>
      </c>
      <c r="D2869" s="2" t="s">
        <v>705</v>
      </c>
      <c r="F2869" s="2" t="s">
        <v>2741</v>
      </c>
      <c r="G2869" s="72">
        <v>3.12661603E8</v>
      </c>
    </row>
    <row r="2870">
      <c r="A2870" s="2">
        <v>7.814625317E9</v>
      </c>
      <c r="C2870" s="74">
        <v>46229.64717318287</v>
      </c>
      <c r="D2870" s="2" t="s">
        <v>628</v>
      </c>
      <c r="F2870" s="2" t="s">
        <v>776</v>
      </c>
      <c r="G2870" s="72">
        <v>3.29345884E8</v>
      </c>
    </row>
    <row r="2871">
      <c r="A2871" s="2">
        <v>7.814926317E9</v>
      </c>
      <c r="B2871" s="72">
        <v>7.8624561E7</v>
      </c>
      <c r="C2871" s="74">
        <v>46206.96076325231</v>
      </c>
      <c r="D2871" s="2" t="s">
        <v>628</v>
      </c>
      <c r="F2871" s="2" t="s">
        <v>2742</v>
      </c>
      <c r="G2871" s="72">
        <v>3.1380235E8</v>
      </c>
    </row>
    <row r="2872">
      <c r="A2872" s="2">
        <v>7.814926317E9</v>
      </c>
      <c r="B2872" s="72">
        <v>7.8624561E7</v>
      </c>
      <c r="C2872" s="74">
        <v>46205.75295469907</v>
      </c>
      <c r="D2872" s="2" t="s">
        <v>628</v>
      </c>
      <c r="F2872" s="2" t="s">
        <v>2743</v>
      </c>
      <c r="G2872" s="72">
        <v>3.12834846E8</v>
      </c>
    </row>
    <row r="2873">
      <c r="A2873" s="2">
        <v>7.815042779E9</v>
      </c>
      <c r="B2873" s="72">
        <v>8.3183464E7</v>
      </c>
      <c r="C2873" s="74">
        <v>46234.05307685185</v>
      </c>
      <c r="D2873" s="2" t="s">
        <v>705</v>
      </c>
      <c r="F2873" s="2" t="s">
        <v>2744</v>
      </c>
      <c r="G2873" s="72">
        <v>3.32385867E8</v>
      </c>
    </row>
    <row r="2874">
      <c r="A2874" s="2">
        <v>7.815042779E9</v>
      </c>
      <c r="B2874" s="72">
        <v>8.3183464E7</v>
      </c>
      <c r="C2874" s="74">
        <v>46234.054136921295</v>
      </c>
      <c r="D2874" s="2" t="s">
        <v>667</v>
      </c>
      <c r="E2874" s="2" t="s">
        <v>1332</v>
      </c>
      <c r="F2874" s="2" t="s">
        <v>2745</v>
      </c>
      <c r="G2874" s="72">
        <v>3.32386358E8</v>
      </c>
    </row>
    <row r="2875">
      <c r="A2875" s="2">
        <v>7.815042779E9</v>
      </c>
      <c r="B2875" s="72">
        <v>8.3183464E7</v>
      </c>
      <c r="C2875" s="74">
        <v>46234.05804072917</v>
      </c>
      <c r="D2875" s="2" t="s">
        <v>667</v>
      </c>
      <c r="E2875" s="2" t="s">
        <v>1332</v>
      </c>
      <c r="F2875" s="2" t="s">
        <v>2746</v>
      </c>
      <c r="G2875" s="72">
        <v>3.32388229E8</v>
      </c>
    </row>
    <row r="2876">
      <c r="A2876" s="2">
        <v>7.815042779E9</v>
      </c>
      <c r="B2876" s="72">
        <v>8.3183464E7</v>
      </c>
      <c r="C2876" s="74">
        <v>46234.0496131713</v>
      </c>
      <c r="D2876" s="2" t="s">
        <v>705</v>
      </c>
      <c r="F2876" s="2" t="s">
        <v>2747</v>
      </c>
      <c r="G2876" s="72">
        <v>3.32383992E8</v>
      </c>
    </row>
    <row r="2877">
      <c r="A2877" s="2">
        <v>7.815042779E9</v>
      </c>
      <c r="B2877" s="72">
        <v>8.3183464E7</v>
      </c>
      <c r="C2877" s="74">
        <v>46233.73541177083</v>
      </c>
      <c r="D2877" s="2" t="s">
        <v>628</v>
      </c>
      <c r="F2877" s="2" t="s">
        <v>895</v>
      </c>
      <c r="G2877" s="72">
        <v>3.32047805E8</v>
      </c>
    </row>
    <row r="2878">
      <c r="A2878" s="2">
        <v>7.815042779E9</v>
      </c>
      <c r="B2878" s="72">
        <v>8.3183464E7</v>
      </c>
      <c r="C2878" s="74">
        <v>46234.05144347222</v>
      </c>
      <c r="D2878" s="2" t="s">
        <v>667</v>
      </c>
      <c r="E2878" s="2" t="s">
        <v>1332</v>
      </c>
      <c r="F2878" s="2" t="s">
        <v>2748</v>
      </c>
      <c r="G2878" s="72">
        <v>3.32385008E8</v>
      </c>
    </row>
    <row r="2879">
      <c r="A2879" s="2">
        <v>7.815042779E9</v>
      </c>
      <c r="B2879" s="72">
        <v>8.3183464E7</v>
      </c>
      <c r="C2879" s="74">
        <v>46234.05643005787</v>
      </c>
      <c r="D2879" s="2" t="s">
        <v>705</v>
      </c>
      <c r="F2879" s="2" t="s">
        <v>2749</v>
      </c>
      <c r="G2879" s="72">
        <v>3.32387448E8</v>
      </c>
    </row>
    <row r="2880">
      <c r="A2880" s="2">
        <v>7.815042779E9</v>
      </c>
      <c r="B2880" s="72">
        <v>8.3183464E7</v>
      </c>
      <c r="C2880" s="74">
        <v>46233.79714393518</v>
      </c>
      <c r="D2880" s="2" t="s">
        <v>705</v>
      </c>
      <c r="F2880" s="2" t="s">
        <v>2750</v>
      </c>
      <c r="G2880" s="72">
        <v>3.32142515E8</v>
      </c>
    </row>
    <row r="2881">
      <c r="A2881" s="2">
        <v>7.815042779E9</v>
      </c>
      <c r="B2881" s="72">
        <v>8.3183464E7</v>
      </c>
      <c r="C2881" s="74">
        <v>46234.051187164354</v>
      </c>
      <c r="D2881" s="2" t="s">
        <v>667</v>
      </c>
      <c r="E2881" s="2" t="s">
        <v>1332</v>
      </c>
      <c r="F2881" s="2" t="s">
        <v>2751</v>
      </c>
      <c r="G2881" s="72">
        <v>3.32384877E8</v>
      </c>
    </row>
    <row r="2882">
      <c r="A2882" s="2">
        <v>7.815042779E9</v>
      </c>
      <c r="B2882" s="72">
        <v>8.3183464E7</v>
      </c>
      <c r="C2882" s="74">
        <v>46233.958849131945</v>
      </c>
      <c r="D2882" s="2" t="s">
        <v>628</v>
      </c>
      <c r="F2882" s="2" t="s">
        <v>896</v>
      </c>
      <c r="G2882" s="72">
        <v>3.32299581E8</v>
      </c>
    </row>
    <row r="2883">
      <c r="A2883" s="2">
        <v>7.815071465E9</v>
      </c>
      <c r="B2883" s="72">
        <v>3.5678445E7</v>
      </c>
      <c r="C2883" s="74">
        <v>46207.54500002315</v>
      </c>
      <c r="D2883" s="2" t="s">
        <v>628</v>
      </c>
      <c r="F2883" s="2" t="s">
        <v>630</v>
      </c>
      <c r="G2883" s="72">
        <v>3.14094168E8</v>
      </c>
    </row>
    <row r="2884">
      <c r="A2884" s="2">
        <v>7.815071465E9</v>
      </c>
      <c r="B2884" s="72">
        <v>3.5678445E7</v>
      </c>
      <c r="C2884" s="74">
        <v>46205.81400576389</v>
      </c>
      <c r="D2884" s="2" t="s">
        <v>628</v>
      </c>
      <c r="F2884" s="2" t="s">
        <v>2752</v>
      </c>
      <c r="G2884" s="72">
        <v>3.12913723E8</v>
      </c>
    </row>
    <row r="2885">
      <c r="A2885" s="2">
        <v>7.815071465E9</v>
      </c>
      <c r="B2885" s="72">
        <v>3.5678445E7</v>
      </c>
      <c r="C2885" s="74">
        <v>46207.96143460648</v>
      </c>
      <c r="D2885" s="2" t="s">
        <v>628</v>
      </c>
      <c r="F2885" s="2" t="s">
        <v>2753</v>
      </c>
      <c r="G2885" s="72">
        <v>3.14488347E8</v>
      </c>
    </row>
    <row r="2886">
      <c r="A2886" s="2">
        <v>7.815285873E9</v>
      </c>
      <c r="B2886" s="72">
        <v>8.0225325E7</v>
      </c>
      <c r="C2886" s="74">
        <v>46215.753113645835</v>
      </c>
      <c r="D2886" s="2" t="s">
        <v>628</v>
      </c>
      <c r="F2886" s="2" t="s">
        <v>1473</v>
      </c>
      <c r="G2886" s="72">
        <v>3.19681413E8</v>
      </c>
    </row>
    <row r="2887">
      <c r="A2887" s="2">
        <v>7.815285873E9</v>
      </c>
      <c r="B2887" s="72">
        <v>8.0225325E7</v>
      </c>
      <c r="C2887" s="74">
        <v>46216.72880686342</v>
      </c>
      <c r="D2887" s="2" t="s">
        <v>667</v>
      </c>
      <c r="E2887" s="2" t="s">
        <v>703</v>
      </c>
      <c r="F2887" s="2" t="s">
        <v>2754</v>
      </c>
      <c r="G2887" s="72">
        <v>3.20274769E8</v>
      </c>
    </row>
    <row r="2888">
      <c r="A2888" s="2">
        <v>7.815615236E9</v>
      </c>
      <c r="B2888" s="72">
        <v>8.101312E7</v>
      </c>
      <c r="C2888" s="74">
        <v>46220.687683553246</v>
      </c>
      <c r="D2888" s="2" t="s">
        <v>628</v>
      </c>
      <c r="F2888" s="2" t="s">
        <v>2755</v>
      </c>
      <c r="G2888" s="72">
        <v>3.22944135E8</v>
      </c>
    </row>
    <row r="2889">
      <c r="A2889" s="2">
        <v>7.815615236E9</v>
      </c>
      <c r="B2889" s="72">
        <v>8.101312E7</v>
      </c>
      <c r="C2889" s="74">
        <v>46220.95933021991</v>
      </c>
      <c r="D2889" s="2" t="s">
        <v>628</v>
      </c>
      <c r="F2889" s="2" t="s">
        <v>2756</v>
      </c>
      <c r="G2889" s="72">
        <v>3.23241304E8</v>
      </c>
    </row>
    <row r="2890">
      <c r="A2890" s="2">
        <v>7.816034802E9</v>
      </c>
      <c r="B2890" s="72">
        <v>8.2271785E7</v>
      </c>
      <c r="C2890" s="74">
        <v>46227.96081422454</v>
      </c>
      <c r="D2890" s="2" t="s">
        <v>628</v>
      </c>
      <c r="F2890" s="2" t="s">
        <v>1007</v>
      </c>
      <c r="G2890" s="72">
        <v>3.28118796E8</v>
      </c>
    </row>
    <row r="2891">
      <c r="A2891" s="2">
        <v>7.816301539E9</v>
      </c>
      <c r="B2891" s="72">
        <v>8.2084282E7</v>
      </c>
      <c r="C2891" s="74">
        <v>46226.972050509255</v>
      </c>
      <c r="D2891" s="2" t="s">
        <v>628</v>
      </c>
      <c r="F2891" s="2" t="s">
        <v>2757</v>
      </c>
      <c r="G2891" s="72">
        <v>3.27352042E8</v>
      </c>
    </row>
    <row r="2892">
      <c r="A2892" s="2">
        <v>7.816301539E9</v>
      </c>
      <c r="C2892" s="74">
        <v>46225.75108677083</v>
      </c>
      <c r="D2892" s="2" t="s">
        <v>628</v>
      </c>
      <c r="F2892" s="2" t="s">
        <v>2758</v>
      </c>
      <c r="G2892" s="72">
        <v>3.2642457E8</v>
      </c>
    </row>
    <row r="2893">
      <c r="A2893" s="2">
        <v>7.816906409E9</v>
      </c>
      <c r="B2893" s="72">
        <v>8.0477829E7</v>
      </c>
      <c r="C2893" s="74">
        <v>46217.961718136576</v>
      </c>
      <c r="D2893" s="2" t="s">
        <v>628</v>
      </c>
      <c r="F2893" s="2" t="s">
        <v>925</v>
      </c>
      <c r="G2893" s="72">
        <v>3.21117432E8</v>
      </c>
    </row>
    <row r="2894">
      <c r="A2894" s="2">
        <v>7.816906409E9</v>
      </c>
      <c r="B2894" s="72">
        <v>8.0477829E7</v>
      </c>
      <c r="C2894" s="74">
        <v>46217.54480116898</v>
      </c>
      <c r="D2894" s="2" t="s">
        <v>628</v>
      </c>
      <c r="F2894" s="2" t="s">
        <v>630</v>
      </c>
      <c r="G2894" s="72">
        <v>3.2074324E8</v>
      </c>
    </row>
    <row r="2895">
      <c r="A2895" s="2">
        <v>7.817182703E9</v>
      </c>
      <c r="B2895" s="72">
        <v>8.092306E7</v>
      </c>
      <c r="C2895" s="74">
        <v>46219.95986092593</v>
      </c>
      <c r="D2895" s="2" t="s">
        <v>628</v>
      </c>
      <c r="F2895" s="2" t="s">
        <v>873</v>
      </c>
      <c r="G2895" s="72">
        <v>3.22474305E8</v>
      </c>
    </row>
    <row r="2896">
      <c r="A2896" s="2">
        <v>7.817750553E9</v>
      </c>
      <c r="B2896" s="72">
        <v>1.1385158E7</v>
      </c>
      <c r="C2896" s="74">
        <v>46230.75327083333</v>
      </c>
      <c r="D2896" s="2" t="s">
        <v>628</v>
      </c>
      <c r="F2896" s="2" t="s">
        <v>2682</v>
      </c>
      <c r="G2896" s="72">
        <v>3.30066033E8</v>
      </c>
    </row>
    <row r="2897">
      <c r="A2897" s="2">
        <v>7.817750553E9</v>
      </c>
      <c r="B2897" s="72">
        <v>1.1385158E7</v>
      </c>
      <c r="C2897" s="74">
        <v>46232.020037546295</v>
      </c>
      <c r="D2897" s="2" t="s">
        <v>628</v>
      </c>
      <c r="F2897" s="2" t="s">
        <v>2684</v>
      </c>
      <c r="G2897" s="72">
        <v>3.30964285E8</v>
      </c>
    </row>
    <row r="2898">
      <c r="A2898" s="2">
        <v>7.817896239E9</v>
      </c>
      <c r="B2898" s="72">
        <v>8.1377094E7</v>
      </c>
      <c r="C2898" s="74">
        <v>46222.75097736111</v>
      </c>
      <c r="D2898" s="2" t="s">
        <v>628</v>
      </c>
      <c r="F2898" s="2" t="s">
        <v>659</v>
      </c>
      <c r="G2898" s="72">
        <v>3.24534429E8</v>
      </c>
    </row>
    <row r="2899">
      <c r="A2899" s="2">
        <v>7.817896239E9</v>
      </c>
      <c r="B2899" s="72">
        <v>8.1377094E7</v>
      </c>
      <c r="C2899" s="74">
        <v>46225.96001928241</v>
      </c>
      <c r="D2899" s="2" t="s">
        <v>628</v>
      </c>
      <c r="F2899" s="2" t="s">
        <v>660</v>
      </c>
      <c r="G2899" s="72">
        <v>3.26629225E8</v>
      </c>
    </row>
    <row r="2900">
      <c r="A2900" s="2">
        <v>7.817896239E9</v>
      </c>
      <c r="B2900" s="72">
        <v>8.1377094E7</v>
      </c>
      <c r="C2900" s="74">
        <v>46224.54275864583</v>
      </c>
      <c r="D2900" s="2" t="s">
        <v>628</v>
      </c>
      <c r="F2900" s="2" t="s">
        <v>630</v>
      </c>
      <c r="G2900" s="72">
        <v>3.2559139E8</v>
      </c>
    </row>
    <row r="2901">
      <c r="A2901" s="2">
        <v>7.818012426E9</v>
      </c>
      <c r="B2901" s="72">
        <v>8.0477685E7</v>
      </c>
      <c r="C2901" s="74">
        <v>46217.96196019676</v>
      </c>
      <c r="D2901" s="2" t="s">
        <v>628</v>
      </c>
      <c r="F2901" s="2" t="s">
        <v>2240</v>
      </c>
      <c r="G2901" s="72">
        <v>3.21118121E8</v>
      </c>
    </row>
    <row r="2902">
      <c r="A2902" s="2">
        <v>7.818012426E9</v>
      </c>
      <c r="B2902" s="72">
        <v>8.0477685E7</v>
      </c>
      <c r="C2902" s="74">
        <v>46217.544720509264</v>
      </c>
      <c r="D2902" s="2" t="s">
        <v>628</v>
      </c>
      <c r="F2902" s="2" t="s">
        <v>630</v>
      </c>
      <c r="G2902" s="72">
        <v>3.20742389E8</v>
      </c>
    </row>
    <row r="2903">
      <c r="A2903" s="2">
        <v>7.818380103E9</v>
      </c>
      <c r="B2903" s="72">
        <v>8.1383363E7</v>
      </c>
      <c r="C2903" s="74">
        <v>46224.54525300926</v>
      </c>
      <c r="D2903" s="2" t="s">
        <v>628</v>
      </c>
      <c r="F2903" s="2" t="s">
        <v>630</v>
      </c>
      <c r="G2903" s="72">
        <v>3.25623712E8</v>
      </c>
    </row>
    <row r="2904">
      <c r="A2904" s="2">
        <v>7.818380103E9</v>
      </c>
      <c r="B2904" s="72">
        <v>8.1383363E7</v>
      </c>
      <c r="C2904" s="74">
        <v>46226.96194763889</v>
      </c>
      <c r="D2904" s="2" t="s">
        <v>628</v>
      </c>
      <c r="F2904" s="2" t="s">
        <v>922</v>
      </c>
      <c r="G2904" s="72">
        <v>3.27343959E8</v>
      </c>
    </row>
    <row r="2905">
      <c r="A2905" s="2">
        <v>7.818380103E9</v>
      </c>
      <c r="B2905" s="72">
        <v>8.1383363E7</v>
      </c>
      <c r="C2905" s="74">
        <v>46222.75353278936</v>
      </c>
      <c r="D2905" s="2" t="s">
        <v>628</v>
      </c>
      <c r="F2905" s="2" t="s">
        <v>663</v>
      </c>
      <c r="G2905" s="72">
        <v>3.24551565E8</v>
      </c>
    </row>
    <row r="2906">
      <c r="A2906" s="2">
        <v>7.818707383E9</v>
      </c>
      <c r="B2906" s="72">
        <v>3.6328898E7</v>
      </c>
      <c r="C2906" s="74">
        <v>46225.96013449074</v>
      </c>
      <c r="D2906" s="2" t="s">
        <v>628</v>
      </c>
      <c r="F2906" s="2" t="s">
        <v>2759</v>
      </c>
      <c r="G2906" s="72">
        <v>3.26629573E8</v>
      </c>
    </row>
    <row r="2907">
      <c r="A2907" s="2">
        <v>7.818707383E9</v>
      </c>
      <c r="B2907" s="72">
        <v>3.6328898E7</v>
      </c>
      <c r="C2907" s="74">
        <v>46224.751124305556</v>
      </c>
      <c r="D2907" s="2" t="s">
        <v>628</v>
      </c>
      <c r="F2907" s="2" t="s">
        <v>2760</v>
      </c>
      <c r="G2907" s="72">
        <v>3.25788143E8</v>
      </c>
    </row>
    <row r="2908">
      <c r="A2908" s="2">
        <v>7.819850222E9</v>
      </c>
      <c r="B2908" s="72">
        <v>8.2695771E7</v>
      </c>
      <c r="C2908" s="74">
        <v>46230.75212618055</v>
      </c>
      <c r="D2908" s="2" t="s">
        <v>628</v>
      </c>
      <c r="F2908" s="2" t="s">
        <v>2761</v>
      </c>
      <c r="G2908" s="72">
        <v>3.30062046E8</v>
      </c>
    </row>
    <row r="2909">
      <c r="A2909" s="2">
        <v>7.819850222E9</v>
      </c>
      <c r="B2909" s="72">
        <v>8.2695771E7</v>
      </c>
      <c r="C2909" s="74">
        <v>46230.937563761574</v>
      </c>
      <c r="D2909" s="2" t="s">
        <v>705</v>
      </c>
      <c r="F2909" s="2" t="s">
        <v>2645</v>
      </c>
      <c r="G2909" s="72">
        <v>3.30249855E8</v>
      </c>
    </row>
    <row r="2910">
      <c r="A2910" s="2">
        <v>8.019790562E9</v>
      </c>
      <c r="B2910" s="72">
        <v>8.1989705E7</v>
      </c>
      <c r="C2910" s="74">
        <v>46226.71636923611</v>
      </c>
      <c r="D2910" s="2" t="s">
        <v>628</v>
      </c>
      <c r="F2910" s="2" t="s">
        <v>2762</v>
      </c>
      <c r="G2910" s="72">
        <v>3.27076625E8</v>
      </c>
    </row>
    <row r="2911">
      <c r="A2911" s="2">
        <v>8.019790562E9</v>
      </c>
      <c r="B2911" s="72">
        <v>8.1989705E7</v>
      </c>
      <c r="C2911" s="74">
        <v>46226.961586006946</v>
      </c>
      <c r="D2911" s="2" t="s">
        <v>628</v>
      </c>
      <c r="F2911" s="2" t="s">
        <v>2763</v>
      </c>
      <c r="G2911" s="72">
        <v>3.27342442E8</v>
      </c>
    </row>
    <row r="2912">
      <c r="A2912" s="2" t="s">
        <v>2764</v>
      </c>
      <c r="B2912" s="72">
        <v>1.0957741E7</v>
      </c>
      <c r="C2912" s="74">
        <v>46233.95940436343</v>
      </c>
      <c r="D2912" s="2" t="s">
        <v>628</v>
      </c>
      <c r="F2912" s="2" t="s">
        <v>2277</v>
      </c>
      <c r="G2912" s="72">
        <v>3.32300799E8</v>
      </c>
    </row>
    <row r="2913">
      <c r="A2913" s="2" t="s">
        <v>2764</v>
      </c>
      <c r="C2913" s="74">
        <v>46230.75189050926</v>
      </c>
      <c r="D2913" s="2" t="s">
        <v>628</v>
      </c>
      <c r="F2913" s="2" t="s">
        <v>2278</v>
      </c>
      <c r="G2913" s="72">
        <v>3.30060597E8</v>
      </c>
    </row>
    <row r="2914">
      <c r="A2914" s="2" t="s">
        <v>2764</v>
      </c>
      <c r="C2914" s="74">
        <v>46230.75111159722</v>
      </c>
      <c r="D2914" s="2" t="s">
        <v>628</v>
      </c>
      <c r="F2914" s="2" t="s">
        <v>2278</v>
      </c>
      <c r="G2914" s="72">
        <v>3.30056643E8</v>
      </c>
    </row>
    <row r="2915">
      <c r="A2915" s="2" t="s">
        <v>2764</v>
      </c>
      <c r="B2915" s="72">
        <v>1.0957741E7</v>
      </c>
      <c r="C2915" s="74">
        <v>46232.542955625</v>
      </c>
      <c r="D2915" s="2" t="s">
        <v>628</v>
      </c>
      <c r="F2915" s="2" t="s">
        <v>630</v>
      </c>
      <c r="G2915" s="72">
        <v>3.31160913E8</v>
      </c>
    </row>
    <row r="2916">
      <c r="A2916" s="2">
        <v>8.022363834E9</v>
      </c>
      <c r="B2916" s="72">
        <v>8.1173975E7</v>
      </c>
      <c r="C2916" s="74">
        <v>46221.96000315972</v>
      </c>
      <c r="D2916" s="2" t="s">
        <v>628</v>
      </c>
      <c r="F2916" s="2" t="s">
        <v>838</v>
      </c>
      <c r="G2916" s="72">
        <v>3.23992665E8</v>
      </c>
    </row>
    <row r="2917">
      <c r="A2917" s="2">
        <v>8.022363834E9</v>
      </c>
      <c r="B2917" s="72">
        <v>8.1173975E7</v>
      </c>
      <c r="C2917" s="74">
        <v>46221.54346074074</v>
      </c>
      <c r="D2917" s="2" t="s">
        <v>628</v>
      </c>
      <c r="F2917" s="2" t="s">
        <v>630</v>
      </c>
      <c r="G2917" s="72">
        <v>3.2353695E8</v>
      </c>
    </row>
    <row r="2918">
      <c r="A2918" s="2">
        <v>8.022366481E9</v>
      </c>
      <c r="B2918" s="72">
        <v>8.0326607E7</v>
      </c>
      <c r="C2918" s="74">
        <v>46216.96076479167</v>
      </c>
      <c r="D2918" s="2" t="s">
        <v>628</v>
      </c>
      <c r="F2918" s="2" t="s">
        <v>1300</v>
      </c>
      <c r="G2918" s="72">
        <v>3.20485662E8</v>
      </c>
    </row>
    <row r="2919">
      <c r="A2919" s="2">
        <v>8.022366481E9</v>
      </c>
      <c r="C2919" s="74">
        <v>46214.75258104167</v>
      </c>
      <c r="D2919" s="2" t="s">
        <v>628</v>
      </c>
      <c r="F2919" s="2" t="s">
        <v>714</v>
      </c>
      <c r="G2919" s="72">
        <v>3.18920217E8</v>
      </c>
    </row>
    <row r="2920">
      <c r="A2920" s="2">
        <v>8.022366481E9</v>
      </c>
      <c r="B2920" s="72">
        <v>8.0326607E7</v>
      </c>
      <c r="C2920" s="74">
        <v>46216.544258587965</v>
      </c>
      <c r="D2920" s="2" t="s">
        <v>628</v>
      </c>
      <c r="F2920" s="2" t="s">
        <v>630</v>
      </c>
      <c r="G2920" s="72">
        <v>3.20110597E8</v>
      </c>
    </row>
    <row r="2921">
      <c r="A2921" s="2">
        <v>8.022490242E9</v>
      </c>
      <c r="B2921" s="72">
        <v>8.062677E7</v>
      </c>
      <c r="C2921" s="74">
        <v>46218.543119027774</v>
      </c>
      <c r="D2921" s="2" t="s">
        <v>628</v>
      </c>
      <c r="F2921" s="2" t="s">
        <v>630</v>
      </c>
      <c r="G2921" s="72">
        <v>3.2135373E8</v>
      </c>
    </row>
    <row r="2922">
      <c r="A2922" s="2">
        <v>8.022490242E9</v>
      </c>
      <c r="B2922" s="72">
        <v>8.062677E7</v>
      </c>
      <c r="C2922" s="74">
        <v>46218.959391875</v>
      </c>
      <c r="D2922" s="2" t="s">
        <v>628</v>
      </c>
      <c r="F2922" s="2" t="s">
        <v>2765</v>
      </c>
      <c r="G2922" s="72">
        <v>3.21766457E8</v>
      </c>
    </row>
    <row r="2923">
      <c r="A2923" s="2">
        <v>8.022490242E9</v>
      </c>
      <c r="B2923" s="72">
        <v>8.062677E7</v>
      </c>
      <c r="C2923" s="74">
        <v>46218.5899208912</v>
      </c>
      <c r="D2923" s="2" t="s">
        <v>667</v>
      </c>
      <c r="E2923" s="2" t="s">
        <v>668</v>
      </c>
      <c r="F2923" s="2" t="s">
        <v>2766</v>
      </c>
      <c r="G2923" s="72">
        <v>3.21438319E8</v>
      </c>
    </row>
    <row r="2924">
      <c r="A2924" s="2">
        <v>8.022797843E9</v>
      </c>
      <c r="B2924" s="72">
        <v>8.2338661E7</v>
      </c>
      <c r="C2924" s="74">
        <v>46228.54331105324</v>
      </c>
      <c r="D2924" s="2" t="s">
        <v>628</v>
      </c>
      <c r="F2924" s="2" t="s">
        <v>630</v>
      </c>
      <c r="G2924" s="72">
        <v>3.28408537E8</v>
      </c>
    </row>
    <row r="2925">
      <c r="A2925" s="2">
        <v>8.022797843E9</v>
      </c>
      <c r="B2925" s="72">
        <v>8.2338661E7</v>
      </c>
      <c r="C2925" s="74">
        <v>46228.959703333334</v>
      </c>
      <c r="D2925" s="2" t="s">
        <v>628</v>
      </c>
      <c r="F2925" s="2" t="s">
        <v>2767</v>
      </c>
      <c r="G2925" s="72">
        <v>3.28859123E8</v>
      </c>
    </row>
    <row r="2926">
      <c r="A2926" s="2">
        <v>8.022797843E9</v>
      </c>
      <c r="C2926" s="74">
        <v>46226.75159359953</v>
      </c>
      <c r="D2926" s="2" t="s">
        <v>628</v>
      </c>
      <c r="F2926" s="2" t="s">
        <v>2768</v>
      </c>
      <c r="G2926" s="72">
        <v>3.27100274E8</v>
      </c>
    </row>
    <row r="2927">
      <c r="A2927" s="2">
        <v>8.022818479E9</v>
      </c>
      <c r="B2927" s="72">
        <v>8.0576434E7</v>
      </c>
      <c r="C2927" s="74">
        <v>46217.95984988426</v>
      </c>
      <c r="D2927" s="2" t="s">
        <v>628</v>
      </c>
      <c r="F2927" s="2" t="s">
        <v>2769</v>
      </c>
      <c r="G2927" s="72">
        <v>3.21112176E8</v>
      </c>
    </row>
    <row r="2928">
      <c r="A2928" s="2">
        <v>8.023104515E9</v>
      </c>
      <c r="C2928" s="74">
        <v>46226.753845983796</v>
      </c>
      <c r="D2928" s="2" t="s">
        <v>628</v>
      </c>
      <c r="F2928" s="2" t="s">
        <v>1186</v>
      </c>
      <c r="G2928" s="72">
        <v>3.27116402E8</v>
      </c>
    </row>
    <row r="2929">
      <c r="A2929" s="2">
        <v>8.023104515E9</v>
      </c>
      <c r="B2929" s="72">
        <v>8.2341394E7</v>
      </c>
      <c r="C2929" s="74">
        <v>46228.54440342593</v>
      </c>
      <c r="D2929" s="2" t="s">
        <v>628</v>
      </c>
      <c r="F2929" s="2" t="s">
        <v>630</v>
      </c>
      <c r="G2929" s="72">
        <v>3.28424803E8</v>
      </c>
    </row>
    <row r="2930">
      <c r="A2930" s="2">
        <v>8.023104515E9</v>
      </c>
      <c r="B2930" s="72">
        <v>8.2341394E7</v>
      </c>
      <c r="C2930" s="74">
        <v>46229.96101903935</v>
      </c>
      <c r="D2930" s="2" t="s">
        <v>628</v>
      </c>
      <c r="F2930" s="2" t="s">
        <v>1185</v>
      </c>
      <c r="G2930" s="72">
        <v>3.29613183E8</v>
      </c>
    </row>
    <row r="2931">
      <c r="A2931" s="2">
        <v>8.023186776E9</v>
      </c>
      <c r="B2931" s="72">
        <v>7.9696285E7</v>
      </c>
      <c r="C2931" s="74">
        <v>46214.54337892361</v>
      </c>
      <c r="D2931" s="2" t="s">
        <v>628</v>
      </c>
      <c r="F2931" s="2" t="s">
        <v>630</v>
      </c>
      <c r="G2931" s="72">
        <v>3.1869427E8</v>
      </c>
    </row>
    <row r="2932">
      <c r="A2932" s="2">
        <v>8.023186776E9</v>
      </c>
      <c r="B2932" s="72">
        <v>7.9696285E7</v>
      </c>
      <c r="C2932" s="74">
        <v>46214.9595690625</v>
      </c>
      <c r="D2932" s="2" t="s">
        <v>628</v>
      </c>
      <c r="F2932" s="2" t="s">
        <v>2770</v>
      </c>
      <c r="G2932" s="72">
        <v>3.19129875E8</v>
      </c>
    </row>
    <row r="2933">
      <c r="A2933" s="2">
        <v>8.023186776E9</v>
      </c>
      <c r="B2933" s="72">
        <v>7.9696285E7</v>
      </c>
      <c r="C2933" s="74">
        <v>46212.75203894676</v>
      </c>
      <c r="D2933" s="2" t="s">
        <v>628</v>
      </c>
      <c r="F2933" s="2" t="s">
        <v>2771</v>
      </c>
      <c r="G2933" s="72">
        <v>3.17434688E8</v>
      </c>
    </row>
    <row r="2934">
      <c r="A2934" s="2">
        <v>8.023188182E9</v>
      </c>
      <c r="B2934" s="72">
        <v>8027013.0</v>
      </c>
      <c r="C2934" s="74">
        <v>46218.96028510417</v>
      </c>
      <c r="D2934" s="2" t="s">
        <v>628</v>
      </c>
      <c r="F2934" s="2" t="s">
        <v>2772</v>
      </c>
      <c r="G2934" s="72">
        <v>3.21769484E8</v>
      </c>
    </row>
    <row r="2935">
      <c r="A2935" s="2">
        <v>8.023188182E9</v>
      </c>
      <c r="B2935" s="72">
        <v>8027013.0</v>
      </c>
      <c r="C2935" s="74">
        <v>46218.70016670139</v>
      </c>
      <c r="D2935" s="2" t="s">
        <v>628</v>
      </c>
      <c r="F2935" s="2" t="s">
        <v>2773</v>
      </c>
      <c r="G2935" s="72">
        <v>3.21520989E8</v>
      </c>
    </row>
    <row r="2936">
      <c r="A2936" s="2">
        <v>8.023188315E9</v>
      </c>
      <c r="B2936" s="72">
        <v>7.9684002E7</v>
      </c>
      <c r="C2936" s="74">
        <v>46212.70633476852</v>
      </c>
      <c r="D2936" s="2" t="s">
        <v>628</v>
      </c>
      <c r="F2936" s="2" t="s">
        <v>659</v>
      </c>
      <c r="G2936" s="72">
        <v>3.17395316E8</v>
      </c>
    </row>
    <row r="2937">
      <c r="A2937" s="2">
        <v>8.02343163E9</v>
      </c>
      <c r="B2937" s="72">
        <v>7.9497721E7</v>
      </c>
      <c r="C2937" s="74">
        <v>46211.544155752315</v>
      </c>
      <c r="D2937" s="2" t="s">
        <v>628</v>
      </c>
      <c r="F2937" s="2" t="s">
        <v>630</v>
      </c>
      <c r="G2937" s="72">
        <v>3.16608736E8</v>
      </c>
    </row>
    <row r="2938">
      <c r="A2938" s="2">
        <v>8.02343163E9</v>
      </c>
      <c r="B2938" s="72">
        <v>7.9497721E7</v>
      </c>
      <c r="C2938" s="74">
        <v>46212.9614377199</v>
      </c>
      <c r="D2938" s="2" t="s">
        <v>628</v>
      </c>
      <c r="F2938" s="2" t="s">
        <v>1183</v>
      </c>
      <c r="G2938" s="72">
        <v>3.17662917E8</v>
      </c>
    </row>
    <row r="2939">
      <c r="A2939" s="2">
        <v>8.02343163E9</v>
      </c>
      <c r="C2939" s="74">
        <v>46209.753467083334</v>
      </c>
      <c r="D2939" s="2" t="s">
        <v>628</v>
      </c>
      <c r="F2939" s="2" t="s">
        <v>2572</v>
      </c>
      <c r="G2939" s="72">
        <v>3.15592976E8</v>
      </c>
    </row>
    <row r="2940">
      <c r="A2940" s="2">
        <v>8.023439391E9</v>
      </c>
      <c r="B2940" s="72">
        <v>8.3195023E7</v>
      </c>
      <c r="C2940" s="74">
        <v>46233.75284739584</v>
      </c>
      <c r="D2940" s="2" t="s">
        <v>628</v>
      </c>
      <c r="F2940" s="2" t="s">
        <v>1181</v>
      </c>
      <c r="G2940" s="72">
        <v>3.32074843E8</v>
      </c>
    </row>
    <row r="2941">
      <c r="A2941" s="2">
        <v>8.023537187E9</v>
      </c>
      <c r="B2941" s="72">
        <v>4.1176418E7</v>
      </c>
      <c r="C2941" s="74">
        <v>46220.92979621528</v>
      </c>
      <c r="D2941" s="2" t="s">
        <v>628</v>
      </c>
      <c r="F2941" s="2" t="s">
        <v>2774</v>
      </c>
      <c r="G2941" s="72">
        <v>3.23216206E8</v>
      </c>
    </row>
    <row r="2942">
      <c r="A2942" s="2">
        <v>8.023537187E9</v>
      </c>
      <c r="B2942" s="72">
        <v>4.1176418E7</v>
      </c>
      <c r="C2942" s="74">
        <v>46221.95999447917</v>
      </c>
      <c r="D2942" s="2" t="s">
        <v>628</v>
      </c>
      <c r="F2942" s="2" t="s">
        <v>2775</v>
      </c>
      <c r="G2942" s="72">
        <v>3.23992622E8</v>
      </c>
    </row>
    <row r="2943">
      <c r="A2943" s="2">
        <v>8.023699266E9</v>
      </c>
      <c r="B2943" s="72">
        <v>8.1173671E7</v>
      </c>
      <c r="C2943" s="74">
        <v>46221.960035833334</v>
      </c>
      <c r="D2943" s="2" t="s">
        <v>628</v>
      </c>
      <c r="F2943" s="2" t="s">
        <v>2776</v>
      </c>
      <c r="G2943" s="72">
        <v>3.239929E8</v>
      </c>
    </row>
    <row r="2944">
      <c r="A2944" s="2">
        <v>8.023699266E9</v>
      </c>
      <c r="B2944" s="72">
        <v>8.1173671E7</v>
      </c>
      <c r="C2944" s="74">
        <v>46221.54332744213</v>
      </c>
      <c r="D2944" s="2" t="s">
        <v>628</v>
      </c>
      <c r="F2944" s="2" t="s">
        <v>630</v>
      </c>
      <c r="G2944" s="72">
        <v>3.23535177E8</v>
      </c>
    </row>
    <row r="2945">
      <c r="A2945" s="2">
        <v>8.023709347E9</v>
      </c>
      <c r="B2945" s="72">
        <v>8.002731E7</v>
      </c>
      <c r="C2945" s="74">
        <v>46214.54473515046</v>
      </c>
      <c r="D2945" s="2" t="s">
        <v>628</v>
      </c>
      <c r="F2945" s="2" t="s">
        <v>630</v>
      </c>
      <c r="G2945" s="72">
        <v>3.1871699E8</v>
      </c>
    </row>
    <row r="2946">
      <c r="A2946" s="2">
        <v>8.023709347E9</v>
      </c>
      <c r="B2946" s="72">
        <v>8.002731E7</v>
      </c>
      <c r="C2946" s="74">
        <v>46214.96143214121</v>
      </c>
      <c r="D2946" s="2" t="s">
        <v>628</v>
      </c>
      <c r="F2946" s="2" t="s">
        <v>1375</v>
      </c>
      <c r="G2946" s="72">
        <v>3.1914019E8</v>
      </c>
    </row>
    <row r="2947">
      <c r="A2947" s="2">
        <v>8.023731722E9</v>
      </c>
      <c r="B2947" s="72">
        <v>4597815.0</v>
      </c>
      <c r="C2947" s="74">
        <v>46214.959737453704</v>
      </c>
      <c r="D2947" s="2" t="s">
        <v>628</v>
      </c>
      <c r="F2947" s="2" t="s">
        <v>2777</v>
      </c>
      <c r="G2947" s="72">
        <v>3.19131015E8</v>
      </c>
    </row>
    <row r="2948">
      <c r="A2948" s="2">
        <v>8.023731722E9</v>
      </c>
      <c r="B2948" s="72">
        <v>4597815.0</v>
      </c>
      <c r="C2948" s="74">
        <v>46213.75263246528</v>
      </c>
      <c r="D2948" s="2" t="s">
        <v>628</v>
      </c>
      <c r="F2948" s="2" t="s">
        <v>2778</v>
      </c>
      <c r="G2948" s="72">
        <v>3.18176775E8</v>
      </c>
    </row>
    <row r="2949">
      <c r="A2949" s="2">
        <v>8.023732463E9</v>
      </c>
      <c r="B2949" s="72">
        <v>8.2381525E7</v>
      </c>
      <c r="C2949" s="74">
        <v>46228.75121836805</v>
      </c>
      <c r="D2949" s="2" t="s">
        <v>628</v>
      </c>
      <c r="F2949" s="2" t="s">
        <v>943</v>
      </c>
      <c r="G2949" s="72">
        <v>3.28636655E8</v>
      </c>
    </row>
    <row r="2950">
      <c r="A2950" s="2">
        <v>8.023732463E9</v>
      </c>
      <c r="B2950" s="72">
        <v>8.2381525E7</v>
      </c>
      <c r="C2950" s="74">
        <v>46229.95910042824</v>
      </c>
      <c r="D2950" s="2" t="s">
        <v>628</v>
      </c>
      <c r="F2950" s="2" t="s">
        <v>947</v>
      </c>
      <c r="G2950" s="72">
        <v>3.29607538E8</v>
      </c>
    </row>
    <row r="2951">
      <c r="A2951" s="2">
        <v>8.023760992E9</v>
      </c>
      <c r="B2951" s="72">
        <v>7.8526999E7</v>
      </c>
      <c r="C2951" s="74">
        <v>46204.96117664352</v>
      </c>
      <c r="D2951" s="2" t="s">
        <v>628</v>
      </c>
      <c r="F2951" s="2" t="s">
        <v>2779</v>
      </c>
      <c r="G2951" s="72">
        <v>3.12385443E8</v>
      </c>
    </row>
    <row r="2952">
      <c r="A2952" s="2">
        <v>8.023790171E9</v>
      </c>
      <c r="B2952" s="72">
        <v>7.8975125E7</v>
      </c>
      <c r="C2952" s="74">
        <v>46207.752236747685</v>
      </c>
      <c r="D2952" s="2" t="s">
        <v>628</v>
      </c>
      <c r="F2952" s="2" t="s">
        <v>2780</v>
      </c>
      <c r="G2952" s="72">
        <v>3.14287907E8</v>
      </c>
    </row>
    <row r="2953">
      <c r="A2953" s="2">
        <v>8.023790171E9</v>
      </c>
      <c r="B2953" s="72">
        <v>7.8975125E7</v>
      </c>
      <c r="C2953" s="74">
        <v>46210.96039057871</v>
      </c>
      <c r="D2953" s="2" t="s">
        <v>628</v>
      </c>
      <c r="F2953" s="2" t="s">
        <v>2781</v>
      </c>
      <c r="G2953" s="72">
        <v>3.16369728E8</v>
      </c>
    </row>
    <row r="2954">
      <c r="A2954" s="2">
        <v>8.023790171E9</v>
      </c>
      <c r="B2954" s="72">
        <v>7.8975125E7</v>
      </c>
      <c r="C2954" s="74">
        <v>46209.544050069446</v>
      </c>
      <c r="D2954" s="2" t="s">
        <v>628</v>
      </c>
      <c r="F2954" s="2" t="s">
        <v>630</v>
      </c>
      <c r="G2954" s="72">
        <v>3.1539714E8</v>
      </c>
    </row>
    <row r="2955">
      <c r="A2955" s="2">
        <v>8.024304051E9</v>
      </c>
      <c r="B2955" s="72">
        <v>8.0798851E7</v>
      </c>
      <c r="C2955" s="74">
        <v>46219.54556359954</v>
      </c>
      <c r="D2955" s="2" t="s">
        <v>628</v>
      </c>
      <c r="F2955" s="2" t="s">
        <v>630</v>
      </c>
      <c r="G2955" s="72">
        <v>3.22061108E8</v>
      </c>
    </row>
    <row r="2956">
      <c r="A2956" s="2">
        <v>8.024304051E9</v>
      </c>
      <c r="B2956" s="72">
        <v>8.0798851E7</v>
      </c>
      <c r="C2956" s="74">
        <v>46219.961942951384</v>
      </c>
      <c r="D2956" s="2" t="s">
        <v>628</v>
      </c>
      <c r="F2956" s="2" t="s">
        <v>1183</v>
      </c>
      <c r="G2956" s="72">
        <v>3.22481979E8</v>
      </c>
    </row>
    <row r="2957">
      <c r="A2957" s="2">
        <v>8.024619051E9</v>
      </c>
      <c r="B2957" s="72">
        <v>3.5666386E7</v>
      </c>
      <c r="C2957" s="74">
        <v>46207.54465015046</v>
      </c>
      <c r="D2957" s="2" t="s">
        <v>628</v>
      </c>
      <c r="F2957" s="2" t="s">
        <v>630</v>
      </c>
      <c r="G2957" s="72">
        <v>3.1408855E8</v>
      </c>
    </row>
    <row r="2958">
      <c r="A2958" s="2">
        <v>8.024619051E9</v>
      </c>
      <c r="B2958" s="72">
        <v>3.5666386E7</v>
      </c>
      <c r="C2958" s="74">
        <v>46207.961157199075</v>
      </c>
      <c r="D2958" s="2" t="s">
        <v>628</v>
      </c>
      <c r="F2958" s="2" t="s">
        <v>2782</v>
      </c>
      <c r="G2958" s="72">
        <v>3.1448695E8</v>
      </c>
    </row>
    <row r="2959">
      <c r="A2959" s="2">
        <v>8.024619051E9</v>
      </c>
      <c r="B2959" s="72">
        <v>3.5666386E7</v>
      </c>
      <c r="C2959" s="74">
        <v>46206.73105984954</v>
      </c>
      <c r="D2959" s="2" t="s">
        <v>628</v>
      </c>
      <c r="F2959" s="2" t="s">
        <v>2783</v>
      </c>
      <c r="G2959" s="72">
        <v>3.13538886E8</v>
      </c>
    </row>
    <row r="2960">
      <c r="A2960" s="2">
        <v>8.025356315E9</v>
      </c>
      <c r="B2960" s="72">
        <v>8.1174331E7</v>
      </c>
      <c r="C2960" s="74">
        <v>46221.96003292824</v>
      </c>
      <c r="D2960" s="2" t="s">
        <v>628</v>
      </c>
      <c r="F2960" s="2" t="s">
        <v>2784</v>
      </c>
      <c r="G2960" s="72">
        <v>3.2399288E8</v>
      </c>
    </row>
    <row r="2961">
      <c r="A2961" s="2">
        <v>8.025356315E9</v>
      </c>
      <c r="C2961" s="74">
        <v>46219.75252480324</v>
      </c>
      <c r="D2961" s="2" t="s">
        <v>628</v>
      </c>
      <c r="F2961" s="2" t="s">
        <v>2785</v>
      </c>
      <c r="G2961" s="72">
        <v>3.22243415E8</v>
      </c>
    </row>
    <row r="2962">
      <c r="A2962" s="2">
        <v>8.025356315E9</v>
      </c>
      <c r="B2962" s="72">
        <v>8.1174331E7</v>
      </c>
      <c r="C2962" s="74">
        <v>46221.54361586805</v>
      </c>
      <c r="D2962" s="2" t="s">
        <v>628</v>
      </c>
      <c r="F2962" s="2" t="s">
        <v>630</v>
      </c>
      <c r="G2962" s="72">
        <v>3.23539222E8</v>
      </c>
    </row>
    <row r="2963">
      <c r="A2963" s="2">
        <v>8.025356315E9</v>
      </c>
      <c r="B2963" s="72">
        <v>8.1174331E7</v>
      </c>
      <c r="C2963" s="74">
        <v>46219.80658704861</v>
      </c>
      <c r="D2963" s="2" t="s">
        <v>653</v>
      </c>
      <c r="F2963" s="2" t="s">
        <v>2786</v>
      </c>
      <c r="G2963" s="72">
        <v>3.22327852E8</v>
      </c>
    </row>
    <row r="2964">
      <c r="A2964" s="2">
        <v>8.025356315E9</v>
      </c>
      <c r="B2964" s="72">
        <v>8.1174331E7</v>
      </c>
      <c r="C2964" s="74">
        <v>46219.806590162036</v>
      </c>
      <c r="D2964" s="2" t="s">
        <v>653</v>
      </c>
      <c r="F2964" s="2" t="s">
        <v>2787</v>
      </c>
      <c r="G2964" s="72">
        <v>3.22327855E8</v>
      </c>
    </row>
    <row r="2965">
      <c r="A2965" s="2">
        <v>8.025561266E9</v>
      </c>
      <c r="B2965" s="72">
        <v>3.7944273E7</v>
      </c>
      <c r="C2965" s="74">
        <v>46204.54512369213</v>
      </c>
      <c r="D2965" s="2" t="s">
        <v>628</v>
      </c>
      <c r="F2965" s="2" t="s">
        <v>630</v>
      </c>
      <c r="G2965" s="72">
        <v>3.12023541E8</v>
      </c>
    </row>
    <row r="2966">
      <c r="A2966" s="2">
        <v>8.025561266E9</v>
      </c>
      <c r="B2966" s="72">
        <v>3.7944273E7</v>
      </c>
      <c r="C2966" s="74">
        <v>46206.96162811342</v>
      </c>
      <c r="D2966" s="2" t="s">
        <v>628</v>
      </c>
      <c r="F2966" s="2" t="s">
        <v>2788</v>
      </c>
      <c r="G2966" s="72">
        <v>3.13804801E8</v>
      </c>
    </row>
    <row r="2967">
      <c r="A2967" s="2">
        <v>8.025784596E9</v>
      </c>
      <c r="B2967" s="72">
        <v>8.2344001E7</v>
      </c>
      <c r="C2967" s="74">
        <v>46228.54528979167</v>
      </c>
      <c r="D2967" s="2" t="s">
        <v>628</v>
      </c>
      <c r="F2967" s="2" t="s">
        <v>630</v>
      </c>
      <c r="G2967" s="72">
        <v>3.2844047E8</v>
      </c>
    </row>
    <row r="2968">
      <c r="A2968" s="2">
        <v>8.025784596E9</v>
      </c>
      <c r="B2968" s="72">
        <v>8.2344001E7</v>
      </c>
      <c r="C2968" s="74">
        <v>46228.961604027776</v>
      </c>
      <c r="D2968" s="2" t="s">
        <v>628</v>
      </c>
      <c r="F2968" s="2" t="s">
        <v>2789</v>
      </c>
      <c r="G2968" s="72">
        <v>3.28869296E8</v>
      </c>
    </row>
    <row r="2969">
      <c r="A2969" s="2">
        <v>8.025787656E9</v>
      </c>
      <c r="B2969" s="72">
        <v>8.1487931E7</v>
      </c>
      <c r="C2969" s="74">
        <v>46224.96220178241</v>
      </c>
      <c r="D2969" s="2" t="s">
        <v>628</v>
      </c>
      <c r="F2969" s="2" t="s">
        <v>2790</v>
      </c>
      <c r="G2969" s="72">
        <v>3.25992296E8</v>
      </c>
    </row>
    <row r="2970">
      <c r="A2970" s="2">
        <v>8.025787656E9</v>
      </c>
      <c r="B2970" s="72">
        <v>8.1487931E7</v>
      </c>
      <c r="C2970" s="74">
        <v>46223.545242430555</v>
      </c>
      <c r="D2970" s="2" t="s">
        <v>628</v>
      </c>
      <c r="F2970" s="2" t="s">
        <v>630</v>
      </c>
      <c r="G2970" s="72">
        <v>3.24993195E8</v>
      </c>
    </row>
    <row r="2971">
      <c r="A2971" s="2">
        <v>8.025787656E9</v>
      </c>
      <c r="C2971" s="74">
        <v>46221.75373309028</v>
      </c>
      <c r="D2971" s="2" t="s">
        <v>628</v>
      </c>
      <c r="F2971" s="2" t="s">
        <v>2791</v>
      </c>
      <c r="G2971" s="72">
        <v>3.23783813E8</v>
      </c>
    </row>
    <row r="2972">
      <c r="A2972" s="2">
        <v>8.025917245E9</v>
      </c>
      <c r="B2972" s="72">
        <v>3.8458095E7</v>
      </c>
      <c r="C2972" s="74">
        <v>46223.96080444445</v>
      </c>
      <c r="D2972" s="2" t="s">
        <v>628</v>
      </c>
      <c r="F2972" s="2" t="s">
        <v>1089</v>
      </c>
      <c r="G2972" s="72">
        <v>3.25366603E8</v>
      </c>
    </row>
    <row r="2973">
      <c r="A2973" s="2">
        <v>8.025917245E9</v>
      </c>
      <c r="B2973" s="72">
        <v>3.8458095E7</v>
      </c>
      <c r="C2973" s="74">
        <v>46223.5444359838</v>
      </c>
      <c r="D2973" s="2" t="s">
        <v>628</v>
      </c>
      <c r="F2973" s="2" t="s">
        <v>630</v>
      </c>
      <c r="G2973" s="72">
        <v>3.24980548E8</v>
      </c>
    </row>
    <row r="2974">
      <c r="A2974" s="2">
        <v>8.025917245E9</v>
      </c>
      <c r="B2974" s="72">
        <v>3.8458095E7</v>
      </c>
      <c r="C2974" s="74">
        <v>46221.75265275463</v>
      </c>
      <c r="D2974" s="2" t="s">
        <v>628</v>
      </c>
      <c r="F2974" s="2" t="s">
        <v>1090</v>
      </c>
      <c r="G2974" s="72">
        <v>3.23776549E8</v>
      </c>
    </row>
    <row r="2975">
      <c r="A2975" s="2">
        <v>8.025950018E9</v>
      </c>
      <c r="B2975" s="72">
        <v>8.3189352E7</v>
      </c>
      <c r="C2975" s="74">
        <v>46233.751729791664</v>
      </c>
      <c r="D2975" s="2" t="s">
        <v>628</v>
      </c>
      <c r="F2975" s="2" t="s">
        <v>1552</v>
      </c>
      <c r="G2975" s="72">
        <v>3.3206318E8</v>
      </c>
    </row>
    <row r="2976">
      <c r="A2976" s="2">
        <v>8.025986527E9</v>
      </c>
      <c r="B2976" s="72">
        <v>3.7026868E7</v>
      </c>
      <c r="C2976" s="74">
        <v>46227.96111797454</v>
      </c>
      <c r="D2976" s="2" t="s">
        <v>628</v>
      </c>
      <c r="F2976" s="2" t="s">
        <v>666</v>
      </c>
      <c r="G2976" s="72">
        <v>3.28120074E8</v>
      </c>
    </row>
    <row r="2977">
      <c r="A2977" s="2">
        <v>8.025986527E9</v>
      </c>
      <c r="B2977" s="72">
        <v>3.7026868E7</v>
      </c>
      <c r="C2977" s="74">
        <v>46226.705857152774</v>
      </c>
      <c r="D2977" s="2" t="s">
        <v>653</v>
      </c>
      <c r="F2977" s="2" t="s">
        <v>2792</v>
      </c>
      <c r="G2977" s="72">
        <v>3.27063792E8</v>
      </c>
    </row>
    <row r="2978">
      <c r="A2978" s="2">
        <v>8.025986527E9</v>
      </c>
      <c r="B2978" s="72">
        <v>3.7026868E7</v>
      </c>
      <c r="C2978" s="74">
        <v>46226.70586141203</v>
      </c>
      <c r="D2978" s="2" t="s">
        <v>653</v>
      </c>
      <c r="F2978" s="2" t="s">
        <v>2792</v>
      </c>
      <c r="G2978" s="72">
        <v>3.27063795E8</v>
      </c>
    </row>
    <row r="2979">
      <c r="A2979" s="2">
        <v>8.025986527E9</v>
      </c>
      <c r="B2979" s="72">
        <v>3.7026868E7</v>
      </c>
      <c r="C2979" s="74">
        <v>46226.69743866898</v>
      </c>
      <c r="D2979" s="2" t="s">
        <v>628</v>
      </c>
      <c r="F2979" s="2" t="s">
        <v>665</v>
      </c>
      <c r="G2979" s="72">
        <v>3.27060508E8</v>
      </c>
    </row>
    <row r="2980">
      <c r="A2980" s="2">
        <v>8.025986527E9</v>
      </c>
      <c r="B2980" s="72">
        <v>3.7026868E7</v>
      </c>
      <c r="C2980" s="74">
        <v>46227.54579730324</v>
      </c>
      <c r="D2980" s="2" t="s">
        <v>628</v>
      </c>
      <c r="F2980" s="2" t="s">
        <v>630</v>
      </c>
      <c r="G2980" s="72">
        <v>3.2765312E8</v>
      </c>
    </row>
    <row r="2981">
      <c r="A2981" s="2">
        <v>8.026834303E9</v>
      </c>
      <c r="B2981" s="72">
        <v>8.250998E7</v>
      </c>
      <c r="C2981" s="74">
        <v>46229.960297638885</v>
      </c>
      <c r="D2981" s="2" t="s">
        <v>628</v>
      </c>
      <c r="F2981" s="2" t="s">
        <v>2620</v>
      </c>
      <c r="G2981" s="72">
        <v>3.29610822E8</v>
      </c>
    </row>
    <row r="2982">
      <c r="A2982" s="2">
        <v>8.026834303E9</v>
      </c>
      <c r="B2982" s="72">
        <v>8.250998E7</v>
      </c>
      <c r="C2982" s="74">
        <v>46229.54468121528</v>
      </c>
      <c r="D2982" s="2" t="s">
        <v>628</v>
      </c>
      <c r="F2982" s="2" t="s">
        <v>630</v>
      </c>
      <c r="G2982" s="72">
        <v>3.29200629E8</v>
      </c>
    </row>
    <row r="2983">
      <c r="A2983" s="2">
        <v>8.02733506E9</v>
      </c>
      <c r="B2983" s="72">
        <v>8.0085989E7</v>
      </c>
      <c r="C2983" s="74">
        <v>46214.8058422801</v>
      </c>
      <c r="D2983" s="2" t="s">
        <v>628</v>
      </c>
      <c r="F2983" s="2" t="s">
        <v>1983</v>
      </c>
      <c r="G2983" s="72">
        <v>3.18982082E8</v>
      </c>
    </row>
    <row r="2984">
      <c r="A2984" s="2">
        <v>8.02733506E9</v>
      </c>
      <c r="B2984" s="72">
        <v>8.0085989E7</v>
      </c>
      <c r="C2984" s="74">
        <v>46216.958896111115</v>
      </c>
      <c r="D2984" s="2" t="s">
        <v>628</v>
      </c>
      <c r="F2984" s="2" t="s">
        <v>2793</v>
      </c>
      <c r="G2984" s="72">
        <v>3.20481106E8</v>
      </c>
    </row>
    <row r="2985">
      <c r="A2985" s="2">
        <v>8.02733506E9</v>
      </c>
      <c r="B2985" s="72">
        <v>8.0085989E7</v>
      </c>
      <c r="C2985" s="74">
        <v>46216.542835706015</v>
      </c>
      <c r="D2985" s="2" t="s">
        <v>628</v>
      </c>
      <c r="F2985" s="2" t="s">
        <v>630</v>
      </c>
      <c r="G2985" s="72">
        <v>3.2008929E8</v>
      </c>
    </row>
    <row r="2986">
      <c r="A2986" s="2">
        <v>8.027770921E9</v>
      </c>
      <c r="B2986" s="72">
        <v>8.4463964E7</v>
      </c>
      <c r="C2986" s="74">
        <v>46231.50655643518</v>
      </c>
      <c r="D2986" s="2" t="s">
        <v>705</v>
      </c>
      <c r="F2986" s="2" t="s">
        <v>2794</v>
      </c>
      <c r="G2986" s="72">
        <v>3.30494361E8</v>
      </c>
    </row>
    <row r="2987">
      <c r="A2987" s="2">
        <v>8.027776948E9</v>
      </c>
      <c r="B2987" s="72">
        <v>3.6867503E7</v>
      </c>
      <c r="C2987" s="74">
        <v>46215.544838587964</v>
      </c>
      <c r="D2987" s="2" t="s">
        <v>628</v>
      </c>
      <c r="F2987" s="2" t="s">
        <v>630</v>
      </c>
      <c r="G2987" s="72">
        <v>3.19481238E8</v>
      </c>
    </row>
    <row r="2988">
      <c r="A2988" s="2">
        <v>8.027776948E9</v>
      </c>
      <c r="C2988" s="74">
        <v>46213.753114548614</v>
      </c>
      <c r="D2988" s="2" t="s">
        <v>628</v>
      </c>
      <c r="F2988" s="2" t="s">
        <v>2795</v>
      </c>
      <c r="G2988" s="72">
        <v>3.1818232E8</v>
      </c>
    </row>
    <row r="2989">
      <c r="A2989" s="2">
        <v>8.027776948E9</v>
      </c>
      <c r="B2989" s="72">
        <v>3.6867503E7</v>
      </c>
      <c r="C2989" s="74">
        <v>46215.96131138889</v>
      </c>
      <c r="D2989" s="2" t="s">
        <v>628</v>
      </c>
      <c r="F2989" s="2" t="s">
        <v>2796</v>
      </c>
      <c r="G2989" s="72">
        <v>3.1986203E8</v>
      </c>
    </row>
    <row r="2990">
      <c r="A2990" s="2">
        <v>8.027795778E9</v>
      </c>
      <c r="B2990" s="72">
        <v>8.0187447E7</v>
      </c>
      <c r="C2990" s="74">
        <v>46215.54399821759</v>
      </c>
      <c r="D2990" s="2" t="s">
        <v>628</v>
      </c>
      <c r="F2990" s="2" t="s">
        <v>630</v>
      </c>
      <c r="G2990" s="72">
        <v>3.19466177E8</v>
      </c>
    </row>
    <row r="2991">
      <c r="A2991" s="2">
        <v>8.027795778E9</v>
      </c>
      <c r="B2991" s="72">
        <v>8.0187447E7</v>
      </c>
      <c r="C2991" s="74">
        <v>46215.960479444446</v>
      </c>
      <c r="D2991" s="2" t="s">
        <v>628</v>
      </c>
      <c r="F2991" s="2" t="s">
        <v>2694</v>
      </c>
      <c r="G2991" s="72">
        <v>3.19859754E8</v>
      </c>
    </row>
    <row r="2992">
      <c r="A2992" s="2">
        <v>8.027795778E9</v>
      </c>
      <c r="C2992" s="74">
        <v>46213.752988113425</v>
      </c>
      <c r="D2992" s="2" t="s">
        <v>628</v>
      </c>
      <c r="F2992" s="2" t="s">
        <v>2693</v>
      </c>
      <c r="G2992" s="72">
        <v>3.18180855E8</v>
      </c>
    </row>
    <row r="2993">
      <c r="A2993" s="2">
        <v>8.027795778E9</v>
      </c>
      <c r="B2993" s="72">
        <v>8.0187447E7</v>
      </c>
      <c r="C2993" s="74">
        <v>46216.059084583336</v>
      </c>
      <c r="D2993" s="2" t="s">
        <v>667</v>
      </c>
      <c r="E2993" s="2" t="s">
        <v>703</v>
      </c>
      <c r="F2993" s="2" t="s">
        <v>2797</v>
      </c>
      <c r="G2993" s="72">
        <v>3.19927784E8</v>
      </c>
    </row>
    <row r="2994">
      <c r="A2994" s="2">
        <v>8.027798087E9</v>
      </c>
      <c r="B2994" s="72">
        <v>7.9698722E7</v>
      </c>
      <c r="C2994" s="74">
        <v>46214.54376608796</v>
      </c>
      <c r="D2994" s="2" t="s">
        <v>628</v>
      </c>
      <c r="F2994" s="2" t="s">
        <v>630</v>
      </c>
      <c r="G2994" s="72">
        <v>3.18698721E8</v>
      </c>
    </row>
    <row r="2995">
      <c r="A2995" s="2">
        <v>8.027798087E9</v>
      </c>
      <c r="B2995" s="72">
        <v>7.9698722E7</v>
      </c>
      <c r="C2995" s="74">
        <v>46212.75271739584</v>
      </c>
      <c r="D2995" s="2" t="s">
        <v>628</v>
      </c>
      <c r="F2995" s="2" t="s">
        <v>1260</v>
      </c>
      <c r="G2995" s="72">
        <v>3.17439594E8</v>
      </c>
    </row>
    <row r="2996">
      <c r="A2996" s="2">
        <v>8.027798087E9</v>
      </c>
      <c r="B2996" s="72">
        <v>7.9698722E7</v>
      </c>
      <c r="C2996" s="74">
        <v>46214.960259733794</v>
      </c>
      <c r="D2996" s="2" t="s">
        <v>628</v>
      </c>
      <c r="F2996" s="2" t="s">
        <v>2154</v>
      </c>
      <c r="G2996" s="72">
        <v>3.19134197E8</v>
      </c>
    </row>
    <row r="2997">
      <c r="A2997" s="2">
        <v>8.0278235E9</v>
      </c>
      <c r="B2997" s="72">
        <v>8.0739063E7</v>
      </c>
      <c r="C2997" s="74">
        <v>46218.96003210648</v>
      </c>
      <c r="D2997" s="2" t="s">
        <v>628</v>
      </c>
      <c r="F2997" s="2" t="s">
        <v>2456</v>
      </c>
      <c r="G2997" s="72">
        <v>3.21768411E8</v>
      </c>
    </row>
    <row r="2998">
      <c r="A2998" s="2">
        <v>8.027823622E9</v>
      </c>
      <c r="C2998" s="74">
        <v>46231.75017932871</v>
      </c>
      <c r="D2998" s="2" t="s">
        <v>628</v>
      </c>
      <c r="F2998" s="2" t="s">
        <v>2446</v>
      </c>
      <c r="G2998" s="72">
        <v>3.30714199E8</v>
      </c>
    </row>
    <row r="2999">
      <c r="A2999" s="2">
        <v>8.027823622E9</v>
      </c>
      <c r="B2999" s="72">
        <v>8.3139641E7</v>
      </c>
      <c r="C2999" s="74">
        <v>46233.542550439815</v>
      </c>
      <c r="D2999" s="2" t="s">
        <v>628</v>
      </c>
      <c r="F2999" s="2" t="s">
        <v>630</v>
      </c>
      <c r="G2999" s="72">
        <v>3.31834571E8</v>
      </c>
    </row>
    <row r="3000">
      <c r="A3000" s="2">
        <v>8.027823622E9</v>
      </c>
      <c r="B3000" s="72">
        <v>8.3139641E7</v>
      </c>
      <c r="C3000" s="74">
        <v>46234.95863957176</v>
      </c>
      <c r="D3000" s="2" t="s">
        <v>628</v>
      </c>
      <c r="F3000" s="2" t="s">
        <v>2413</v>
      </c>
      <c r="G3000" s="72">
        <v>3.33094553E8</v>
      </c>
    </row>
    <row r="3001">
      <c r="A3001" s="2">
        <v>8.02782688E9</v>
      </c>
      <c r="B3001" s="72">
        <v>4154251.0</v>
      </c>
      <c r="C3001" s="74">
        <v>46221.543829201386</v>
      </c>
      <c r="D3001" s="2" t="s">
        <v>628</v>
      </c>
      <c r="F3001" s="2" t="s">
        <v>630</v>
      </c>
      <c r="G3001" s="72">
        <v>3.23542003E8</v>
      </c>
    </row>
    <row r="3002">
      <c r="A3002" s="2">
        <v>8.02782688E9</v>
      </c>
      <c r="B3002" s="72">
        <v>4154251.0</v>
      </c>
      <c r="C3002" s="74">
        <v>46221.95996508102</v>
      </c>
      <c r="D3002" s="2" t="s">
        <v>628</v>
      </c>
      <c r="F3002" s="2" t="s">
        <v>2798</v>
      </c>
      <c r="G3002" s="72">
        <v>3.23992422E8</v>
      </c>
    </row>
    <row r="3003">
      <c r="A3003" s="2">
        <v>8.027829147E9</v>
      </c>
      <c r="B3003" s="72">
        <v>8.4121815E7</v>
      </c>
      <c r="C3003" s="74">
        <v>46234.71428598379</v>
      </c>
      <c r="D3003" s="2" t="s">
        <v>705</v>
      </c>
      <c r="F3003" s="2" t="s">
        <v>2799</v>
      </c>
      <c r="G3003" s="72">
        <v>3.32811594E8</v>
      </c>
    </row>
    <row r="3004">
      <c r="A3004" s="2">
        <v>8.027829147E9</v>
      </c>
      <c r="B3004" s="72">
        <v>8.4121815E7</v>
      </c>
      <c r="C3004" s="74">
        <v>46234.714539953704</v>
      </c>
      <c r="D3004" s="2" t="s">
        <v>705</v>
      </c>
      <c r="F3004" s="2" t="s">
        <v>2800</v>
      </c>
      <c r="G3004" s="72">
        <v>3.32811773E8</v>
      </c>
    </row>
    <row r="3005">
      <c r="A3005" s="2">
        <v>8.027829147E9</v>
      </c>
      <c r="B3005" s="72">
        <v>8.4121815E7</v>
      </c>
      <c r="C3005" s="74">
        <v>46234.82886391204</v>
      </c>
      <c r="D3005" s="2" t="s">
        <v>705</v>
      </c>
      <c r="F3005" s="2" t="s">
        <v>2801</v>
      </c>
      <c r="G3005" s="72">
        <v>3.32945024E8</v>
      </c>
    </row>
    <row r="3006">
      <c r="A3006" s="2">
        <v>8.027829147E9</v>
      </c>
      <c r="B3006" s="72">
        <v>8.4121815E7</v>
      </c>
      <c r="C3006" s="74">
        <v>46235.006423391205</v>
      </c>
      <c r="D3006" s="2" t="s">
        <v>705</v>
      </c>
      <c r="F3006" s="2" t="s">
        <v>2802</v>
      </c>
      <c r="G3006" s="72">
        <v>3.33148872E8</v>
      </c>
    </row>
    <row r="3007">
      <c r="A3007" s="2">
        <v>8.027829147E9</v>
      </c>
      <c r="B3007" s="72">
        <v>8.4121815E7</v>
      </c>
      <c r="C3007" s="74">
        <v>46234.8097537963</v>
      </c>
      <c r="D3007" s="2" t="s">
        <v>667</v>
      </c>
      <c r="E3007" s="2" t="s">
        <v>886</v>
      </c>
      <c r="F3007" s="2" t="s">
        <v>2803</v>
      </c>
      <c r="G3007" s="72">
        <v>3.32928542E8</v>
      </c>
    </row>
    <row r="3008">
      <c r="A3008" s="2">
        <v>8.027829147E9</v>
      </c>
      <c r="B3008" s="72">
        <v>8.4121815E7</v>
      </c>
      <c r="C3008" s="74">
        <v>46234.91874486111</v>
      </c>
      <c r="D3008" s="2" t="s">
        <v>667</v>
      </c>
      <c r="E3008" s="2" t="s">
        <v>886</v>
      </c>
      <c r="F3008" s="2" t="s">
        <v>2804</v>
      </c>
      <c r="G3008" s="72">
        <v>3.33055534E8</v>
      </c>
    </row>
    <row r="3009">
      <c r="A3009" s="2">
        <v>8.028553293E9</v>
      </c>
      <c r="B3009" s="72">
        <v>7.8573008E7</v>
      </c>
      <c r="C3009" s="74">
        <v>46205.960282430555</v>
      </c>
      <c r="D3009" s="2" t="s">
        <v>628</v>
      </c>
      <c r="F3009" s="2" t="s">
        <v>2805</v>
      </c>
      <c r="G3009" s="72">
        <v>3.13055294E8</v>
      </c>
    </row>
    <row r="3010">
      <c r="A3010" s="2">
        <v>8.028553293E9</v>
      </c>
      <c r="B3010" s="72">
        <v>7.8573008E7</v>
      </c>
      <c r="C3010" s="74">
        <v>46205.52137614583</v>
      </c>
      <c r="D3010" s="2" t="s">
        <v>628</v>
      </c>
      <c r="F3010" s="2" t="s">
        <v>1875</v>
      </c>
      <c r="G3010" s="72">
        <v>3.12608045E8</v>
      </c>
    </row>
    <row r="3011">
      <c r="A3011" s="2">
        <v>8.02881779E9</v>
      </c>
      <c r="B3011" s="72">
        <v>8.1991669E7</v>
      </c>
      <c r="C3011" s="74">
        <v>46227.54601518519</v>
      </c>
      <c r="D3011" s="2" t="s">
        <v>628</v>
      </c>
      <c r="F3011" s="2" t="s">
        <v>630</v>
      </c>
      <c r="G3011" s="72">
        <v>3.27656003E8</v>
      </c>
    </row>
    <row r="3012">
      <c r="A3012" s="2">
        <v>8.02881779E9</v>
      </c>
      <c r="B3012" s="72">
        <v>8.1991669E7</v>
      </c>
      <c r="C3012" s="74">
        <v>46226.73244925926</v>
      </c>
      <c r="D3012" s="2" t="s">
        <v>628</v>
      </c>
      <c r="F3012" s="2" t="s">
        <v>2258</v>
      </c>
      <c r="G3012" s="72">
        <v>3.27085008E8</v>
      </c>
    </row>
    <row r="3013">
      <c r="A3013" s="2">
        <v>8.02881779E9</v>
      </c>
      <c r="B3013" s="72">
        <v>8.1991669E7</v>
      </c>
      <c r="C3013" s="74">
        <v>46228.962111817134</v>
      </c>
      <c r="D3013" s="2" t="s">
        <v>628</v>
      </c>
      <c r="F3013" s="2" t="s">
        <v>2257</v>
      </c>
      <c r="G3013" s="72">
        <v>3.28871624E8</v>
      </c>
    </row>
    <row r="3014">
      <c r="A3014" s="2">
        <v>8.029529212E9</v>
      </c>
      <c r="B3014" s="72">
        <v>7.9727852E7</v>
      </c>
      <c r="C3014" s="74">
        <v>46212.79856761574</v>
      </c>
      <c r="D3014" s="2" t="s">
        <v>628</v>
      </c>
      <c r="F3014" s="2" t="s">
        <v>2446</v>
      </c>
      <c r="G3014" s="72">
        <v>3.17511576E8</v>
      </c>
    </row>
    <row r="3015">
      <c r="A3015" s="2">
        <v>8.029529212E9</v>
      </c>
      <c r="B3015" s="72">
        <v>7.9727852E7</v>
      </c>
      <c r="C3015" s="74">
        <v>46212.8063291088</v>
      </c>
      <c r="D3015" s="2" t="s">
        <v>705</v>
      </c>
      <c r="F3015" s="2" t="s">
        <v>2806</v>
      </c>
      <c r="G3015" s="72">
        <v>3.17514362E8</v>
      </c>
    </row>
    <row r="3016">
      <c r="A3016" s="2">
        <v>8.029529212E9</v>
      </c>
      <c r="B3016" s="72">
        <v>7.9727852E7</v>
      </c>
      <c r="C3016" s="74">
        <v>46213.960301053245</v>
      </c>
      <c r="D3016" s="2" t="s">
        <v>628</v>
      </c>
      <c r="F3016" s="2" t="s">
        <v>2413</v>
      </c>
      <c r="G3016" s="72">
        <v>3.18408012E8</v>
      </c>
    </row>
    <row r="3017">
      <c r="A3017" s="2">
        <v>8.029891386E9</v>
      </c>
      <c r="B3017" s="72">
        <v>8.2509622E7</v>
      </c>
      <c r="C3017" s="74">
        <v>46229.54451554398</v>
      </c>
      <c r="D3017" s="2" t="s">
        <v>628</v>
      </c>
      <c r="F3017" s="2" t="s">
        <v>630</v>
      </c>
      <c r="G3017" s="72">
        <v>3.29198151E8</v>
      </c>
    </row>
    <row r="3018">
      <c r="A3018" s="2">
        <v>8.029891386E9</v>
      </c>
      <c r="B3018" s="72">
        <v>8.2509622E7</v>
      </c>
      <c r="C3018" s="74">
        <v>46222.55934731482</v>
      </c>
      <c r="D3018" s="2" t="s">
        <v>705</v>
      </c>
      <c r="F3018" s="2" t="s">
        <v>2807</v>
      </c>
      <c r="G3018" s="72">
        <v>3.24367068E8</v>
      </c>
    </row>
    <row r="3019">
      <c r="A3019" s="2">
        <v>8.029891386E9</v>
      </c>
      <c r="B3019" s="72">
        <v>8.2509622E7</v>
      </c>
      <c r="C3019" s="74">
        <v>46229.959646539355</v>
      </c>
      <c r="D3019" s="2" t="s">
        <v>628</v>
      </c>
      <c r="F3019" s="2" t="s">
        <v>2808</v>
      </c>
      <c r="G3019" s="72">
        <v>3.29608627E8</v>
      </c>
    </row>
    <row r="3020">
      <c r="A3020" s="2">
        <v>8.029994072E9</v>
      </c>
      <c r="B3020" s="72">
        <v>8.0421282E7</v>
      </c>
      <c r="C3020" s="74">
        <v>46216.96001660879</v>
      </c>
      <c r="D3020" s="2" t="s">
        <v>628</v>
      </c>
      <c r="F3020" s="2" t="s">
        <v>1420</v>
      </c>
      <c r="G3020" s="72">
        <v>3.20483338E8</v>
      </c>
    </row>
    <row r="3021">
      <c r="A3021" s="2">
        <v>8.029994702E9</v>
      </c>
      <c r="B3021" s="72">
        <v>8.0470933E7</v>
      </c>
      <c r="C3021" s="74">
        <v>46217.667317245374</v>
      </c>
      <c r="D3021" s="2" t="s">
        <v>667</v>
      </c>
      <c r="E3021" s="2" t="s">
        <v>668</v>
      </c>
      <c r="F3021" s="2" t="s">
        <v>2809</v>
      </c>
      <c r="G3021" s="72">
        <v>3.20845527E8</v>
      </c>
    </row>
    <row r="3022">
      <c r="A3022" s="2">
        <v>8.029994702E9</v>
      </c>
      <c r="B3022" s="72">
        <v>8.0470933E7</v>
      </c>
      <c r="C3022" s="74">
        <v>46217.96008280093</v>
      </c>
      <c r="D3022" s="2" t="s">
        <v>628</v>
      </c>
      <c r="F3022" s="2" t="s">
        <v>1420</v>
      </c>
      <c r="G3022" s="72">
        <v>3.21112962E8</v>
      </c>
    </row>
    <row r="3023">
      <c r="A3023" s="2">
        <v>8.029994702E9</v>
      </c>
      <c r="B3023" s="72">
        <v>8.0470933E7</v>
      </c>
      <c r="C3023" s="74">
        <v>46217.518191111114</v>
      </c>
      <c r="D3023" s="2" t="s">
        <v>628</v>
      </c>
      <c r="F3023" s="2" t="s">
        <v>1419</v>
      </c>
      <c r="G3023" s="72">
        <v>3.20705741E8</v>
      </c>
    </row>
    <row r="3024">
      <c r="A3024" s="2">
        <v>8.043140243E9</v>
      </c>
      <c r="B3024" s="72">
        <v>7.9354597E7</v>
      </c>
      <c r="C3024" s="74">
        <v>46213.96083127314</v>
      </c>
      <c r="D3024" s="2" t="s">
        <v>628</v>
      </c>
      <c r="F3024" s="2" t="s">
        <v>1262</v>
      </c>
      <c r="G3024" s="72">
        <v>3.18409645E8</v>
      </c>
    </row>
    <row r="3025">
      <c r="A3025" s="2">
        <v>8.043140243E9</v>
      </c>
      <c r="C3025" s="74">
        <v>46208.75281326388</v>
      </c>
      <c r="D3025" s="2" t="s">
        <v>628</v>
      </c>
      <c r="F3025" s="2" t="s">
        <v>1263</v>
      </c>
      <c r="G3025" s="72">
        <v>3.14998157E8</v>
      </c>
    </row>
    <row r="3026">
      <c r="A3026" s="2">
        <v>8.043140243E9</v>
      </c>
      <c r="B3026" s="72">
        <v>7.9354597E7</v>
      </c>
      <c r="C3026" s="74">
        <v>46210.54451922454</v>
      </c>
      <c r="D3026" s="2" t="s">
        <v>628</v>
      </c>
      <c r="F3026" s="2" t="s">
        <v>630</v>
      </c>
      <c r="G3026" s="72">
        <v>3.16024033E8</v>
      </c>
    </row>
    <row r="3027">
      <c r="A3027" s="2">
        <v>8.192475332E9</v>
      </c>
      <c r="B3027" s="72">
        <v>8.4019418E7</v>
      </c>
      <c r="C3027" s="74">
        <v>46234.46502347222</v>
      </c>
      <c r="D3027" s="2" t="s">
        <v>667</v>
      </c>
      <c r="E3027" s="2" t="s">
        <v>668</v>
      </c>
      <c r="F3027" s="2" t="s">
        <v>2810</v>
      </c>
      <c r="G3027" s="72">
        <v>3.32511651E8</v>
      </c>
    </row>
    <row r="3028">
      <c r="A3028" s="2">
        <v>8.192475332E9</v>
      </c>
      <c r="B3028" s="72">
        <v>8.4019418E7</v>
      </c>
      <c r="C3028" s="74">
        <v>46234.101085277776</v>
      </c>
      <c r="D3028" s="2" t="s">
        <v>705</v>
      </c>
      <c r="F3028" s="2" t="s">
        <v>2811</v>
      </c>
      <c r="G3028" s="72">
        <v>3.32411846E8</v>
      </c>
    </row>
    <row r="3029">
      <c r="A3029" s="2">
        <v>8.192475332E9</v>
      </c>
      <c r="B3029" s="72">
        <v>8.4019418E7</v>
      </c>
      <c r="C3029" s="74">
        <v>46234.54442337963</v>
      </c>
      <c r="D3029" s="2" t="s">
        <v>705</v>
      </c>
      <c r="F3029" s="2" t="s">
        <v>2812</v>
      </c>
      <c r="G3029" s="72">
        <v>3.32609684E8</v>
      </c>
    </row>
    <row r="3030">
      <c r="A3030" s="2">
        <v>8.193429657E9</v>
      </c>
      <c r="B3030" s="72">
        <v>8.2271258E7</v>
      </c>
      <c r="C3030" s="74">
        <v>46227.95982055555</v>
      </c>
      <c r="D3030" s="2" t="s">
        <v>628</v>
      </c>
      <c r="F3030" s="2" t="s">
        <v>2813</v>
      </c>
      <c r="G3030" s="72">
        <v>3.28115435E8</v>
      </c>
    </row>
    <row r="3031">
      <c r="A3031" s="2">
        <v>8.193496746E9</v>
      </c>
      <c r="B3031" s="72">
        <v>8.2973501E7</v>
      </c>
      <c r="C3031" s="74">
        <v>46232.959795092596</v>
      </c>
      <c r="D3031" s="2" t="s">
        <v>628</v>
      </c>
      <c r="F3031" s="2" t="s">
        <v>660</v>
      </c>
      <c r="G3031" s="72">
        <v>3.31583232E8</v>
      </c>
    </row>
    <row r="3032">
      <c r="A3032" s="2">
        <v>8.193496746E9</v>
      </c>
      <c r="B3032" s="72">
        <v>8.2973501E7</v>
      </c>
      <c r="C3032" s="74">
        <v>46232.54280674769</v>
      </c>
      <c r="D3032" s="2" t="s">
        <v>628</v>
      </c>
      <c r="F3032" s="2" t="s">
        <v>630</v>
      </c>
      <c r="G3032" s="72">
        <v>3.31159774E8</v>
      </c>
    </row>
    <row r="3033">
      <c r="A3033" s="2">
        <v>8.195705134E9</v>
      </c>
      <c r="B3033" s="72">
        <v>1.183132E7</v>
      </c>
      <c r="C3033" s="74">
        <v>46227.90932841435</v>
      </c>
      <c r="D3033" s="2" t="s">
        <v>628</v>
      </c>
      <c r="F3033" s="2" t="s">
        <v>2814</v>
      </c>
      <c r="G3033" s="72">
        <v>3.28063265E8</v>
      </c>
    </row>
    <row r="3034">
      <c r="A3034" s="2">
        <v>8.195705134E9</v>
      </c>
      <c r="B3034" s="72">
        <v>1.183132E7</v>
      </c>
      <c r="C3034" s="74">
        <v>46229.54462564815</v>
      </c>
      <c r="D3034" s="2" t="s">
        <v>628</v>
      </c>
      <c r="F3034" s="2" t="s">
        <v>630</v>
      </c>
      <c r="G3034" s="72">
        <v>3.29199793E8</v>
      </c>
    </row>
    <row r="3035">
      <c r="A3035" s="2">
        <v>8.195705134E9</v>
      </c>
      <c r="B3035" s="72">
        <v>1.183132E7</v>
      </c>
      <c r="C3035" s="74">
        <v>46229.95971401621</v>
      </c>
      <c r="D3035" s="2" t="s">
        <v>628</v>
      </c>
      <c r="F3035" s="2" t="s">
        <v>2815</v>
      </c>
      <c r="G3035" s="72">
        <v>3.29608773E8</v>
      </c>
    </row>
    <row r="3036">
      <c r="A3036" s="2">
        <v>8.199670806E9</v>
      </c>
      <c r="B3036" s="72">
        <v>8.1347556E7</v>
      </c>
      <c r="C3036" s="74">
        <v>46222.96191269676</v>
      </c>
      <c r="D3036" s="2" t="s">
        <v>628</v>
      </c>
      <c r="F3036" s="2" t="s">
        <v>2277</v>
      </c>
      <c r="G3036" s="72">
        <v>3.24729327E8</v>
      </c>
    </row>
    <row r="3037">
      <c r="A3037" s="2">
        <v>8.199670806E9</v>
      </c>
      <c r="B3037" s="72">
        <v>8.1347556E7</v>
      </c>
      <c r="C3037" s="74">
        <v>46222.54554893519</v>
      </c>
      <c r="D3037" s="2" t="s">
        <v>628</v>
      </c>
      <c r="F3037" s="2" t="s">
        <v>630</v>
      </c>
      <c r="G3037" s="72">
        <v>3.24356602E8</v>
      </c>
    </row>
    <row r="3038">
      <c r="A3038" s="2">
        <v>8.199932203E9</v>
      </c>
      <c r="B3038" s="72">
        <v>8.1484404E7</v>
      </c>
      <c r="C3038" s="74">
        <v>46223.54374677083</v>
      </c>
      <c r="D3038" s="2" t="s">
        <v>628</v>
      </c>
      <c r="F3038" s="2" t="s">
        <v>630</v>
      </c>
      <c r="G3038" s="72">
        <v>3.24970323E8</v>
      </c>
    </row>
    <row r="3039">
      <c r="A3039" s="2">
        <v>8.199932203E9</v>
      </c>
      <c r="B3039" s="72">
        <v>8.1484404E7</v>
      </c>
      <c r="C3039" s="74">
        <v>46224.95987994213</v>
      </c>
      <c r="D3039" s="2" t="s">
        <v>628</v>
      </c>
      <c r="F3039" s="2" t="s">
        <v>2816</v>
      </c>
      <c r="G3039" s="72">
        <v>3.25985855E8</v>
      </c>
    </row>
    <row r="3040">
      <c r="A3040" s="2" t="s">
        <v>2817</v>
      </c>
      <c r="B3040" s="72">
        <v>4.0868029E7</v>
      </c>
      <c r="C3040" s="74">
        <v>46212.54416821759</v>
      </c>
      <c r="D3040" s="2" t="s">
        <v>628</v>
      </c>
      <c r="F3040" s="2" t="s">
        <v>630</v>
      </c>
      <c r="G3040" s="72">
        <v>3.17241546E8</v>
      </c>
    </row>
    <row r="3041">
      <c r="A3041" s="2" t="s">
        <v>2817</v>
      </c>
      <c r="B3041" s="72">
        <v>4.0868029E7</v>
      </c>
      <c r="C3041" s="74">
        <v>46211.57668711805</v>
      </c>
      <c r="D3041" s="2" t="s">
        <v>628</v>
      </c>
      <c r="F3041" s="2" t="s">
        <v>2818</v>
      </c>
      <c r="G3041" s="72">
        <v>3.16639009E8</v>
      </c>
    </row>
    <row r="3042">
      <c r="A3042" s="2" t="s">
        <v>2817</v>
      </c>
      <c r="B3042" s="72">
        <v>4.0868029E7</v>
      </c>
      <c r="C3042" s="74">
        <v>46212.96011976852</v>
      </c>
      <c r="D3042" s="2" t="s">
        <v>628</v>
      </c>
      <c r="F3042" s="2" t="s">
        <v>2819</v>
      </c>
      <c r="G3042" s="72">
        <v>3.1765821E8</v>
      </c>
    </row>
    <row r="3043">
      <c r="A3043" s="2" t="s">
        <v>2817</v>
      </c>
      <c r="B3043" s="72">
        <v>4.0868029E7</v>
      </c>
      <c r="C3043" s="74">
        <v>46211.59526800926</v>
      </c>
      <c r="D3043" s="2" t="s">
        <v>705</v>
      </c>
      <c r="F3043" s="2" t="s">
        <v>2820</v>
      </c>
      <c r="G3043" s="72">
        <v>3.16676557E8</v>
      </c>
    </row>
    <row r="3044">
      <c r="A3044" s="2">
        <v>8.382024266E9</v>
      </c>
      <c r="B3044" s="72">
        <v>8.3380508E7</v>
      </c>
      <c r="C3044" s="74">
        <v>46234.7509505787</v>
      </c>
      <c r="D3044" s="2" t="s">
        <v>628</v>
      </c>
      <c r="F3044" s="2" t="s">
        <v>1385</v>
      </c>
      <c r="G3044" s="72">
        <v>3.32835942E8</v>
      </c>
    </row>
    <row r="3045">
      <c r="A3045" s="2">
        <v>8.458003682E9</v>
      </c>
      <c r="B3045" s="72">
        <v>3.8993592E7</v>
      </c>
      <c r="C3045" s="74">
        <v>46234.75393284722</v>
      </c>
      <c r="D3045" s="2" t="s">
        <v>628</v>
      </c>
      <c r="F3045" s="2" t="s">
        <v>2821</v>
      </c>
      <c r="G3045" s="72">
        <v>3.32854283E8</v>
      </c>
    </row>
    <row r="3046">
      <c r="A3046" s="2">
        <v>8.572889296E9</v>
      </c>
      <c r="C3046" s="74">
        <v>46205.75258414352</v>
      </c>
      <c r="D3046" s="2" t="s">
        <v>628</v>
      </c>
      <c r="F3046" s="2" t="s">
        <v>2595</v>
      </c>
      <c r="G3046" s="72">
        <v>3.12830351E8</v>
      </c>
    </row>
    <row r="3047">
      <c r="A3047" s="2">
        <v>8.572889296E9</v>
      </c>
      <c r="C3047" s="74">
        <v>46205.75297128472</v>
      </c>
      <c r="D3047" s="2" t="s">
        <v>628</v>
      </c>
      <c r="F3047" s="2" t="s">
        <v>2595</v>
      </c>
      <c r="G3047" s="72">
        <v>3.12835088E8</v>
      </c>
    </row>
    <row r="3048">
      <c r="A3048" s="2">
        <v>8.572889296E9</v>
      </c>
      <c r="C3048" s="74">
        <v>46204.753215370365</v>
      </c>
      <c r="D3048" s="2" t="s">
        <v>628</v>
      </c>
      <c r="F3048" s="2" t="s">
        <v>2595</v>
      </c>
      <c r="G3048" s="72">
        <v>3.12194554E8</v>
      </c>
    </row>
    <row r="3049">
      <c r="A3049" s="2">
        <v>8.57312933E9</v>
      </c>
      <c r="B3049" s="72">
        <v>3.7231536E7</v>
      </c>
      <c r="C3049" s="74">
        <v>46221.54330363426</v>
      </c>
      <c r="D3049" s="2" t="s">
        <v>628</v>
      </c>
      <c r="F3049" s="2" t="s">
        <v>630</v>
      </c>
      <c r="G3049" s="72">
        <v>3.2353482E8</v>
      </c>
    </row>
    <row r="3050">
      <c r="A3050" s="2">
        <v>8.57312933E9</v>
      </c>
      <c r="B3050" s="72">
        <v>3.7231536E7</v>
      </c>
      <c r="C3050" s="74">
        <v>46221.96024684027</v>
      </c>
      <c r="D3050" s="2" t="s">
        <v>628</v>
      </c>
      <c r="F3050" s="2" t="s">
        <v>2822</v>
      </c>
      <c r="G3050" s="72">
        <v>3.23994151E8</v>
      </c>
    </row>
    <row r="3051">
      <c r="A3051" s="2">
        <v>8.57312933E9</v>
      </c>
      <c r="C3051" s="74">
        <v>46219.75203109954</v>
      </c>
      <c r="D3051" s="2" t="s">
        <v>628</v>
      </c>
      <c r="F3051" s="2" t="s">
        <v>2823</v>
      </c>
      <c r="G3051" s="72">
        <v>3.22240373E8</v>
      </c>
    </row>
    <row r="3052">
      <c r="A3052" s="2">
        <v>8.574456291E9</v>
      </c>
      <c r="B3052" s="72">
        <v>7.8791278E7</v>
      </c>
      <c r="C3052" s="74">
        <v>46206.708011215276</v>
      </c>
      <c r="D3052" s="2" t="s">
        <v>628</v>
      </c>
      <c r="F3052" s="2" t="s">
        <v>2824</v>
      </c>
      <c r="G3052" s="72">
        <v>3.13516979E8</v>
      </c>
    </row>
    <row r="3053">
      <c r="A3053" s="2">
        <v>8.574456291E9</v>
      </c>
      <c r="B3053" s="72">
        <v>7.8791278E7</v>
      </c>
      <c r="C3053" s="74">
        <v>46207.54272965278</v>
      </c>
      <c r="D3053" s="2" t="s">
        <v>628</v>
      </c>
      <c r="F3053" s="2" t="s">
        <v>630</v>
      </c>
      <c r="G3053" s="72">
        <v>3.14060331E8</v>
      </c>
    </row>
    <row r="3054">
      <c r="A3054" s="2">
        <v>8.574456291E9</v>
      </c>
      <c r="B3054" s="72">
        <v>7.8791278E7</v>
      </c>
      <c r="C3054" s="74">
        <v>46207.9593627662</v>
      </c>
      <c r="D3054" s="2" t="s">
        <v>628</v>
      </c>
      <c r="F3054" s="2" t="s">
        <v>2825</v>
      </c>
      <c r="G3054" s="72">
        <v>3.14475183E8</v>
      </c>
    </row>
    <row r="3055">
      <c r="A3055" s="2">
        <v>8.594945045E9</v>
      </c>
      <c r="B3055" s="72">
        <v>7.8421454E7</v>
      </c>
      <c r="C3055" s="74">
        <v>46204.95956537037</v>
      </c>
      <c r="D3055" s="2" t="s">
        <v>628</v>
      </c>
      <c r="F3055" s="2" t="s">
        <v>2826</v>
      </c>
      <c r="G3055" s="72">
        <v>3.12379483E8</v>
      </c>
    </row>
    <row r="3056">
      <c r="A3056" s="2">
        <v>8.594945045E9</v>
      </c>
      <c r="B3056" s="72">
        <v>7.8421454E7</v>
      </c>
      <c r="C3056" s="74">
        <v>46204.54361199074</v>
      </c>
      <c r="D3056" s="2" t="s">
        <v>628</v>
      </c>
      <c r="F3056" s="2" t="s">
        <v>630</v>
      </c>
      <c r="G3056" s="72">
        <v>3.1200148E8</v>
      </c>
    </row>
    <row r="3057">
      <c r="A3057" s="2">
        <v>8.602875194E9</v>
      </c>
      <c r="B3057" s="72">
        <v>8.1952175E7</v>
      </c>
      <c r="C3057" s="74">
        <v>46226.95962159723</v>
      </c>
      <c r="D3057" s="2" t="s">
        <v>628</v>
      </c>
      <c r="F3057" s="2" t="s">
        <v>1543</v>
      </c>
      <c r="G3057" s="72">
        <v>3.27335037E8</v>
      </c>
    </row>
    <row r="3058">
      <c r="A3058" s="2">
        <v>8.602875194E9</v>
      </c>
      <c r="B3058" s="72">
        <v>8.1952175E7</v>
      </c>
      <c r="C3058" s="74">
        <v>46225.517214583335</v>
      </c>
      <c r="D3058" s="2" t="s">
        <v>628</v>
      </c>
      <c r="F3058" s="2" t="s">
        <v>1544</v>
      </c>
      <c r="G3058" s="72">
        <v>3.26206993E8</v>
      </c>
    </row>
    <row r="3059">
      <c r="A3059" s="2">
        <v>8.602875194E9</v>
      </c>
      <c r="B3059" s="72">
        <v>8.1952175E7</v>
      </c>
      <c r="C3059" s="74">
        <v>46226.54340045139</v>
      </c>
      <c r="D3059" s="2" t="s">
        <v>628</v>
      </c>
      <c r="F3059" s="2" t="s">
        <v>630</v>
      </c>
      <c r="G3059" s="72">
        <v>3.26885768E8</v>
      </c>
    </row>
    <row r="3060">
      <c r="A3060" s="2">
        <v>8.603021437E9</v>
      </c>
      <c r="B3060" s="72">
        <v>7.8281887E7</v>
      </c>
      <c r="C3060" s="74">
        <v>46204.96011969907</v>
      </c>
      <c r="D3060" s="2" t="s">
        <v>628</v>
      </c>
      <c r="F3060" s="2" t="s">
        <v>2723</v>
      </c>
      <c r="G3060" s="72">
        <v>3.12381487E8</v>
      </c>
    </row>
    <row r="3061">
      <c r="A3061" s="2">
        <v>8.603021863E9</v>
      </c>
      <c r="C3061" s="74">
        <v>46222.75310922453</v>
      </c>
      <c r="D3061" s="2" t="s">
        <v>628</v>
      </c>
      <c r="F3061" s="2" t="s">
        <v>1143</v>
      </c>
      <c r="G3061" s="72">
        <v>3.24549083E8</v>
      </c>
    </row>
    <row r="3062">
      <c r="A3062" s="2">
        <v>8.603021863E9</v>
      </c>
      <c r="B3062" s="72">
        <v>8.1639903E7</v>
      </c>
      <c r="C3062" s="74">
        <v>46224.9611655787</v>
      </c>
      <c r="D3062" s="2" t="s">
        <v>628</v>
      </c>
      <c r="F3062" s="2" t="s">
        <v>1146</v>
      </c>
      <c r="G3062" s="72">
        <v>3.25989732E8</v>
      </c>
    </row>
    <row r="3063">
      <c r="A3063" s="2">
        <v>8.603021863E9</v>
      </c>
      <c r="B3063" s="72">
        <v>8.1639903E7</v>
      </c>
      <c r="C3063" s="74">
        <v>46224.54442542824</v>
      </c>
      <c r="D3063" s="2" t="s">
        <v>628</v>
      </c>
      <c r="F3063" s="2" t="s">
        <v>630</v>
      </c>
      <c r="G3063" s="72">
        <v>3.25614171E8</v>
      </c>
    </row>
    <row r="3064">
      <c r="A3064" s="2">
        <v>8.603361532E9</v>
      </c>
      <c r="B3064" s="72">
        <v>8.0825433E7</v>
      </c>
      <c r="C3064" s="74">
        <v>46220.54615193287</v>
      </c>
      <c r="D3064" s="2" t="s">
        <v>628</v>
      </c>
      <c r="F3064" s="2" t="s">
        <v>630</v>
      </c>
      <c r="G3064" s="72">
        <v>3.22795492E8</v>
      </c>
    </row>
    <row r="3065">
      <c r="A3065" s="2">
        <v>8.603361532E9</v>
      </c>
      <c r="B3065" s="72">
        <v>8.0825433E7</v>
      </c>
      <c r="C3065" s="74">
        <v>46219.68977409722</v>
      </c>
      <c r="D3065" s="2" t="s">
        <v>628</v>
      </c>
      <c r="F3065" s="2" t="s">
        <v>2271</v>
      </c>
      <c r="G3065" s="72">
        <v>3.22195781E8</v>
      </c>
    </row>
    <row r="3066">
      <c r="A3066" s="2">
        <v>8.603361532E9</v>
      </c>
      <c r="B3066" s="72">
        <v>8.0825433E7</v>
      </c>
      <c r="C3066" s="74">
        <v>46221.96182134259</v>
      </c>
      <c r="D3066" s="2" t="s">
        <v>628</v>
      </c>
      <c r="F3066" s="2" t="s">
        <v>2272</v>
      </c>
      <c r="G3066" s="72">
        <v>3.24002524E8</v>
      </c>
    </row>
    <row r="3067">
      <c r="A3067" s="2">
        <v>8.603833237E9</v>
      </c>
      <c r="C3067" s="74">
        <v>46228.75206645833</v>
      </c>
      <c r="D3067" s="2" t="s">
        <v>628</v>
      </c>
      <c r="F3067" s="2" t="s">
        <v>1943</v>
      </c>
      <c r="G3067" s="72">
        <v>3.28642897E8</v>
      </c>
    </row>
    <row r="3068">
      <c r="A3068" s="2">
        <v>8.603833237E9</v>
      </c>
      <c r="B3068" s="72">
        <v>8.2653051E7</v>
      </c>
      <c r="C3068" s="74">
        <v>46230.544204641206</v>
      </c>
      <c r="D3068" s="2" t="s">
        <v>628</v>
      </c>
      <c r="F3068" s="2" t="s">
        <v>630</v>
      </c>
      <c r="G3068" s="72">
        <v>3.29854441E8</v>
      </c>
    </row>
    <row r="3069">
      <c r="A3069" s="2">
        <v>8.603833237E9</v>
      </c>
      <c r="B3069" s="72">
        <v>8.2653051E7</v>
      </c>
      <c r="C3069" s="74">
        <v>46230.960529814816</v>
      </c>
      <c r="D3069" s="2" t="s">
        <v>628</v>
      </c>
      <c r="F3069" s="2" t="s">
        <v>1942</v>
      </c>
      <c r="G3069" s="72">
        <v>3.30269731E8</v>
      </c>
    </row>
    <row r="3070">
      <c r="A3070" s="2">
        <v>8.604057387E9</v>
      </c>
      <c r="B3070" s="72">
        <v>3.6236221E7</v>
      </c>
      <c r="C3070" s="74">
        <v>46220.96008081018</v>
      </c>
      <c r="D3070" s="2" t="s">
        <v>628</v>
      </c>
      <c r="F3070" s="2" t="s">
        <v>648</v>
      </c>
      <c r="G3070" s="72">
        <v>3.23243504E8</v>
      </c>
    </row>
    <row r="3071">
      <c r="A3071" s="2">
        <v>8.604057387E9</v>
      </c>
      <c r="C3071" s="74">
        <v>46219.752367395835</v>
      </c>
      <c r="D3071" s="2" t="s">
        <v>628</v>
      </c>
      <c r="F3071" s="2" t="s">
        <v>647</v>
      </c>
      <c r="G3071" s="72">
        <v>3.22242624E8</v>
      </c>
    </row>
    <row r="3072">
      <c r="A3072" s="2">
        <v>8.604588574E9</v>
      </c>
      <c r="B3072" s="72">
        <v>8.2651109E7</v>
      </c>
      <c r="C3072" s="74">
        <v>46231.544645092596</v>
      </c>
      <c r="D3072" s="2" t="s">
        <v>628</v>
      </c>
      <c r="F3072" s="2" t="s">
        <v>630</v>
      </c>
      <c r="G3072" s="72">
        <v>3.30533041E8</v>
      </c>
    </row>
    <row r="3073">
      <c r="A3073" s="2">
        <v>8.604588574E9</v>
      </c>
      <c r="B3073" s="72">
        <v>8.2651109E7</v>
      </c>
      <c r="C3073" s="74">
        <v>46230.54034071759</v>
      </c>
      <c r="D3073" s="2" t="s">
        <v>628</v>
      </c>
      <c r="F3073" s="2" t="s">
        <v>2827</v>
      </c>
      <c r="G3073" s="72">
        <v>3.29842443E8</v>
      </c>
    </row>
    <row r="3074">
      <c r="A3074" s="2">
        <v>8.604588574E9</v>
      </c>
      <c r="B3074" s="72">
        <v>8.2651109E7</v>
      </c>
      <c r="C3074" s="74">
        <v>46231.96136784722</v>
      </c>
      <c r="D3074" s="2" t="s">
        <v>628</v>
      </c>
      <c r="F3074" s="2" t="s">
        <v>2828</v>
      </c>
      <c r="G3074" s="72">
        <v>3.30920416E8</v>
      </c>
    </row>
    <row r="3075">
      <c r="A3075" s="2">
        <v>8.60471266E9</v>
      </c>
      <c r="B3075" s="72">
        <v>8.0752517E7</v>
      </c>
      <c r="C3075" s="74">
        <v>46219.01184550926</v>
      </c>
      <c r="D3075" s="2" t="s">
        <v>628</v>
      </c>
      <c r="F3075" s="2" t="s">
        <v>1567</v>
      </c>
      <c r="G3075" s="72">
        <v>3.21816467E8</v>
      </c>
    </row>
    <row r="3076">
      <c r="A3076" s="2">
        <v>8.604902524E9</v>
      </c>
      <c r="B3076" s="72">
        <v>8.2386138E7</v>
      </c>
      <c r="C3076" s="74">
        <v>46232.900350254626</v>
      </c>
      <c r="D3076" s="2" t="s">
        <v>667</v>
      </c>
      <c r="E3076" s="2" t="s">
        <v>1332</v>
      </c>
      <c r="F3076" s="2" t="s">
        <v>2829</v>
      </c>
      <c r="G3076" s="72">
        <v>3.31533827E8</v>
      </c>
    </row>
    <row r="3077">
      <c r="A3077" s="2">
        <v>8.604902524E9</v>
      </c>
      <c r="B3077" s="72">
        <v>8.2386138E7</v>
      </c>
      <c r="C3077" s="74">
        <v>46232.90005607639</v>
      </c>
      <c r="D3077" s="2" t="s">
        <v>667</v>
      </c>
      <c r="E3077" s="2" t="s">
        <v>1332</v>
      </c>
      <c r="F3077" s="2" t="s">
        <v>2830</v>
      </c>
      <c r="G3077" s="72">
        <v>3.31533616E8</v>
      </c>
    </row>
    <row r="3078">
      <c r="A3078" s="2">
        <v>8.604902524E9</v>
      </c>
      <c r="B3078" s="72">
        <v>8.2386138E7</v>
      </c>
      <c r="C3078" s="74">
        <v>46232.90023270833</v>
      </c>
      <c r="D3078" s="2" t="s">
        <v>705</v>
      </c>
      <c r="F3078" s="2" t="s">
        <v>2831</v>
      </c>
      <c r="G3078" s="72">
        <v>3.31533749E8</v>
      </c>
    </row>
    <row r="3079">
      <c r="A3079" s="2">
        <v>8.604902524E9</v>
      </c>
      <c r="B3079" s="72">
        <v>8.2386138E7</v>
      </c>
      <c r="C3079" s="74">
        <v>46232.899588263885</v>
      </c>
      <c r="D3079" s="2" t="s">
        <v>667</v>
      </c>
      <c r="E3079" s="2" t="s">
        <v>1332</v>
      </c>
      <c r="F3079" s="2" t="s">
        <v>2832</v>
      </c>
      <c r="G3079" s="72">
        <v>3.31533298E8</v>
      </c>
    </row>
    <row r="3080">
      <c r="A3080" s="2">
        <v>8.604902524E9</v>
      </c>
      <c r="B3080" s="72">
        <v>8.2386138E7</v>
      </c>
      <c r="C3080" s="74">
        <v>46232.96166260417</v>
      </c>
      <c r="D3080" s="2" t="s">
        <v>628</v>
      </c>
      <c r="F3080" s="2" t="s">
        <v>1116</v>
      </c>
      <c r="G3080" s="72">
        <v>3.31589553E8</v>
      </c>
    </row>
    <row r="3081">
      <c r="A3081" s="2">
        <v>8.604902524E9</v>
      </c>
      <c r="B3081" s="72">
        <v>8.2386138E7</v>
      </c>
      <c r="C3081" s="74">
        <v>46228.7530597338</v>
      </c>
      <c r="D3081" s="2" t="s">
        <v>628</v>
      </c>
      <c r="F3081" s="2" t="s">
        <v>2833</v>
      </c>
      <c r="G3081" s="72">
        <v>3.28649311E8</v>
      </c>
    </row>
    <row r="3082">
      <c r="A3082" s="2">
        <v>8.604902524E9</v>
      </c>
      <c r="B3082" s="72">
        <v>8.2386138E7</v>
      </c>
      <c r="C3082" s="74">
        <v>46230.54607440972</v>
      </c>
      <c r="D3082" s="2" t="s">
        <v>628</v>
      </c>
      <c r="F3082" s="2" t="s">
        <v>630</v>
      </c>
      <c r="G3082" s="72">
        <v>3.29883385E8</v>
      </c>
    </row>
    <row r="3083">
      <c r="A3083" s="2">
        <v>8.604902524E9</v>
      </c>
      <c r="B3083" s="72">
        <v>8.2386138E7</v>
      </c>
      <c r="C3083" s="74">
        <v>46232.90047883102</v>
      </c>
      <c r="D3083" s="2" t="s">
        <v>705</v>
      </c>
      <c r="F3083" s="2" t="s">
        <v>742</v>
      </c>
      <c r="G3083" s="72">
        <v>3.31533912E8</v>
      </c>
    </row>
    <row r="3084">
      <c r="A3084" s="2">
        <v>8.604902524E9</v>
      </c>
      <c r="B3084" s="72">
        <v>8.2386138E7</v>
      </c>
      <c r="C3084" s="74">
        <v>46232.872962361114</v>
      </c>
      <c r="D3084" s="2" t="s">
        <v>705</v>
      </c>
      <c r="F3084" s="2" t="s">
        <v>2834</v>
      </c>
      <c r="G3084" s="72">
        <v>3.31502089E8</v>
      </c>
    </row>
    <row r="3085">
      <c r="A3085" s="2">
        <v>8.604902524E9</v>
      </c>
      <c r="B3085" s="72">
        <v>8.2386138E7</v>
      </c>
      <c r="C3085" s="74">
        <v>46232.89986967592</v>
      </c>
      <c r="D3085" s="2" t="s">
        <v>705</v>
      </c>
      <c r="F3085" s="2" t="s">
        <v>2831</v>
      </c>
      <c r="G3085" s="72">
        <v>3.31533491E8</v>
      </c>
    </row>
    <row r="3086">
      <c r="A3086" s="2">
        <v>8.605084668E9</v>
      </c>
      <c r="B3086" s="72">
        <v>8.2675477E7</v>
      </c>
      <c r="C3086" s="74">
        <v>46232.95919444444</v>
      </c>
      <c r="D3086" s="2" t="s">
        <v>628</v>
      </c>
      <c r="F3086" s="2" t="s">
        <v>1180</v>
      </c>
      <c r="G3086" s="72">
        <v>3.31581478E8</v>
      </c>
    </row>
    <row r="3087">
      <c r="A3087" s="2">
        <v>8.605084668E9</v>
      </c>
      <c r="B3087" s="72">
        <v>8.2675477E7</v>
      </c>
      <c r="C3087" s="74">
        <v>46231.5426646875</v>
      </c>
      <c r="D3087" s="2" t="s">
        <v>628</v>
      </c>
      <c r="F3087" s="2" t="s">
        <v>630</v>
      </c>
      <c r="G3087" s="72">
        <v>3.30508531E8</v>
      </c>
    </row>
    <row r="3088">
      <c r="A3088" s="2">
        <v>8.605084668E9</v>
      </c>
      <c r="B3088" s="72">
        <v>8.2675477E7</v>
      </c>
      <c r="C3088" s="74">
        <v>46230.64488628472</v>
      </c>
      <c r="D3088" s="2" t="s">
        <v>628</v>
      </c>
      <c r="F3088" s="2" t="s">
        <v>1181</v>
      </c>
      <c r="G3088" s="72">
        <v>3.29981943E8</v>
      </c>
    </row>
    <row r="3089">
      <c r="A3089" s="2">
        <v>8.605108771E9</v>
      </c>
      <c r="B3089" s="72">
        <v>8.2186738E7</v>
      </c>
      <c r="C3089" s="74">
        <v>46229.54294576389</v>
      </c>
      <c r="D3089" s="2" t="s">
        <v>628</v>
      </c>
      <c r="F3089" s="2" t="s">
        <v>630</v>
      </c>
      <c r="G3089" s="72">
        <v>3.29188273E8</v>
      </c>
    </row>
    <row r="3090">
      <c r="A3090" s="2">
        <v>8.605108771E9</v>
      </c>
      <c r="B3090" s="72">
        <v>8.2186738E7</v>
      </c>
      <c r="C3090" s="74">
        <v>46229.958850243056</v>
      </c>
      <c r="D3090" s="2" t="s">
        <v>628</v>
      </c>
      <c r="F3090" s="2" t="s">
        <v>2835</v>
      </c>
      <c r="G3090" s="72">
        <v>3.29607217E8</v>
      </c>
    </row>
    <row r="3091">
      <c r="A3091" s="2">
        <v>8.605108771E9</v>
      </c>
      <c r="B3091" s="72">
        <v>8.2186738E7</v>
      </c>
      <c r="C3091" s="74">
        <v>46227.75102840278</v>
      </c>
      <c r="D3091" s="2" t="s">
        <v>628</v>
      </c>
      <c r="F3091" s="2" t="s">
        <v>2836</v>
      </c>
      <c r="G3091" s="72">
        <v>3.2786236E8</v>
      </c>
    </row>
    <row r="3092">
      <c r="A3092" s="2">
        <v>8.605581263E9</v>
      </c>
      <c r="B3092" s="72">
        <v>8.1483954E7</v>
      </c>
      <c r="C3092" s="74">
        <v>46224.95970493056</v>
      </c>
      <c r="D3092" s="2" t="s">
        <v>628</v>
      </c>
      <c r="F3092" s="2" t="s">
        <v>709</v>
      </c>
      <c r="G3092" s="72">
        <v>3.25985364E8</v>
      </c>
    </row>
    <row r="3093">
      <c r="A3093" s="2">
        <v>8.605581263E9</v>
      </c>
      <c r="B3093" s="72">
        <v>8.1483954E7</v>
      </c>
      <c r="C3093" s="74">
        <v>46223.543539907405</v>
      </c>
      <c r="D3093" s="2" t="s">
        <v>628</v>
      </c>
      <c r="F3093" s="2" t="s">
        <v>630</v>
      </c>
      <c r="G3093" s="72">
        <v>3.24967374E8</v>
      </c>
    </row>
    <row r="3094">
      <c r="A3094" s="2">
        <v>8.605598386E9</v>
      </c>
      <c r="B3094" s="72">
        <v>3.7229204E7</v>
      </c>
      <c r="C3094" s="74">
        <v>46221.95953327546</v>
      </c>
      <c r="D3094" s="2" t="s">
        <v>628</v>
      </c>
      <c r="F3094" s="2" t="s">
        <v>2837</v>
      </c>
      <c r="G3094" s="72">
        <v>3.23989907E8</v>
      </c>
    </row>
    <row r="3095">
      <c r="A3095" s="2">
        <v>8.605598386E9</v>
      </c>
      <c r="B3095" s="72">
        <v>3.7229204E7</v>
      </c>
      <c r="C3095" s="74">
        <v>46220.543445821764</v>
      </c>
      <c r="D3095" s="2" t="s">
        <v>628</v>
      </c>
      <c r="F3095" s="2" t="s">
        <v>630</v>
      </c>
      <c r="G3095" s="72">
        <v>3.22756411E8</v>
      </c>
    </row>
    <row r="3096">
      <c r="A3096" s="2">
        <v>8.605598386E9</v>
      </c>
      <c r="C3096" s="74">
        <v>46218.75133619213</v>
      </c>
      <c r="D3096" s="2" t="s">
        <v>628</v>
      </c>
      <c r="F3096" s="2" t="s">
        <v>2838</v>
      </c>
      <c r="G3096" s="72">
        <v>3.21561048E8</v>
      </c>
    </row>
    <row r="3097">
      <c r="A3097" s="2">
        <v>8.605937206E9</v>
      </c>
      <c r="B3097" s="72">
        <v>4492016.0</v>
      </c>
      <c r="C3097" s="74">
        <v>46223.54256103009</v>
      </c>
      <c r="D3097" s="2" t="s">
        <v>628</v>
      </c>
      <c r="F3097" s="2" t="s">
        <v>630</v>
      </c>
      <c r="G3097" s="72">
        <v>3.24956609E8</v>
      </c>
    </row>
    <row r="3098">
      <c r="A3098" s="2">
        <v>8.605937206E9</v>
      </c>
      <c r="B3098" s="72">
        <v>4492016.0</v>
      </c>
      <c r="C3098" s="74">
        <v>46221.750746875</v>
      </c>
      <c r="D3098" s="2" t="s">
        <v>628</v>
      </c>
      <c r="F3098" s="2" t="s">
        <v>1639</v>
      </c>
      <c r="G3098" s="72">
        <v>3.23764605E8</v>
      </c>
    </row>
    <row r="3099">
      <c r="A3099" s="2">
        <v>8.605937206E9</v>
      </c>
      <c r="B3099" s="72">
        <v>4492016.0</v>
      </c>
      <c r="C3099" s="74">
        <v>46227.95924390046</v>
      </c>
      <c r="D3099" s="2" t="s">
        <v>628</v>
      </c>
      <c r="F3099" s="2" t="s">
        <v>1640</v>
      </c>
      <c r="G3099" s="72">
        <v>3.2811363E8</v>
      </c>
    </row>
    <row r="3100">
      <c r="A3100" s="2">
        <v>8.606176196E9</v>
      </c>
      <c r="C3100" s="74">
        <v>46232.75191708333</v>
      </c>
      <c r="D3100" s="2" t="s">
        <v>628</v>
      </c>
      <c r="F3100" s="2" t="s">
        <v>2839</v>
      </c>
      <c r="G3100" s="72">
        <v>3.31377789E8</v>
      </c>
    </row>
    <row r="3101">
      <c r="A3101" s="2">
        <v>8.606176196E9</v>
      </c>
      <c r="B3101" s="72">
        <v>8.3272765E7</v>
      </c>
      <c r="C3101" s="74">
        <v>46233.959791354166</v>
      </c>
      <c r="D3101" s="2" t="s">
        <v>628</v>
      </c>
      <c r="F3101" s="2" t="s">
        <v>2840</v>
      </c>
      <c r="G3101" s="72">
        <v>3.3230241E8</v>
      </c>
    </row>
    <row r="3102">
      <c r="A3102" s="2">
        <v>8.60670741E9</v>
      </c>
      <c r="C3102" s="74">
        <v>46216.75424085648</v>
      </c>
      <c r="D3102" s="2" t="s">
        <v>628</v>
      </c>
      <c r="F3102" s="2" t="s">
        <v>2841</v>
      </c>
      <c r="G3102" s="72">
        <v>3.20300644E8</v>
      </c>
    </row>
    <row r="3103">
      <c r="A3103" s="2">
        <v>8.60670741E9</v>
      </c>
      <c r="B3103" s="72">
        <v>4474842.0</v>
      </c>
      <c r="C3103" s="74">
        <v>46218.96176291667</v>
      </c>
      <c r="D3103" s="2" t="s">
        <v>628</v>
      </c>
      <c r="F3103" s="2" t="s">
        <v>2842</v>
      </c>
      <c r="G3103" s="72">
        <v>3.21774538E8</v>
      </c>
    </row>
    <row r="3104">
      <c r="A3104" s="2">
        <v>8.606812668E9</v>
      </c>
      <c r="B3104" s="72">
        <v>8.2341046E7</v>
      </c>
      <c r="C3104" s="74">
        <v>46228.96046268519</v>
      </c>
      <c r="D3104" s="2" t="s">
        <v>628</v>
      </c>
      <c r="F3104" s="2" t="s">
        <v>674</v>
      </c>
      <c r="G3104" s="72">
        <v>3.28864014E8</v>
      </c>
    </row>
    <row r="3105">
      <c r="A3105" s="2">
        <v>8.606812668E9</v>
      </c>
      <c r="B3105" s="72">
        <v>8.2341046E7</v>
      </c>
      <c r="C3105" s="74">
        <v>46228.54427280092</v>
      </c>
      <c r="D3105" s="2" t="s">
        <v>628</v>
      </c>
      <c r="F3105" s="2" t="s">
        <v>630</v>
      </c>
      <c r="G3105" s="72">
        <v>3.28422679E8</v>
      </c>
    </row>
    <row r="3106">
      <c r="A3106" s="2">
        <v>8.606816618E9</v>
      </c>
      <c r="B3106" s="72">
        <v>8.2384388E7</v>
      </c>
      <c r="C3106" s="74">
        <v>46230.545461875</v>
      </c>
      <c r="D3106" s="2" t="s">
        <v>628</v>
      </c>
      <c r="F3106" s="2" t="s">
        <v>630</v>
      </c>
      <c r="G3106" s="72">
        <v>3.29873542E8</v>
      </c>
    </row>
    <row r="3107">
      <c r="A3107" s="2">
        <v>8.606816618E9</v>
      </c>
      <c r="B3107" s="72">
        <v>8.2384388E7</v>
      </c>
      <c r="C3107" s="74">
        <v>46230.96041032407</v>
      </c>
      <c r="D3107" s="2" t="s">
        <v>628</v>
      </c>
      <c r="F3107" s="2" t="s">
        <v>2843</v>
      </c>
      <c r="G3107" s="72">
        <v>3.30269419E8</v>
      </c>
    </row>
    <row r="3108">
      <c r="A3108" s="2">
        <v>8.606816618E9</v>
      </c>
      <c r="B3108" s="72">
        <v>8.2384388E7</v>
      </c>
      <c r="C3108" s="74">
        <v>46228.752312743054</v>
      </c>
      <c r="D3108" s="2" t="s">
        <v>628</v>
      </c>
      <c r="F3108" s="2" t="s">
        <v>2844</v>
      </c>
      <c r="G3108" s="72">
        <v>3.28644452E8</v>
      </c>
    </row>
    <row r="3109">
      <c r="A3109" s="2">
        <v>8.607788379E9</v>
      </c>
      <c r="B3109" s="72">
        <v>8.0923664E7</v>
      </c>
      <c r="C3109" s="74">
        <v>46219.961031203704</v>
      </c>
      <c r="D3109" s="2" t="s">
        <v>628</v>
      </c>
      <c r="F3109" s="2" t="s">
        <v>2845</v>
      </c>
      <c r="G3109" s="72">
        <v>3.22478833E8</v>
      </c>
    </row>
    <row r="3110">
      <c r="A3110" s="2">
        <v>8.607788379E9</v>
      </c>
      <c r="C3110" s="74">
        <v>46218.7528796875</v>
      </c>
      <c r="D3110" s="2" t="s">
        <v>628</v>
      </c>
      <c r="F3110" s="2" t="s">
        <v>2846</v>
      </c>
      <c r="G3110" s="72">
        <v>3.21573926E8</v>
      </c>
    </row>
    <row r="3111">
      <c r="A3111" s="2">
        <v>8.607788379E9</v>
      </c>
      <c r="C3111" s="74">
        <v>46218.753345370365</v>
      </c>
      <c r="D3111" s="2" t="s">
        <v>628</v>
      </c>
      <c r="F3111" s="2" t="s">
        <v>2846</v>
      </c>
      <c r="G3111" s="72">
        <v>3.21577138E8</v>
      </c>
    </row>
    <row r="3112">
      <c r="A3112" s="2">
        <v>8.608167072E9</v>
      </c>
      <c r="B3112" s="72">
        <v>8.2342469E7</v>
      </c>
      <c r="C3112" s="74">
        <v>46228.96086990741</v>
      </c>
      <c r="D3112" s="2" t="s">
        <v>628</v>
      </c>
      <c r="F3112" s="2" t="s">
        <v>2847</v>
      </c>
      <c r="G3112" s="72">
        <v>3.28866073E8</v>
      </c>
    </row>
    <row r="3113">
      <c r="A3113" s="2">
        <v>8.608167072E9</v>
      </c>
      <c r="B3113" s="72">
        <v>8.2342469E7</v>
      </c>
      <c r="C3113" s="74">
        <v>46228.544787430554</v>
      </c>
      <c r="D3113" s="2" t="s">
        <v>628</v>
      </c>
      <c r="F3113" s="2" t="s">
        <v>630</v>
      </c>
      <c r="G3113" s="72">
        <v>3.284315E8</v>
      </c>
    </row>
    <row r="3114">
      <c r="A3114" s="2">
        <v>8.608172557E9</v>
      </c>
      <c r="C3114" s="74">
        <v>46218.75304960649</v>
      </c>
      <c r="D3114" s="2" t="s">
        <v>628</v>
      </c>
      <c r="F3114" s="2" t="s">
        <v>2848</v>
      </c>
      <c r="G3114" s="72">
        <v>3.2157504E8</v>
      </c>
    </row>
    <row r="3115">
      <c r="A3115" s="2">
        <v>8.608172557E9</v>
      </c>
      <c r="B3115" s="72">
        <v>1.0690488E7</v>
      </c>
      <c r="C3115" s="74">
        <v>46221.960990555555</v>
      </c>
      <c r="D3115" s="2" t="s">
        <v>628</v>
      </c>
      <c r="F3115" s="2" t="s">
        <v>2849</v>
      </c>
      <c r="G3115" s="72">
        <v>3.23998619E8</v>
      </c>
    </row>
    <row r="3116">
      <c r="A3116" s="2">
        <v>8.608172557E9</v>
      </c>
      <c r="B3116" s="72">
        <v>1.0690488E7</v>
      </c>
      <c r="C3116" s="74">
        <v>46220.54496643518</v>
      </c>
      <c r="D3116" s="2" t="s">
        <v>628</v>
      </c>
      <c r="F3116" s="2" t="s">
        <v>630</v>
      </c>
      <c r="G3116" s="72">
        <v>3.22776892E8</v>
      </c>
    </row>
    <row r="3117">
      <c r="A3117" s="2">
        <v>8.60833877E9</v>
      </c>
      <c r="B3117" s="72">
        <v>8.2338632E7</v>
      </c>
      <c r="C3117" s="74">
        <v>46228.543300405094</v>
      </c>
      <c r="D3117" s="2" t="s">
        <v>628</v>
      </c>
      <c r="F3117" s="2" t="s">
        <v>630</v>
      </c>
      <c r="G3117" s="72">
        <v>3.2840842E8</v>
      </c>
    </row>
    <row r="3118">
      <c r="A3118" s="2">
        <v>8.60833877E9</v>
      </c>
      <c r="B3118" s="72">
        <v>8.2338632E7</v>
      </c>
      <c r="C3118" s="74">
        <v>46228.95955337963</v>
      </c>
      <c r="D3118" s="2" t="s">
        <v>628</v>
      </c>
      <c r="F3118" s="2" t="s">
        <v>838</v>
      </c>
      <c r="G3118" s="72">
        <v>3.28858133E8</v>
      </c>
    </row>
    <row r="3119">
      <c r="A3119" s="2">
        <v>8.608490691E9</v>
      </c>
      <c r="B3119" s="72">
        <v>1.1291271E7</v>
      </c>
      <c r="C3119" s="74">
        <v>46205.95990623842</v>
      </c>
      <c r="D3119" s="2" t="s">
        <v>628</v>
      </c>
      <c r="F3119" s="2" t="s">
        <v>2850</v>
      </c>
      <c r="G3119" s="72">
        <v>3.13053829E8</v>
      </c>
    </row>
    <row r="3120">
      <c r="A3120" s="2">
        <v>8.608490691E9</v>
      </c>
      <c r="B3120" s="72">
        <v>1.1291271E7</v>
      </c>
      <c r="C3120" s="74">
        <v>46204.7126969213</v>
      </c>
      <c r="D3120" s="2" t="s">
        <v>628</v>
      </c>
      <c r="F3120" s="2" t="s">
        <v>2851</v>
      </c>
      <c r="G3120" s="72">
        <v>3.12163057E8</v>
      </c>
    </row>
    <row r="3121">
      <c r="A3121" s="2">
        <v>8.608490691E9</v>
      </c>
      <c r="B3121" s="72">
        <v>1.1291271E7</v>
      </c>
      <c r="C3121" s="74">
        <v>46205.54432798611</v>
      </c>
      <c r="D3121" s="2" t="s">
        <v>628</v>
      </c>
      <c r="F3121" s="2" t="s">
        <v>630</v>
      </c>
      <c r="G3121" s="72">
        <v>3.12626937E8</v>
      </c>
    </row>
    <row r="3122">
      <c r="A3122" s="2">
        <v>8.608746312E9</v>
      </c>
      <c r="B3122" s="72">
        <v>7.9602296E7</v>
      </c>
      <c r="C3122" s="74">
        <v>46211.96115914352</v>
      </c>
      <c r="D3122" s="2" t="s">
        <v>628</v>
      </c>
      <c r="F3122" s="2" t="s">
        <v>1300</v>
      </c>
      <c r="G3122" s="72">
        <v>3.16988827E8</v>
      </c>
    </row>
    <row r="3123">
      <c r="A3123" s="2">
        <v>8.608746312E9</v>
      </c>
      <c r="C3123" s="74">
        <v>46210.75276030092</v>
      </c>
      <c r="D3123" s="2" t="s">
        <v>628</v>
      </c>
      <c r="F3123" s="2" t="s">
        <v>1299</v>
      </c>
      <c r="G3123" s="72">
        <v>3.16194634E8</v>
      </c>
    </row>
    <row r="3124">
      <c r="A3124" s="2">
        <v>8.608785018E9</v>
      </c>
      <c r="B3124" s="72">
        <v>7.8287218E7</v>
      </c>
      <c r="C3124" s="74">
        <v>46204.962175277775</v>
      </c>
      <c r="D3124" s="2" t="s">
        <v>628</v>
      </c>
      <c r="F3124" s="2" t="s">
        <v>2852</v>
      </c>
      <c r="G3124" s="72">
        <v>3.12388018E8</v>
      </c>
    </row>
    <row r="3125">
      <c r="A3125" s="2">
        <v>8.60890261E9</v>
      </c>
      <c r="B3125" s="72">
        <v>3.8049851E7</v>
      </c>
      <c r="C3125" s="74">
        <v>46228.54443451389</v>
      </c>
      <c r="D3125" s="2" t="s">
        <v>628</v>
      </c>
      <c r="F3125" s="2" t="s">
        <v>630</v>
      </c>
      <c r="G3125" s="72">
        <v>3.28425339E8</v>
      </c>
    </row>
    <row r="3126">
      <c r="A3126" s="2">
        <v>8.60890261E9</v>
      </c>
      <c r="B3126" s="72">
        <v>3.8049851E7</v>
      </c>
      <c r="C3126" s="74">
        <v>46228.9605603588</v>
      </c>
      <c r="D3126" s="2" t="s">
        <v>628</v>
      </c>
      <c r="F3126" s="2" t="s">
        <v>2078</v>
      </c>
      <c r="G3126" s="72">
        <v>3.28864514E8</v>
      </c>
    </row>
    <row r="3127">
      <c r="A3127" s="2">
        <v>8.608996267E9</v>
      </c>
      <c r="B3127" s="72">
        <v>7.9864552E7</v>
      </c>
      <c r="C3127" s="74">
        <v>46214.54334574074</v>
      </c>
      <c r="D3127" s="2" t="s">
        <v>628</v>
      </c>
      <c r="F3127" s="2" t="s">
        <v>630</v>
      </c>
      <c r="G3127" s="72">
        <v>3.18693889E8</v>
      </c>
    </row>
    <row r="3128">
      <c r="A3128" s="2">
        <v>8.608996267E9</v>
      </c>
      <c r="B3128" s="72">
        <v>7.9864552E7</v>
      </c>
      <c r="C3128" s="74">
        <v>46214.9594162963</v>
      </c>
      <c r="D3128" s="2" t="s">
        <v>628</v>
      </c>
      <c r="F3128" s="2" t="s">
        <v>2456</v>
      </c>
      <c r="G3128" s="72">
        <v>3.19129059E8</v>
      </c>
    </row>
    <row r="3129">
      <c r="A3129" s="2">
        <v>8.608996267E9</v>
      </c>
      <c r="B3129" s="72">
        <v>7.9864552E7</v>
      </c>
      <c r="C3129" s="74">
        <v>46213.67755673611</v>
      </c>
      <c r="D3129" s="2" t="s">
        <v>628</v>
      </c>
      <c r="F3129" s="2" t="s">
        <v>1535</v>
      </c>
      <c r="G3129" s="72">
        <v>3.18115697E8</v>
      </c>
    </row>
    <row r="3130">
      <c r="A3130" s="2">
        <v>8.609184664E9</v>
      </c>
      <c r="B3130" s="72">
        <v>8.0923681E7</v>
      </c>
      <c r="C3130" s="74">
        <v>46219.96105640046</v>
      </c>
      <c r="D3130" s="2" t="s">
        <v>628</v>
      </c>
      <c r="F3130" s="2" t="s">
        <v>2853</v>
      </c>
      <c r="G3130" s="72">
        <v>3.22478923E8</v>
      </c>
    </row>
    <row r="3131">
      <c r="A3131" s="2">
        <v>8.609339135E9</v>
      </c>
      <c r="B3131" s="72">
        <v>7.8788448E7</v>
      </c>
      <c r="C3131" s="74">
        <v>46206.96134891204</v>
      </c>
      <c r="D3131" s="2" t="s">
        <v>628</v>
      </c>
      <c r="F3131" s="2" t="s">
        <v>2854</v>
      </c>
      <c r="G3131" s="72">
        <v>3.13803971E8</v>
      </c>
    </row>
    <row r="3132">
      <c r="A3132" s="2">
        <v>8.609339135E9</v>
      </c>
      <c r="B3132" s="72">
        <v>7.8788448E7</v>
      </c>
      <c r="C3132" s="74">
        <v>46206.68529</v>
      </c>
      <c r="D3132" s="2" t="s">
        <v>628</v>
      </c>
      <c r="F3132" s="2" t="s">
        <v>2855</v>
      </c>
      <c r="G3132" s="72">
        <v>3.13503651E8</v>
      </c>
    </row>
    <row r="3133">
      <c r="A3133" s="2">
        <v>9.04505558E9</v>
      </c>
      <c r="B3133" s="72">
        <v>8.2921005E7</v>
      </c>
      <c r="C3133" s="74">
        <v>46231.959963125</v>
      </c>
      <c r="D3133" s="2" t="s">
        <v>628</v>
      </c>
      <c r="F3133" s="2" t="s">
        <v>2731</v>
      </c>
      <c r="G3133" s="72">
        <v>3.30915666E8</v>
      </c>
    </row>
    <row r="3134">
      <c r="A3134" s="2" t="s">
        <v>2856</v>
      </c>
      <c r="B3134" s="72">
        <v>9884475.0</v>
      </c>
      <c r="C3134" s="74">
        <v>46234.54511157407</v>
      </c>
      <c r="D3134" s="2" t="s">
        <v>628</v>
      </c>
      <c r="F3134" s="2" t="s">
        <v>630</v>
      </c>
      <c r="G3134" s="72">
        <v>3.32621506E8</v>
      </c>
    </row>
    <row r="3135">
      <c r="A3135" s="2" t="s">
        <v>2856</v>
      </c>
      <c r="B3135" s="72">
        <v>9884475.0</v>
      </c>
      <c r="C3135" s="74">
        <v>46232.75491296296</v>
      </c>
      <c r="D3135" s="2" t="s">
        <v>628</v>
      </c>
      <c r="F3135" s="2" t="s">
        <v>714</v>
      </c>
      <c r="G3135" s="72">
        <v>3.31393776E8</v>
      </c>
    </row>
    <row r="3136">
      <c r="A3136" s="2">
        <v>9.1446287E9</v>
      </c>
      <c r="B3136" s="72">
        <v>1.1628418E7</v>
      </c>
      <c r="C3136" s="74">
        <v>46227.96049540509</v>
      </c>
      <c r="D3136" s="2" t="s">
        <v>628</v>
      </c>
      <c r="F3136" s="2" t="s">
        <v>1474</v>
      </c>
      <c r="G3136" s="72">
        <v>3.28117449E8</v>
      </c>
    </row>
    <row r="3137">
      <c r="A3137" s="2">
        <v>9.1446287E9</v>
      </c>
      <c r="B3137" s="72">
        <v>1.1628418E7</v>
      </c>
      <c r="C3137" s="74">
        <v>46227.54366643519</v>
      </c>
      <c r="D3137" s="2" t="s">
        <v>628</v>
      </c>
      <c r="F3137" s="2" t="s">
        <v>630</v>
      </c>
      <c r="G3137" s="72">
        <v>3.27624472E8</v>
      </c>
    </row>
    <row r="3138">
      <c r="A3138" s="2">
        <v>9.168383072E9</v>
      </c>
      <c r="B3138" s="72">
        <v>8.2860055E7</v>
      </c>
      <c r="C3138" s="74">
        <v>46231.757204016205</v>
      </c>
      <c r="D3138" s="2" t="s">
        <v>705</v>
      </c>
      <c r="F3138" s="2" t="s">
        <v>2857</v>
      </c>
      <c r="G3138" s="72">
        <v>3.30735608E8</v>
      </c>
    </row>
    <row r="3139">
      <c r="A3139" s="2">
        <v>9.168383072E9</v>
      </c>
      <c r="B3139" s="72">
        <v>8.2860055E7</v>
      </c>
      <c r="C3139" s="74">
        <v>46231.75880759259</v>
      </c>
      <c r="D3139" s="2" t="s">
        <v>667</v>
      </c>
      <c r="E3139" s="2" t="s">
        <v>703</v>
      </c>
      <c r="F3139" s="2" t="s">
        <v>2858</v>
      </c>
      <c r="G3139" s="72">
        <v>3.30736577E8</v>
      </c>
    </row>
    <row r="3140">
      <c r="A3140" s="2">
        <v>9.168383072E9</v>
      </c>
      <c r="B3140" s="72">
        <v>8.2860055E7</v>
      </c>
      <c r="C3140" s="74">
        <v>46231.8049239699</v>
      </c>
      <c r="D3140" s="2" t="s">
        <v>705</v>
      </c>
      <c r="F3140" s="2" t="s">
        <v>2859</v>
      </c>
      <c r="G3140" s="72">
        <v>3.30779713E8</v>
      </c>
    </row>
    <row r="3141">
      <c r="A3141" s="2">
        <v>9.168383072E9</v>
      </c>
      <c r="B3141" s="72">
        <v>8.2860055E7</v>
      </c>
      <c r="C3141" s="74">
        <v>46231.75701703704</v>
      </c>
      <c r="D3141" s="2" t="s">
        <v>705</v>
      </c>
      <c r="F3141" s="2" t="s">
        <v>2860</v>
      </c>
      <c r="G3141" s="72">
        <v>3.30735514E8</v>
      </c>
    </row>
    <row r="3142">
      <c r="A3142" s="2">
        <v>9.168383072E9</v>
      </c>
      <c r="B3142" s="72">
        <v>8.2860055E7</v>
      </c>
      <c r="C3142" s="74">
        <v>46231.75575027778</v>
      </c>
      <c r="D3142" s="2" t="s">
        <v>705</v>
      </c>
      <c r="F3142" s="2" t="s">
        <v>2861</v>
      </c>
      <c r="G3142" s="72">
        <v>3.30734746E8</v>
      </c>
    </row>
    <row r="3143">
      <c r="A3143" s="2">
        <v>9.168383072E9</v>
      </c>
      <c r="B3143" s="72">
        <v>8.2860055E7</v>
      </c>
      <c r="C3143" s="74">
        <v>46231.75661211806</v>
      </c>
      <c r="D3143" s="2" t="s">
        <v>667</v>
      </c>
      <c r="E3143" s="2" t="s">
        <v>703</v>
      </c>
      <c r="F3143" s="2" t="s">
        <v>2862</v>
      </c>
      <c r="G3143" s="72">
        <v>3.30735326E8</v>
      </c>
    </row>
    <row r="3144">
      <c r="A3144" s="2">
        <v>9.168383072E9</v>
      </c>
      <c r="B3144" s="72">
        <v>8.2860055E7</v>
      </c>
      <c r="C3144" s="74">
        <v>46234.96083182871</v>
      </c>
      <c r="D3144" s="2" t="s">
        <v>628</v>
      </c>
      <c r="F3144" s="2" t="s">
        <v>998</v>
      </c>
      <c r="G3144" s="72">
        <v>3.33101175E8</v>
      </c>
    </row>
    <row r="3145">
      <c r="A3145" s="2">
        <v>9.168383072E9</v>
      </c>
      <c r="B3145" s="72">
        <v>8.2860055E7</v>
      </c>
      <c r="C3145" s="74">
        <v>46231.75727981482</v>
      </c>
      <c r="D3145" s="2" t="s">
        <v>705</v>
      </c>
      <c r="F3145" s="2" t="s">
        <v>2863</v>
      </c>
      <c r="G3145" s="72">
        <v>3.30735658E8</v>
      </c>
    </row>
    <row r="3146">
      <c r="A3146" s="2">
        <v>9.168383072E9</v>
      </c>
      <c r="B3146" s="72">
        <v>8.2860055E7</v>
      </c>
      <c r="C3146" s="74">
        <v>46231.755633657405</v>
      </c>
      <c r="D3146" s="2" t="s">
        <v>705</v>
      </c>
      <c r="F3146" s="2" t="s">
        <v>2864</v>
      </c>
      <c r="G3146" s="72">
        <v>3.30734675E8</v>
      </c>
    </row>
    <row r="3147">
      <c r="A3147" s="2">
        <v>9.168383072E9</v>
      </c>
      <c r="B3147" s="72">
        <v>8.2860055E7</v>
      </c>
      <c r="C3147" s="74">
        <v>46231.75257693287</v>
      </c>
      <c r="D3147" s="2" t="s">
        <v>628</v>
      </c>
      <c r="F3147" s="2" t="s">
        <v>997</v>
      </c>
      <c r="G3147" s="72">
        <v>3.30724293E8</v>
      </c>
    </row>
    <row r="3148">
      <c r="A3148" s="2">
        <v>9.168383072E9</v>
      </c>
      <c r="B3148" s="72">
        <v>8.2860055E7</v>
      </c>
      <c r="C3148" s="74">
        <v>46231.77816048611</v>
      </c>
      <c r="D3148" s="2" t="s">
        <v>667</v>
      </c>
      <c r="E3148" s="2" t="s">
        <v>703</v>
      </c>
      <c r="F3148" s="2" t="s">
        <v>2865</v>
      </c>
      <c r="G3148" s="72">
        <v>3.30747687E8</v>
      </c>
    </row>
    <row r="3149">
      <c r="A3149" s="2">
        <v>9.168383072E9</v>
      </c>
      <c r="B3149" s="72">
        <v>8.2860055E7</v>
      </c>
      <c r="C3149" s="74">
        <v>46231.75963741898</v>
      </c>
      <c r="D3149" s="2" t="s">
        <v>705</v>
      </c>
      <c r="F3149" s="2" t="s">
        <v>2866</v>
      </c>
      <c r="G3149" s="72">
        <v>3.30736985E8</v>
      </c>
    </row>
    <row r="3150">
      <c r="A3150" s="2">
        <v>9.168383072E9</v>
      </c>
      <c r="B3150" s="72">
        <v>8.2860055E7</v>
      </c>
      <c r="C3150" s="74">
        <v>46233.545021365746</v>
      </c>
      <c r="D3150" s="2" t="s">
        <v>628</v>
      </c>
      <c r="F3150" s="2" t="s">
        <v>630</v>
      </c>
      <c r="G3150" s="72">
        <v>3.31857726E8</v>
      </c>
    </row>
    <row r="3151">
      <c r="A3151" s="2">
        <v>9.168383072E9</v>
      </c>
      <c r="B3151" s="72">
        <v>8.2860055E7</v>
      </c>
      <c r="C3151" s="74">
        <v>46231.75689872685</v>
      </c>
      <c r="D3151" s="2" t="s">
        <v>705</v>
      </c>
      <c r="F3151" s="2" t="s">
        <v>2867</v>
      </c>
      <c r="G3151" s="72">
        <v>3.30735466E8</v>
      </c>
    </row>
    <row r="3152">
      <c r="A3152" s="2">
        <v>9.168383072E9</v>
      </c>
      <c r="B3152" s="72">
        <v>8.2860055E7</v>
      </c>
      <c r="C3152" s="74">
        <v>46231.75952694444</v>
      </c>
      <c r="D3152" s="2" t="s">
        <v>705</v>
      </c>
      <c r="F3152" s="2" t="s">
        <v>2868</v>
      </c>
      <c r="G3152" s="72">
        <v>3.30736939E8</v>
      </c>
    </row>
    <row r="3153">
      <c r="A3153" s="2">
        <v>9.174494906E9</v>
      </c>
      <c r="B3153" s="72">
        <v>7.93024E7</v>
      </c>
      <c r="C3153" s="74">
        <v>46209.960769502315</v>
      </c>
      <c r="D3153" s="2" t="s">
        <v>628</v>
      </c>
      <c r="F3153" s="2" t="s">
        <v>2869</v>
      </c>
      <c r="G3153" s="72">
        <v>3.15781134E8</v>
      </c>
    </row>
    <row r="3154">
      <c r="A3154" s="2">
        <v>9.17804238E9</v>
      </c>
      <c r="B3154" s="72">
        <v>8.2981042E7</v>
      </c>
      <c r="C3154" s="74">
        <v>46232.546137488425</v>
      </c>
      <c r="D3154" s="2" t="s">
        <v>628</v>
      </c>
      <c r="F3154" s="2" t="s">
        <v>630</v>
      </c>
      <c r="G3154" s="72">
        <v>3.31199311E8</v>
      </c>
    </row>
    <row r="3155">
      <c r="A3155" s="2">
        <v>9.17804238E9</v>
      </c>
      <c r="B3155" s="72">
        <v>8.2981042E7</v>
      </c>
      <c r="C3155" s="74">
        <v>46232.961877291666</v>
      </c>
      <c r="D3155" s="2" t="s">
        <v>628</v>
      </c>
      <c r="F3155" s="2" t="s">
        <v>2870</v>
      </c>
      <c r="G3155" s="72">
        <v>3.3159014E8</v>
      </c>
    </row>
    <row r="3156">
      <c r="A3156" s="2">
        <v>9.179911891E9</v>
      </c>
      <c r="B3156" s="72">
        <v>8.3468872E7</v>
      </c>
      <c r="C3156" s="74">
        <v>46234.96066293982</v>
      </c>
      <c r="D3156" s="2" t="s">
        <v>628</v>
      </c>
      <c r="F3156" s="2" t="s">
        <v>1428</v>
      </c>
      <c r="G3156" s="72">
        <v>3.33100517E8</v>
      </c>
    </row>
    <row r="3157">
      <c r="A3157" s="2">
        <v>9.19522345E9</v>
      </c>
      <c r="B3157" s="72">
        <v>7.8454302E7</v>
      </c>
      <c r="C3157" s="74">
        <v>46206.95935203704</v>
      </c>
      <c r="D3157" s="2" t="s">
        <v>628</v>
      </c>
      <c r="F3157" s="2" t="s">
        <v>2871</v>
      </c>
      <c r="G3157" s="72">
        <v>3.13797638E8</v>
      </c>
    </row>
    <row r="3158">
      <c r="A3158" s="2">
        <v>9.19522345E9</v>
      </c>
      <c r="B3158" s="72">
        <v>7.8454302E7</v>
      </c>
      <c r="C3158" s="74">
        <v>46205.543572951385</v>
      </c>
      <c r="D3158" s="2" t="s">
        <v>628</v>
      </c>
      <c r="F3158" s="2" t="s">
        <v>630</v>
      </c>
      <c r="G3158" s="72">
        <v>3.12623751E8</v>
      </c>
    </row>
    <row r="3159">
      <c r="A3159" s="2">
        <v>9.19522345E9</v>
      </c>
      <c r="B3159" s="72">
        <v>7.8454302E7</v>
      </c>
      <c r="C3159" s="74">
        <v>46204.715660497684</v>
      </c>
      <c r="D3159" s="2" t="s">
        <v>628</v>
      </c>
      <c r="F3159" s="2" t="s">
        <v>2872</v>
      </c>
      <c r="G3159" s="72">
        <v>3.12165004E8</v>
      </c>
    </row>
    <row r="3160">
      <c r="A3160" s="2">
        <v>9.256392971E9</v>
      </c>
      <c r="B3160" s="72">
        <v>7.9573296E7</v>
      </c>
      <c r="C3160" s="74">
        <v>46211.8548247338</v>
      </c>
      <c r="D3160" s="2" t="s">
        <v>628</v>
      </c>
      <c r="F3160" s="2" t="s">
        <v>2873</v>
      </c>
      <c r="G3160" s="72">
        <v>3.16894017E8</v>
      </c>
    </row>
    <row r="3161">
      <c r="A3161" s="2">
        <v>9.256392971E9</v>
      </c>
      <c r="B3161" s="72">
        <v>7.9573296E7</v>
      </c>
      <c r="C3161" s="74">
        <v>46212.96057329861</v>
      </c>
      <c r="D3161" s="2" t="s">
        <v>628</v>
      </c>
      <c r="F3161" s="2" t="s">
        <v>2874</v>
      </c>
      <c r="G3161" s="72">
        <v>3.17659917E8</v>
      </c>
    </row>
    <row r="3162">
      <c r="A3162" s="2">
        <v>9.256392971E9</v>
      </c>
      <c r="B3162" s="72">
        <v>7.9573296E7</v>
      </c>
      <c r="C3162" s="74">
        <v>46211.960635717594</v>
      </c>
      <c r="D3162" s="2" t="s">
        <v>628</v>
      </c>
      <c r="F3162" s="2" t="s">
        <v>2874</v>
      </c>
      <c r="G3162" s="72">
        <v>3.16987247E8</v>
      </c>
    </row>
    <row r="3163">
      <c r="A3163" s="2" t="s">
        <v>2875</v>
      </c>
      <c r="B3163" s="72">
        <v>1.2188119E7</v>
      </c>
      <c r="C3163" s="74">
        <v>46214.95990771991</v>
      </c>
      <c r="D3163" s="2" t="s">
        <v>628</v>
      </c>
      <c r="F3163" s="2" t="s">
        <v>2425</v>
      </c>
      <c r="G3163" s="72">
        <v>3.19132153E8</v>
      </c>
    </row>
    <row r="3164">
      <c r="A3164" s="2" t="s">
        <v>2875</v>
      </c>
      <c r="B3164" s="72">
        <v>1.2188119E7</v>
      </c>
      <c r="C3164" s="74">
        <v>46212.75228318287</v>
      </c>
      <c r="D3164" s="2" t="s">
        <v>628</v>
      </c>
      <c r="F3164" s="2" t="s">
        <v>2876</v>
      </c>
      <c r="G3164" s="72">
        <v>3.17436725E8</v>
      </c>
    </row>
    <row r="3165">
      <c r="A3165" s="2" t="s">
        <v>2875</v>
      </c>
      <c r="B3165" s="72">
        <v>1.2188119E7</v>
      </c>
      <c r="C3165" s="74">
        <v>46214.543527013884</v>
      </c>
      <c r="D3165" s="2" t="s">
        <v>628</v>
      </c>
      <c r="F3165" s="2" t="s">
        <v>630</v>
      </c>
      <c r="G3165" s="72">
        <v>3.18695851E8</v>
      </c>
    </row>
    <row r="3166">
      <c r="A3166" s="2" t="s">
        <v>2877</v>
      </c>
      <c r="B3166" s="72">
        <v>4079241.0</v>
      </c>
      <c r="C3166" s="74">
        <v>46210.95867740741</v>
      </c>
      <c r="D3166" s="2" t="s">
        <v>628</v>
      </c>
      <c r="F3166" s="2" t="s">
        <v>2878</v>
      </c>
      <c r="G3166" s="72">
        <v>3.16365428E8</v>
      </c>
    </row>
    <row r="3167">
      <c r="A3167" s="2" t="s">
        <v>2877</v>
      </c>
      <c r="B3167" s="72">
        <v>4079241.0</v>
      </c>
      <c r="C3167" s="74">
        <v>46209.54277532407</v>
      </c>
      <c r="D3167" s="2" t="s">
        <v>628</v>
      </c>
      <c r="F3167" s="2" t="s">
        <v>630</v>
      </c>
      <c r="G3167" s="72">
        <v>3.15387117E8</v>
      </c>
    </row>
    <row r="3168">
      <c r="A3168" s="2" t="s">
        <v>2877</v>
      </c>
      <c r="C3168" s="74">
        <v>46207.75130152778</v>
      </c>
      <c r="D3168" s="2" t="s">
        <v>628</v>
      </c>
      <c r="F3168" s="2" t="s">
        <v>2879</v>
      </c>
      <c r="G3168" s="72">
        <v>3.142808E8</v>
      </c>
    </row>
    <row r="3169">
      <c r="A3169" s="2" t="s">
        <v>2877</v>
      </c>
      <c r="C3169" s="74">
        <v>46207.75248951389</v>
      </c>
      <c r="D3169" s="2" t="s">
        <v>628</v>
      </c>
      <c r="F3169" s="2" t="s">
        <v>2879</v>
      </c>
      <c r="G3169" s="72">
        <v>3.14290484E8</v>
      </c>
    </row>
    <row r="3170">
      <c r="A3170" s="2">
        <v>9.782302715E9</v>
      </c>
      <c r="B3170" s="72">
        <v>8.1108642E7</v>
      </c>
      <c r="C3170" s="74">
        <v>46220.960886898145</v>
      </c>
      <c r="D3170" s="2" t="s">
        <v>628</v>
      </c>
      <c r="F3170" s="2" t="s">
        <v>648</v>
      </c>
      <c r="G3170" s="72">
        <v>3.23246567E8</v>
      </c>
    </row>
    <row r="3171">
      <c r="A3171" s="2">
        <v>9.782572849E9</v>
      </c>
      <c r="B3171" s="72">
        <v>7.7899519E7</v>
      </c>
      <c r="C3171" s="74">
        <v>46206.96168876157</v>
      </c>
      <c r="D3171" s="2" t="s">
        <v>628</v>
      </c>
      <c r="F3171" s="2" t="s">
        <v>1553</v>
      </c>
      <c r="G3171" s="72">
        <v>3.13804971E8</v>
      </c>
    </row>
    <row r="3172">
      <c r="A3172" s="2">
        <v>9.782572849E9</v>
      </c>
      <c r="B3172" s="72">
        <v>7.7899519E7</v>
      </c>
      <c r="C3172" s="74">
        <v>46205.54643482639</v>
      </c>
      <c r="D3172" s="2" t="s">
        <v>628</v>
      </c>
      <c r="F3172" s="2" t="s">
        <v>630</v>
      </c>
      <c r="G3172" s="72">
        <v>3.126452E8</v>
      </c>
    </row>
    <row r="3173">
      <c r="A3173" s="2">
        <v>9.782653211E9</v>
      </c>
      <c r="B3173" s="72">
        <v>5154289.0</v>
      </c>
      <c r="C3173" s="74">
        <v>46224.75277881944</v>
      </c>
      <c r="D3173" s="2" t="s">
        <v>628</v>
      </c>
      <c r="F3173" s="2" t="s">
        <v>2880</v>
      </c>
      <c r="G3173" s="72">
        <v>3.25799075E8</v>
      </c>
    </row>
    <row r="3174">
      <c r="A3174" s="2">
        <v>9.783023986E9</v>
      </c>
      <c r="B3174" s="72">
        <v>4129790.0</v>
      </c>
      <c r="C3174" s="74">
        <v>46217.75338869213</v>
      </c>
      <c r="D3174" s="2" t="s">
        <v>628</v>
      </c>
      <c r="F3174" s="2" t="s">
        <v>997</v>
      </c>
      <c r="G3174" s="72">
        <v>3.20929047E8</v>
      </c>
    </row>
    <row r="3175">
      <c r="A3175" s="2">
        <v>9.783023986E9</v>
      </c>
      <c r="B3175" s="72">
        <v>4129790.0</v>
      </c>
      <c r="C3175" s="74">
        <v>46218.96103795139</v>
      </c>
      <c r="D3175" s="2" t="s">
        <v>628</v>
      </c>
      <c r="F3175" s="2" t="s">
        <v>998</v>
      </c>
      <c r="G3175" s="72">
        <v>3.21772423E8</v>
      </c>
    </row>
    <row r="3176">
      <c r="A3176" s="2">
        <v>9.783029478E9</v>
      </c>
      <c r="B3176" s="72">
        <v>3225625.0</v>
      </c>
      <c r="C3176" s="74">
        <v>46216.96002159722</v>
      </c>
      <c r="D3176" s="2" t="s">
        <v>628</v>
      </c>
      <c r="F3176" s="2" t="s">
        <v>2881</v>
      </c>
      <c r="G3176" s="72">
        <v>3.20483359E8</v>
      </c>
    </row>
    <row r="3177">
      <c r="A3177" s="2">
        <v>9.783941938E9</v>
      </c>
      <c r="B3177" s="72">
        <v>1.0020504E7</v>
      </c>
      <c r="C3177" s="74">
        <v>46208.96101255787</v>
      </c>
      <c r="D3177" s="2" t="s">
        <v>628</v>
      </c>
      <c r="F3177" s="2" t="s">
        <v>2882</v>
      </c>
      <c r="G3177" s="72">
        <v>3.151674E8</v>
      </c>
    </row>
    <row r="3178">
      <c r="A3178" s="2">
        <v>9.783941938E9</v>
      </c>
      <c r="B3178" s="72">
        <v>1.0020504E7</v>
      </c>
      <c r="C3178" s="74">
        <v>46205.7535081713</v>
      </c>
      <c r="D3178" s="2" t="s">
        <v>628</v>
      </c>
      <c r="F3178" s="2" t="s">
        <v>731</v>
      </c>
      <c r="G3178" s="72">
        <v>3.12841686E8</v>
      </c>
    </row>
    <row r="3179">
      <c r="A3179" s="2">
        <v>9.783941938E9</v>
      </c>
      <c r="B3179" s="72">
        <v>1.0020504E7</v>
      </c>
      <c r="C3179" s="74">
        <v>46207.544435185184</v>
      </c>
      <c r="D3179" s="2" t="s">
        <v>628</v>
      </c>
      <c r="F3179" s="2" t="s">
        <v>630</v>
      </c>
      <c r="G3179" s="72">
        <v>3.14084563E8</v>
      </c>
    </row>
    <row r="3180">
      <c r="A3180" s="2">
        <v>9.783984924E9</v>
      </c>
      <c r="B3180" s="72">
        <v>8.0327017E7</v>
      </c>
      <c r="C3180" s="74">
        <v>46216.544420185186</v>
      </c>
      <c r="D3180" s="2" t="s">
        <v>628</v>
      </c>
      <c r="F3180" s="2" t="s">
        <v>630</v>
      </c>
      <c r="G3180" s="72">
        <v>3.20113267E8</v>
      </c>
    </row>
    <row r="3181">
      <c r="A3181" s="2">
        <v>9.783984924E9</v>
      </c>
      <c r="B3181" s="72">
        <v>8.0327017E7</v>
      </c>
      <c r="C3181" s="74">
        <v>46216.961252256944</v>
      </c>
      <c r="D3181" s="2" t="s">
        <v>628</v>
      </c>
      <c r="F3181" s="2" t="s">
        <v>1347</v>
      </c>
      <c r="G3181" s="72">
        <v>3.2048685E8</v>
      </c>
    </row>
    <row r="3182">
      <c r="A3182" s="2">
        <v>9.783993977E9</v>
      </c>
      <c r="B3182" s="72">
        <v>8.2144685E7</v>
      </c>
      <c r="C3182" s="74">
        <v>46227.96202710648</v>
      </c>
      <c r="D3182" s="2" t="s">
        <v>628</v>
      </c>
      <c r="F3182" s="2" t="s">
        <v>2281</v>
      </c>
      <c r="G3182" s="72">
        <v>3.28123232E8</v>
      </c>
    </row>
    <row r="3183">
      <c r="A3183" s="2">
        <v>9.783993977E9</v>
      </c>
      <c r="C3183" s="74">
        <v>46225.753761631946</v>
      </c>
      <c r="D3183" s="2" t="s">
        <v>628</v>
      </c>
      <c r="F3183" s="2" t="s">
        <v>2282</v>
      </c>
      <c r="G3183" s="72">
        <v>3.26443664E8</v>
      </c>
    </row>
    <row r="3184">
      <c r="A3184" s="2">
        <v>9.783993977E9</v>
      </c>
      <c r="B3184" s="72">
        <v>8.2144685E7</v>
      </c>
      <c r="C3184" s="74">
        <v>46227.545740601854</v>
      </c>
      <c r="D3184" s="2" t="s">
        <v>628</v>
      </c>
      <c r="F3184" s="2" t="s">
        <v>630</v>
      </c>
      <c r="G3184" s="72">
        <v>3.27652341E8</v>
      </c>
    </row>
    <row r="3185">
      <c r="A3185" s="2">
        <v>9.784086044E9</v>
      </c>
      <c r="B3185" s="72">
        <v>8346631.0</v>
      </c>
      <c r="C3185" s="74">
        <v>46204.75439207176</v>
      </c>
      <c r="D3185" s="2" t="s">
        <v>628</v>
      </c>
      <c r="F3185" s="2" t="s">
        <v>776</v>
      </c>
      <c r="G3185" s="72">
        <v>3.12203344E8</v>
      </c>
    </row>
    <row r="3186">
      <c r="A3186" s="2">
        <v>9.784086044E9</v>
      </c>
      <c r="B3186" s="72">
        <v>8346631.0</v>
      </c>
      <c r="C3186" s="74">
        <v>46206.54487109954</v>
      </c>
      <c r="D3186" s="2" t="s">
        <v>628</v>
      </c>
      <c r="F3186" s="2" t="s">
        <v>630</v>
      </c>
      <c r="G3186" s="72">
        <v>3.13350849E8</v>
      </c>
    </row>
    <row r="3187">
      <c r="A3187" s="2">
        <v>9.784086044E9</v>
      </c>
      <c r="B3187" s="72">
        <v>8346631.0</v>
      </c>
      <c r="C3187" s="74">
        <v>46207.961446875</v>
      </c>
      <c r="D3187" s="2" t="s">
        <v>628</v>
      </c>
      <c r="F3187" s="2" t="s">
        <v>1193</v>
      </c>
      <c r="G3187" s="72">
        <v>3.14488403E8</v>
      </c>
    </row>
    <row r="3188">
      <c r="A3188" s="2">
        <v>9.78467708E9</v>
      </c>
      <c r="B3188" s="72">
        <v>1.3883048E7</v>
      </c>
      <c r="C3188" s="74">
        <v>46227.95998945602</v>
      </c>
      <c r="D3188" s="2" t="s">
        <v>628</v>
      </c>
      <c r="F3188" s="2" t="s">
        <v>2883</v>
      </c>
      <c r="G3188" s="72">
        <v>3.28115956E8</v>
      </c>
    </row>
    <row r="3189">
      <c r="A3189" s="2">
        <v>9.78467708E9</v>
      </c>
      <c r="B3189" s="72">
        <v>1.3883048E7</v>
      </c>
      <c r="C3189" s="74">
        <v>46226.960352546295</v>
      </c>
      <c r="D3189" s="2" t="s">
        <v>628</v>
      </c>
      <c r="F3189" s="2" t="s">
        <v>2883</v>
      </c>
      <c r="G3189" s="72">
        <v>3.27337679E8</v>
      </c>
    </row>
    <row r="3190">
      <c r="A3190" s="2">
        <v>9.78467708E9</v>
      </c>
      <c r="B3190" s="72">
        <v>1.3883048E7</v>
      </c>
      <c r="C3190" s="74">
        <v>46227.04495688657</v>
      </c>
      <c r="D3190" s="2" t="s">
        <v>628</v>
      </c>
      <c r="F3190" s="2" t="s">
        <v>2880</v>
      </c>
      <c r="G3190" s="72">
        <v>3.27409833E8</v>
      </c>
    </row>
    <row r="3191">
      <c r="A3191" s="2">
        <v>9.78467708E9</v>
      </c>
      <c r="B3191" s="72">
        <v>1.3883048E7</v>
      </c>
      <c r="C3191" s="74">
        <v>46226.54438792824</v>
      </c>
      <c r="D3191" s="2" t="s">
        <v>628</v>
      </c>
      <c r="F3191" s="2" t="s">
        <v>630</v>
      </c>
      <c r="G3191" s="72">
        <v>3.26899237E8</v>
      </c>
    </row>
    <row r="3192">
      <c r="A3192" s="2">
        <v>9.784906006E9</v>
      </c>
      <c r="B3192" s="72">
        <v>8.092357E7</v>
      </c>
      <c r="C3192" s="74">
        <v>46219.960819768516</v>
      </c>
      <c r="D3192" s="2" t="s">
        <v>628</v>
      </c>
      <c r="F3192" s="2" t="s">
        <v>2678</v>
      </c>
      <c r="G3192" s="72">
        <v>3.2247811E8</v>
      </c>
    </row>
    <row r="3193">
      <c r="A3193" s="2">
        <v>9.785492817E9</v>
      </c>
      <c r="B3193" s="72">
        <v>4213298.0</v>
      </c>
      <c r="C3193" s="74">
        <v>46226.54259372685</v>
      </c>
      <c r="D3193" s="2" t="s">
        <v>628</v>
      </c>
      <c r="F3193" s="2" t="s">
        <v>630</v>
      </c>
      <c r="G3193" s="72">
        <v>3.26878079E8</v>
      </c>
    </row>
    <row r="3194">
      <c r="A3194" s="2">
        <v>9.785492817E9</v>
      </c>
      <c r="B3194" s="72">
        <v>4213298.0</v>
      </c>
      <c r="C3194" s="74">
        <v>46224.75115730324</v>
      </c>
      <c r="D3194" s="2" t="s">
        <v>628</v>
      </c>
      <c r="F3194" s="2" t="s">
        <v>743</v>
      </c>
      <c r="G3194" s="72">
        <v>3.25788309E8</v>
      </c>
    </row>
    <row r="3195">
      <c r="A3195" s="2">
        <v>9.785492817E9</v>
      </c>
      <c r="B3195" s="72">
        <v>4213298.0</v>
      </c>
      <c r="C3195" s="74">
        <v>46226.958676145834</v>
      </c>
      <c r="D3195" s="2" t="s">
        <v>628</v>
      </c>
      <c r="F3195" s="2" t="s">
        <v>744</v>
      </c>
      <c r="G3195" s="72">
        <v>3.27333192E8</v>
      </c>
    </row>
    <row r="3196">
      <c r="A3196" s="2">
        <v>9.785497071E9</v>
      </c>
      <c r="B3196" s="72">
        <v>8.2197969E7</v>
      </c>
      <c r="C3196" s="74">
        <v>46228.96225747685</v>
      </c>
      <c r="D3196" s="2" t="s">
        <v>628</v>
      </c>
      <c r="F3196" s="2" t="s">
        <v>849</v>
      </c>
      <c r="G3196" s="72">
        <v>3.28872082E8</v>
      </c>
    </row>
    <row r="3197">
      <c r="A3197" s="2">
        <v>9.785497071E9</v>
      </c>
      <c r="B3197" s="72">
        <v>8.2197969E7</v>
      </c>
      <c r="C3197" s="74">
        <v>46227.75398101852</v>
      </c>
      <c r="D3197" s="2" t="s">
        <v>628</v>
      </c>
      <c r="F3197" s="2" t="s">
        <v>775</v>
      </c>
      <c r="G3197" s="72">
        <v>3.27885718E8</v>
      </c>
    </row>
    <row r="3198">
      <c r="A3198" s="2">
        <v>9.786607068E9</v>
      </c>
      <c r="B3198" s="72">
        <v>8.1568757E7</v>
      </c>
      <c r="C3198" s="74">
        <v>46225.961452476855</v>
      </c>
      <c r="D3198" s="2" t="s">
        <v>628</v>
      </c>
      <c r="F3198" s="2" t="s">
        <v>2341</v>
      </c>
      <c r="G3198" s="72">
        <v>3.2663449E8</v>
      </c>
    </row>
    <row r="3199">
      <c r="A3199" s="2">
        <v>9.786607068E9</v>
      </c>
      <c r="B3199" s="72">
        <v>8.1568757E7</v>
      </c>
      <c r="C3199" s="74">
        <v>46223.89244519676</v>
      </c>
      <c r="D3199" s="2" t="s">
        <v>628</v>
      </c>
      <c r="F3199" s="2" t="s">
        <v>2340</v>
      </c>
      <c r="G3199" s="72">
        <v>3.25306953E8</v>
      </c>
    </row>
    <row r="3200">
      <c r="A3200" s="2">
        <v>9.786607068E9</v>
      </c>
      <c r="B3200" s="72">
        <v>8.1568757E7</v>
      </c>
      <c r="C3200" s="74">
        <v>46225.54458439814</v>
      </c>
      <c r="D3200" s="2" t="s">
        <v>628</v>
      </c>
      <c r="F3200" s="2" t="s">
        <v>630</v>
      </c>
      <c r="G3200" s="72">
        <v>3.26230928E8</v>
      </c>
    </row>
    <row r="3201">
      <c r="A3201" s="2">
        <v>9.786770528E9</v>
      </c>
      <c r="B3201" s="72">
        <v>7.8794739E7</v>
      </c>
      <c r="C3201" s="74">
        <v>46206.720923078705</v>
      </c>
      <c r="D3201" s="2" t="s">
        <v>628</v>
      </c>
      <c r="F3201" s="2" t="s">
        <v>2884</v>
      </c>
      <c r="G3201" s="72">
        <v>3.13532726E8</v>
      </c>
    </row>
    <row r="3202">
      <c r="A3202" s="2">
        <v>9.786770528E9</v>
      </c>
      <c r="B3202" s="72">
        <v>7.8794739E7</v>
      </c>
      <c r="C3202" s="74">
        <v>46207.959221875004</v>
      </c>
      <c r="D3202" s="2" t="s">
        <v>628</v>
      </c>
      <c r="F3202" s="2" t="s">
        <v>2885</v>
      </c>
      <c r="G3202" s="72">
        <v>3.14474685E8</v>
      </c>
    </row>
    <row r="3203">
      <c r="A3203" s="2">
        <v>9.786770528E9</v>
      </c>
      <c r="B3203" s="72">
        <v>7.8794739E7</v>
      </c>
      <c r="C3203" s="74">
        <v>46207.542858877314</v>
      </c>
      <c r="D3203" s="2" t="s">
        <v>628</v>
      </c>
      <c r="F3203" s="2" t="s">
        <v>630</v>
      </c>
      <c r="G3203" s="72">
        <v>3.14061497E8</v>
      </c>
    </row>
    <row r="3204">
      <c r="A3204" s="2">
        <v>9.786975719E9</v>
      </c>
      <c r="B3204" s="72">
        <v>8.2080426E7</v>
      </c>
      <c r="C3204" s="74">
        <v>46226.95913342593</v>
      </c>
      <c r="D3204" s="2" t="s">
        <v>628</v>
      </c>
      <c r="F3204" s="2" t="s">
        <v>1420</v>
      </c>
      <c r="G3204" s="72">
        <v>3.27333754E8</v>
      </c>
    </row>
    <row r="3205">
      <c r="A3205" s="2">
        <v>9.786976198E9</v>
      </c>
      <c r="B3205" s="72">
        <v>8.250442E7</v>
      </c>
      <c r="C3205" s="74">
        <v>46229.74165157408</v>
      </c>
      <c r="D3205" s="2" t="s">
        <v>705</v>
      </c>
      <c r="F3205" s="2" t="s">
        <v>2886</v>
      </c>
      <c r="G3205" s="72">
        <v>3.29410488E8</v>
      </c>
    </row>
    <row r="3206">
      <c r="A3206" s="2">
        <v>9.786976198E9</v>
      </c>
      <c r="B3206" s="72">
        <v>8.250442E7</v>
      </c>
      <c r="C3206" s="74">
        <v>46229.505411238424</v>
      </c>
      <c r="D3206" s="2" t="s">
        <v>628</v>
      </c>
      <c r="F3206" s="2" t="s">
        <v>2887</v>
      </c>
      <c r="G3206" s="72">
        <v>3.2915462E8</v>
      </c>
    </row>
    <row r="3207">
      <c r="A3207" s="2">
        <v>9.786976198E9</v>
      </c>
      <c r="B3207" s="72">
        <v>8.250442E7</v>
      </c>
      <c r="C3207" s="74">
        <v>46230.546130092596</v>
      </c>
      <c r="D3207" s="2" t="s">
        <v>628</v>
      </c>
      <c r="F3207" s="2" t="s">
        <v>630</v>
      </c>
      <c r="G3207" s="72">
        <v>3.29884067E8</v>
      </c>
    </row>
    <row r="3208">
      <c r="A3208" s="2">
        <v>9.786976198E9</v>
      </c>
      <c r="B3208" s="72">
        <v>8.250442E7</v>
      </c>
      <c r="C3208" s="74">
        <v>46230.9615058912</v>
      </c>
      <c r="D3208" s="2" t="s">
        <v>628</v>
      </c>
      <c r="F3208" s="2" t="s">
        <v>2888</v>
      </c>
      <c r="G3208" s="72">
        <v>3.30272582E8</v>
      </c>
    </row>
    <row r="3209">
      <c r="A3209" s="2">
        <v>9.787710206E9</v>
      </c>
      <c r="B3209" s="72">
        <v>8.0361356E7</v>
      </c>
      <c r="C3209" s="74">
        <v>46218.96057244213</v>
      </c>
      <c r="D3209" s="2" t="s">
        <v>628</v>
      </c>
      <c r="F3209" s="2" t="s">
        <v>2478</v>
      </c>
      <c r="G3209" s="72">
        <v>3.21770507E8</v>
      </c>
    </row>
    <row r="3210">
      <c r="A3210" s="2">
        <v>9.787710206E9</v>
      </c>
      <c r="B3210" s="72">
        <v>8.0361356E7</v>
      </c>
      <c r="C3210" s="74">
        <v>46216.75184358796</v>
      </c>
      <c r="D3210" s="2" t="s">
        <v>628</v>
      </c>
      <c r="F3210" s="2" t="s">
        <v>2477</v>
      </c>
      <c r="G3210" s="72">
        <v>3.20289057E8</v>
      </c>
    </row>
    <row r="3211">
      <c r="A3211" s="2">
        <v>9.787710206E9</v>
      </c>
      <c r="B3211" s="72">
        <v>8.0361356E7</v>
      </c>
      <c r="C3211" s="74">
        <v>46218.54379125</v>
      </c>
      <c r="D3211" s="2" t="s">
        <v>628</v>
      </c>
      <c r="F3211" s="2" t="s">
        <v>630</v>
      </c>
      <c r="G3211" s="72">
        <v>3.21362211E8</v>
      </c>
    </row>
    <row r="3212">
      <c r="A3212" s="2">
        <v>9.787906914E9</v>
      </c>
      <c r="B3212" s="72">
        <v>8.1109065E7</v>
      </c>
      <c r="C3212" s="74">
        <v>46220.96170431713</v>
      </c>
      <c r="D3212" s="2" t="s">
        <v>628</v>
      </c>
      <c r="F3212" s="2" t="s">
        <v>2889</v>
      </c>
      <c r="G3212" s="72">
        <v>3.23249308E8</v>
      </c>
    </row>
    <row r="3213">
      <c r="A3213" s="2">
        <v>9.787957408E9</v>
      </c>
      <c r="B3213" s="72">
        <v>3.8050442E7</v>
      </c>
      <c r="C3213" s="74">
        <v>46228.544233506946</v>
      </c>
      <c r="D3213" s="2" t="s">
        <v>628</v>
      </c>
      <c r="F3213" s="2" t="s">
        <v>630</v>
      </c>
      <c r="G3213" s="72">
        <v>3.28422106E8</v>
      </c>
    </row>
    <row r="3214">
      <c r="A3214" s="2">
        <v>9.787957408E9</v>
      </c>
      <c r="B3214" s="72">
        <v>3.8050442E7</v>
      </c>
      <c r="C3214" s="74">
        <v>46228.96011267361</v>
      </c>
      <c r="D3214" s="2" t="s">
        <v>628</v>
      </c>
      <c r="F3214" s="2" t="s">
        <v>1428</v>
      </c>
      <c r="G3214" s="72">
        <v>3.28862067E8</v>
      </c>
    </row>
    <row r="3215">
      <c r="A3215" s="2">
        <v>9.787957408E9</v>
      </c>
      <c r="B3215" s="72">
        <v>3.8050442E7</v>
      </c>
      <c r="C3215" s="74">
        <v>46226.753911782405</v>
      </c>
      <c r="D3215" s="2" t="s">
        <v>628</v>
      </c>
      <c r="F3215" s="2" t="s">
        <v>1423</v>
      </c>
      <c r="G3215" s="72">
        <v>3.27117034E8</v>
      </c>
    </row>
    <row r="3216">
      <c r="A3216" s="2">
        <v>9.788335818E9</v>
      </c>
      <c r="B3216" s="72">
        <v>8.1656363E7</v>
      </c>
      <c r="C3216" s="74">
        <v>46224.62813251157</v>
      </c>
      <c r="D3216" s="2" t="s">
        <v>628</v>
      </c>
      <c r="F3216" s="2" t="s">
        <v>2890</v>
      </c>
      <c r="G3216" s="72">
        <v>3.25701591E8</v>
      </c>
    </row>
    <row r="3217">
      <c r="A3217" s="2">
        <v>9.788335818E9</v>
      </c>
      <c r="B3217" s="72">
        <v>8.1656363E7</v>
      </c>
      <c r="C3217" s="74">
        <v>46224.96016012732</v>
      </c>
      <c r="D3217" s="2" t="s">
        <v>628</v>
      </c>
      <c r="F3217" s="2" t="s">
        <v>2891</v>
      </c>
      <c r="G3217" s="72">
        <v>3.2598685E8</v>
      </c>
    </row>
    <row r="3218">
      <c r="A3218" s="2">
        <v>9.788355893E9</v>
      </c>
      <c r="B3218" s="72">
        <v>8.0980638E7</v>
      </c>
      <c r="C3218" s="74">
        <v>46220.54428913194</v>
      </c>
      <c r="D3218" s="2" t="s">
        <v>628</v>
      </c>
      <c r="F3218" s="2" t="s">
        <v>630</v>
      </c>
      <c r="G3218" s="72">
        <v>3.22764899E8</v>
      </c>
    </row>
    <row r="3219">
      <c r="A3219" s="2">
        <v>9.788355893E9</v>
      </c>
      <c r="C3219" s="74">
        <v>46218.751742465276</v>
      </c>
      <c r="D3219" s="2" t="s">
        <v>628</v>
      </c>
      <c r="F3219" s="2" t="s">
        <v>2892</v>
      </c>
      <c r="G3219" s="72">
        <v>3.21564332E8</v>
      </c>
    </row>
    <row r="3220">
      <c r="A3220" s="2">
        <v>9.788355893E9</v>
      </c>
      <c r="B3220" s="72">
        <v>8.0980638E7</v>
      </c>
      <c r="C3220" s="74">
        <v>46221.9601544676</v>
      </c>
      <c r="D3220" s="2" t="s">
        <v>628</v>
      </c>
      <c r="F3220" s="2" t="s">
        <v>2893</v>
      </c>
      <c r="G3220" s="72">
        <v>3.23993632E8</v>
      </c>
    </row>
    <row r="3221">
      <c r="A3221" s="2">
        <v>9.788355893E9</v>
      </c>
      <c r="C3221" s="74">
        <v>46218.7521349537</v>
      </c>
      <c r="D3221" s="2" t="s">
        <v>628</v>
      </c>
      <c r="F3221" s="2" t="s">
        <v>2892</v>
      </c>
      <c r="G3221" s="72">
        <v>3.21568012E8</v>
      </c>
    </row>
    <row r="3222">
      <c r="A3222" s="2">
        <v>9.788355893E9</v>
      </c>
      <c r="C3222" s="74">
        <v>46218.75101818287</v>
      </c>
      <c r="D3222" s="2" t="s">
        <v>628</v>
      </c>
      <c r="F3222" s="2" t="s">
        <v>2892</v>
      </c>
      <c r="G3222" s="72">
        <v>3.21559239E8</v>
      </c>
    </row>
    <row r="3223">
      <c r="A3223" s="2">
        <v>9.788460005E9</v>
      </c>
      <c r="B3223" s="72">
        <v>8.2514958E7</v>
      </c>
      <c r="C3223" s="74">
        <v>46229.54918916667</v>
      </c>
      <c r="D3223" s="2" t="s">
        <v>628</v>
      </c>
      <c r="F3223" s="2" t="s">
        <v>2231</v>
      </c>
      <c r="G3223" s="72">
        <v>3.29238063E8</v>
      </c>
    </row>
    <row r="3224">
      <c r="A3224" s="2">
        <v>9.788460005E9</v>
      </c>
      <c r="B3224" s="72">
        <v>8.2514958E7</v>
      </c>
      <c r="C3224" s="74">
        <v>46230.54475505787</v>
      </c>
      <c r="D3224" s="2" t="s">
        <v>628</v>
      </c>
      <c r="F3224" s="2" t="s">
        <v>630</v>
      </c>
      <c r="G3224" s="72">
        <v>3.2986273E8</v>
      </c>
    </row>
    <row r="3225">
      <c r="A3225" s="2">
        <v>9.788460005E9</v>
      </c>
      <c r="B3225" s="72">
        <v>8.2514958E7</v>
      </c>
      <c r="C3225" s="74">
        <v>46230.96031335648</v>
      </c>
      <c r="D3225" s="2" t="s">
        <v>628</v>
      </c>
      <c r="F3225" s="2" t="s">
        <v>2232</v>
      </c>
      <c r="G3225" s="72">
        <v>3.30269138E8</v>
      </c>
    </row>
    <row r="3226">
      <c r="A3226" s="2">
        <v>9.788530922E9</v>
      </c>
      <c r="B3226" s="72">
        <v>7.9694059E7</v>
      </c>
      <c r="C3226" s="74">
        <v>46214.54336589121</v>
      </c>
      <c r="D3226" s="2" t="s">
        <v>628</v>
      </c>
      <c r="F3226" s="2" t="s">
        <v>630</v>
      </c>
      <c r="G3226" s="72">
        <v>3.18694134E8</v>
      </c>
    </row>
    <row r="3227">
      <c r="A3227" s="2">
        <v>9.788530922E9</v>
      </c>
      <c r="B3227" s="72">
        <v>7.9694059E7</v>
      </c>
      <c r="C3227" s="74">
        <v>46212.75145087963</v>
      </c>
      <c r="D3227" s="2" t="s">
        <v>628</v>
      </c>
      <c r="F3227" s="2" t="s">
        <v>2894</v>
      </c>
      <c r="G3227" s="72">
        <v>3.17430346E8</v>
      </c>
    </row>
    <row r="3228">
      <c r="A3228" s="2">
        <v>9.788530922E9</v>
      </c>
      <c r="B3228" s="72">
        <v>7.9694059E7</v>
      </c>
      <c r="C3228" s="74">
        <v>46214.959952708334</v>
      </c>
      <c r="D3228" s="2" t="s">
        <v>628</v>
      </c>
      <c r="F3228" s="2" t="s">
        <v>2895</v>
      </c>
      <c r="G3228" s="72">
        <v>3.19132446E8</v>
      </c>
    </row>
    <row r="3229">
      <c r="A3229" s="2">
        <v>9.788662187E9</v>
      </c>
      <c r="B3229" s="72">
        <v>8.0422203E7</v>
      </c>
      <c r="C3229" s="74">
        <v>46216.96181334491</v>
      </c>
      <c r="D3229" s="2" t="s">
        <v>628</v>
      </c>
      <c r="F3229" s="2" t="s">
        <v>1841</v>
      </c>
      <c r="G3229" s="72">
        <v>3.20488327E8</v>
      </c>
    </row>
    <row r="3230">
      <c r="A3230" s="2">
        <v>9.788662187E9</v>
      </c>
      <c r="C3230" s="74">
        <v>46216.64210273148</v>
      </c>
      <c r="D3230" s="2" t="s">
        <v>628</v>
      </c>
      <c r="F3230" s="2" t="s">
        <v>1840</v>
      </c>
      <c r="G3230" s="72">
        <v>3.20215252E8</v>
      </c>
    </row>
    <row r="3231">
      <c r="A3231" s="2">
        <v>9.788669238E9</v>
      </c>
      <c r="B3231" s="72">
        <v>2.8631511E7</v>
      </c>
      <c r="C3231" s="74">
        <v>46210.96062971065</v>
      </c>
      <c r="D3231" s="2" t="s">
        <v>628</v>
      </c>
      <c r="F3231" s="2" t="s">
        <v>2896</v>
      </c>
      <c r="G3231" s="72">
        <v>3.16370538E8</v>
      </c>
    </row>
    <row r="3232">
      <c r="A3232" s="2">
        <v>9.78868757E9</v>
      </c>
      <c r="B3232" s="72">
        <v>7.9431748E7</v>
      </c>
      <c r="C3232" s="74">
        <v>46210.89113118056</v>
      </c>
      <c r="D3232" s="2" t="s">
        <v>628</v>
      </c>
      <c r="F3232" s="2" t="s">
        <v>924</v>
      </c>
      <c r="G3232" s="72">
        <v>3.16315769E8</v>
      </c>
    </row>
    <row r="3233">
      <c r="A3233" s="2">
        <v>9.78868757E9</v>
      </c>
      <c r="B3233" s="72">
        <v>7.9431748E7</v>
      </c>
      <c r="C3233" s="74">
        <v>46212.54496086805</v>
      </c>
      <c r="D3233" s="2" t="s">
        <v>628</v>
      </c>
      <c r="F3233" s="2" t="s">
        <v>630</v>
      </c>
      <c r="G3233" s="72">
        <v>3.17255227E8</v>
      </c>
    </row>
    <row r="3234">
      <c r="A3234" s="2">
        <v>9.78868757E9</v>
      </c>
      <c r="B3234" s="72">
        <v>7.9431748E7</v>
      </c>
      <c r="C3234" s="74">
        <v>46212.96179306713</v>
      </c>
      <c r="D3234" s="2" t="s">
        <v>628</v>
      </c>
      <c r="F3234" s="2" t="s">
        <v>925</v>
      </c>
      <c r="G3234" s="72">
        <v>3.17664355E8</v>
      </c>
    </row>
    <row r="3235">
      <c r="A3235" s="2">
        <v>9.78880179E9</v>
      </c>
      <c r="B3235" s="72">
        <v>8.2815262E7</v>
      </c>
      <c r="C3235" s="74">
        <v>46231.959521805555</v>
      </c>
      <c r="D3235" s="2" t="s">
        <v>628</v>
      </c>
      <c r="F3235" s="2" t="s">
        <v>2897</v>
      </c>
      <c r="G3235" s="72">
        <v>3.30913792E8</v>
      </c>
    </row>
    <row r="3236">
      <c r="A3236" s="2">
        <v>9.78880179E9</v>
      </c>
      <c r="B3236" s="72">
        <v>8.2815262E7</v>
      </c>
      <c r="C3236" s="74">
        <v>46231.5431078588</v>
      </c>
      <c r="D3236" s="2" t="s">
        <v>628</v>
      </c>
      <c r="F3236" s="2" t="s">
        <v>630</v>
      </c>
      <c r="G3236" s="72">
        <v>3.30512751E8</v>
      </c>
    </row>
    <row r="3237">
      <c r="A3237" s="2">
        <v>9.78880179E9</v>
      </c>
      <c r="B3237" s="72">
        <v>8.2815262E7</v>
      </c>
      <c r="C3237" s="74">
        <v>46232.54776534722</v>
      </c>
      <c r="D3237" s="2" t="s">
        <v>705</v>
      </c>
      <c r="F3237" s="2" t="s">
        <v>2898</v>
      </c>
      <c r="G3237" s="72">
        <v>3.31200351E8</v>
      </c>
    </row>
    <row r="3238">
      <c r="A3238" s="2">
        <v>9.788850547E9</v>
      </c>
      <c r="B3238" s="72">
        <v>8.1177422E7</v>
      </c>
      <c r="C3238" s="74">
        <v>46221.9609955787</v>
      </c>
      <c r="D3238" s="2" t="s">
        <v>628</v>
      </c>
      <c r="F3238" s="2" t="s">
        <v>717</v>
      </c>
      <c r="G3238" s="72">
        <v>3.23998647E8</v>
      </c>
    </row>
    <row r="3239">
      <c r="A3239" s="2">
        <v>9.788850547E9</v>
      </c>
      <c r="B3239" s="72">
        <v>8.1177422E7</v>
      </c>
      <c r="C3239" s="74">
        <v>46221.544996875</v>
      </c>
      <c r="D3239" s="2" t="s">
        <v>628</v>
      </c>
      <c r="F3239" s="2" t="s">
        <v>630</v>
      </c>
      <c r="G3239" s="72">
        <v>3.23556868E8</v>
      </c>
    </row>
    <row r="3240">
      <c r="A3240" s="2">
        <v>9.788866175E9</v>
      </c>
      <c r="B3240" s="72">
        <v>8.1954941E7</v>
      </c>
      <c r="C3240" s="74">
        <v>46226.54456780093</v>
      </c>
      <c r="D3240" s="2" t="s">
        <v>628</v>
      </c>
      <c r="F3240" s="2" t="s">
        <v>630</v>
      </c>
      <c r="G3240" s="72">
        <v>3.26900617E8</v>
      </c>
    </row>
    <row r="3241">
      <c r="A3241" s="2">
        <v>9.788866175E9</v>
      </c>
      <c r="B3241" s="72">
        <v>8.1954941E7</v>
      </c>
      <c r="C3241" s="74">
        <v>46226.96047261574</v>
      </c>
      <c r="D3241" s="2" t="s">
        <v>628</v>
      </c>
      <c r="F3241" s="2" t="s">
        <v>2899</v>
      </c>
      <c r="G3241" s="72">
        <v>3.27338192E8</v>
      </c>
    </row>
    <row r="3242">
      <c r="A3242" s="2">
        <v>9.788885497E9</v>
      </c>
      <c r="B3242" s="72">
        <v>7.8687412E7</v>
      </c>
      <c r="C3242" s="74">
        <v>46205.91560341435</v>
      </c>
      <c r="D3242" s="2" t="s">
        <v>628</v>
      </c>
      <c r="F3242" s="2" t="s">
        <v>1875</v>
      </c>
      <c r="G3242" s="72">
        <v>3.13015071E8</v>
      </c>
    </row>
    <row r="3243">
      <c r="A3243" s="2">
        <v>9.788885497E9</v>
      </c>
      <c r="B3243" s="72">
        <v>7.8687412E7</v>
      </c>
      <c r="C3243" s="74">
        <v>46206.6543058449</v>
      </c>
      <c r="D3243" s="2" t="s">
        <v>705</v>
      </c>
      <c r="F3243" s="2" t="s">
        <v>2900</v>
      </c>
      <c r="G3243" s="72">
        <v>3.13469938E8</v>
      </c>
    </row>
    <row r="3244">
      <c r="A3244" s="2">
        <v>9.788885497E9</v>
      </c>
      <c r="B3244" s="72">
        <v>7.8687412E7</v>
      </c>
      <c r="C3244" s="74">
        <v>46207.544856504624</v>
      </c>
      <c r="D3244" s="2" t="s">
        <v>628</v>
      </c>
      <c r="F3244" s="2" t="s">
        <v>630</v>
      </c>
      <c r="G3244" s="72">
        <v>3.14092219E8</v>
      </c>
    </row>
    <row r="3245">
      <c r="A3245" s="2">
        <v>9.788885497E9</v>
      </c>
      <c r="B3245" s="72">
        <v>7.8687412E7</v>
      </c>
      <c r="C3245" s="74">
        <v>46207.96172111111</v>
      </c>
      <c r="D3245" s="2" t="s">
        <v>628</v>
      </c>
      <c r="F3245" s="2" t="s">
        <v>2805</v>
      </c>
      <c r="G3245" s="72">
        <v>3.14489712E8</v>
      </c>
    </row>
    <row r="3246">
      <c r="A3246" s="2">
        <v>9.788885497E9</v>
      </c>
      <c r="B3246" s="72">
        <v>7.8687412E7</v>
      </c>
      <c r="C3246" s="74">
        <v>46206.6528628125</v>
      </c>
      <c r="D3246" s="2" t="s">
        <v>667</v>
      </c>
      <c r="E3246" s="2" t="s">
        <v>668</v>
      </c>
      <c r="F3246" s="2" t="s">
        <v>2901</v>
      </c>
      <c r="G3246" s="72">
        <v>3.13469154E8</v>
      </c>
    </row>
    <row r="3247">
      <c r="A3247" s="2">
        <v>9.788952014E9</v>
      </c>
      <c r="B3247" s="72">
        <v>3.6141946E7</v>
      </c>
      <c r="C3247" s="74">
        <v>46210.543197824074</v>
      </c>
      <c r="D3247" s="2" t="s">
        <v>628</v>
      </c>
      <c r="F3247" s="2" t="s">
        <v>630</v>
      </c>
      <c r="G3247" s="72">
        <v>3.16005281E8</v>
      </c>
    </row>
    <row r="3248">
      <c r="A3248" s="2">
        <v>9.788952014E9</v>
      </c>
      <c r="B3248" s="72">
        <v>3.6141946E7</v>
      </c>
      <c r="C3248" s="74">
        <v>46211.95993140046</v>
      </c>
      <c r="D3248" s="2" t="s">
        <v>628</v>
      </c>
      <c r="F3248" s="2" t="s">
        <v>2902</v>
      </c>
      <c r="G3248" s="72">
        <v>3.16984595E8</v>
      </c>
    </row>
    <row r="3249">
      <c r="A3249" s="2">
        <v>9.789446201E9</v>
      </c>
      <c r="C3249" s="74">
        <v>46216.75229542824</v>
      </c>
      <c r="D3249" s="2" t="s">
        <v>628</v>
      </c>
      <c r="F3249" s="2" t="s">
        <v>2903</v>
      </c>
      <c r="G3249" s="72">
        <v>3.20291178E8</v>
      </c>
    </row>
    <row r="3250">
      <c r="A3250" s="2">
        <v>9.789446201E9</v>
      </c>
      <c r="B3250" s="72">
        <v>8.0626486E7</v>
      </c>
      <c r="C3250" s="74">
        <v>46218.959916168984</v>
      </c>
      <c r="D3250" s="2" t="s">
        <v>628</v>
      </c>
      <c r="F3250" s="2" t="s">
        <v>2904</v>
      </c>
      <c r="G3250" s="72">
        <v>3.21767977E8</v>
      </c>
    </row>
    <row r="3251">
      <c r="A3251" s="2">
        <v>9.789446201E9</v>
      </c>
      <c r="B3251" s="72">
        <v>8.0626486E7</v>
      </c>
      <c r="C3251" s="74">
        <v>46218.54297811343</v>
      </c>
      <c r="D3251" s="2" t="s">
        <v>628</v>
      </c>
      <c r="F3251" s="2" t="s">
        <v>630</v>
      </c>
      <c r="G3251" s="72">
        <v>3.21352202E8</v>
      </c>
    </row>
    <row r="3252">
      <c r="A3252" s="2">
        <v>9.789940215E9</v>
      </c>
      <c r="B3252" s="72">
        <v>4.0078812E7</v>
      </c>
      <c r="C3252" s="74">
        <v>46230.54271612268</v>
      </c>
      <c r="D3252" s="2" t="s">
        <v>628</v>
      </c>
      <c r="F3252" s="2" t="s">
        <v>630</v>
      </c>
      <c r="G3252" s="72">
        <v>3.29846425E8</v>
      </c>
    </row>
    <row r="3253">
      <c r="A3253" s="2">
        <v>9.789940215E9</v>
      </c>
      <c r="B3253" s="72">
        <v>4.0078812E7</v>
      </c>
      <c r="C3253" s="74">
        <v>46232.9599575926</v>
      </c>
      <c r="D3253" s="2" t="s">
        <v>628</v>
      </c>
      <c r="F3253" s="2" t="s">
        <v>1977</v>
      </c>
      <c r="G3253" s="72">
        <v>3.31583846E8</v>
      </c>
    </row>
    <row r="3254">
      <c r="A3254" s="2">
        <v>9.789940215E9</v>
      </c>
      <c r="C3254" s="74">
        <v>46228.75204918982</v>
      </c>
      <c r="D3254" s="2" t="s">
        <v>628</v>
      </c>
      <c r="F3254" s="2" t="s">
        <v>1617</v>
      </c>
      <c r="G3254" s="72">
        <v>3.28642769E8</v>
      </c>
    </row>
    <row r="3255">
      <c r="C3255" s="74">
        <v>46229.75381278935</v>
      </c>
      <c r="D3255" s="2" t="s">
        <v>628</v>
      </c>
      <c r="F3255" s="2" t="s">
        <v>2905</v>
      </c>
      <c r="G3255" s="72">
        <v>3.29434329E8</v>
      </c>
    </row>
    <row r="3256">
      <c r="C3256" s="74">
        <v>46219.96107793981</v>
      </c>
      <c r="D3256" s="2" t="s">
        <v>628</v>
      </c>
      <c r="F3256" s="2" t="s">
        <v>2906</v>
      </c>
      <c r="G3256" s="72">
        <v>3.22479E8</v>
      </c>
    </row>
    <row r="3257">
      <c r="B3257" s="72">
        <v>8.2068973E7</v>
      </c>
      <c r="C3257" s="74">
        <v>46226.953762881945</v>
      </c>
      <c r="D3257" s="2" t="s">
        <v>705</v>
      </c>
      <c r="F3257" s="2" t="s">
        <v>2907</v>
      </c>
      <c r="G3257" s="72">
        <v>3.27330149E8</v>
      </c>
    </row>
    <row r="3258">
      <c r="B3258" s="72">
        <v>8.0652082E7</v>
      </c>
      <c r="C3258" s="74">
        <v>46218.65812234954</v>
      </c>
      <c r="D3258" s="2" t="s">
        <v>653</v>
      </c>
      <c r="F3258" s="2" t="s">
        <v>753</v>
      </c>
      <c r="G3258" s="72">
        <v>3.21483749E8</v>
      </c>
    </row>
    <row r="3259">
      <c r="B3259" s="72">
        <v>8.0927455E7</v>
      </c>
      <c r="C3259" s="74">
        <v>46219.97711795139</v>
      </c>
      <c r="D3259" s="2" t="s">
        <v>653</v>
      </c>
      <c r="F3259" s="2" t="s">
        <v>2908</v>
      </c>
      <c r="G3259" s="72">
        <v>3.22492525E8</v>
      </c>
    </row>
    <row r="3260">
      <c r="C3260" s="74">
        <v>46205.75223135417</v>
      </c>
      <c r="D3260" s="2" t="s">
        <v>628</v>
      </c>
      <c r="F3260" s="2" t="s">
        <v>2909</v>
      </c>
      <c r="G3260" s="72">
        <v>3.12825629E8</v>
      </c>
    </row>
    <row r="3261">
      <c r="C3261" s="74">
        <v>46214.75356841435</v>
      </c>
      <c r="D3261" s="2" t="s">
        <v>628</v>
      </c>
      <c r="F3261" s="2" t="s">
        <v>1773</v>
      </c>
      <c r="G3261" s="72">
        <v>3.18927433E8</v>
      </c>
    </row>
    <row r="3262">
      <c r="B3262" s="72">
        <v>8.1141625E7</v>
      </c>
      <c r="C3262" s="74">
        <v>46221.115203877314</v>
      </c>
      <c r="D3262" s="2" t="s">
        <v>705</v>
      </c>
      <c r="F3262" s="2" t="s">
        <v>2910</v>
      </c>
      <c r="G3262" s="72">
        <v>3.23358895E8</v>
      </c>
    </row>
    <row r="3263">
      <c r="B3263" s="72">
        <v>8.253652E7</v>
      </c>
      <c r="C3263" s="74">
        <v>46229.68515771991</v>
      </c>
      <c r="D3263" s="2" t="s">
        <v>653</v>
      </c>
      <c r="F3263" s="2" t="s">
        <v>2911</v>
      </c>
      <c r="G3263" s="72">
        <v>3.29377507E8</v>
      </c>
    </row>
    <row r="3264">
      <c r="B3264" s="72">
        <v>7.812564E7</v>
      </c>
      <c r="C3264" s="74">
        <v>46215.8914387963</v>
      </c>
      <c r="D3264" s="2" t="s">
        <v>705</v>
      </c>
      <c r="F3264" s="2" t="s">
        <v>2912</v>
      </c>
      <c r="G3264" s="72">
        <v>3.19804707E8</v>
      </c>
    </row>
    <row r="3265">
      <c r="C3265" s="74">
        <v>46205.75383913194</v>
      </c>
      <c r="D3265" s="2" t="s">
        <v>628</v>
      </c>
      <c r="F3265" s="2" t="s">
        <v>776</v>
      </c>
      <c r="G3265" s="72">
        <v>3.12845594E8</v>
      </c>
    </row>
    <row r="3266">
      <c r="C3266" s="74">
        <v>46204.89911849537</v>
      </c>
      <c r="D3266" s="2" t="s">
        <v>628</v>
      </c>
      <c r="F3266" s="2" t="s">
        <v>2168</v>
      </c>
      <c r="G3266" s="72">
        <v>3.12335182E8</v>
      </c>
    </row>
    <row r="3267">
      <c r="B3267" s="72">
        <v>8.2369093E7</v>
      </c>
      <c r="C3267" s="74">
        <v>46228.675147766204</v>
      </c>
      <c r="D3267" s="2" t="s">
        <v>705</v>
      </c>
      <c r="F3267" s="2" t="s">
        <v>2913</v>
      </c>
      <c r="G3267" s="72">
        <v>3.28582495E8</v>
      </c>
    </row>
    <row r="3268">
      <c r="B3268" s="72">
        <v>7.812564E7</v>
      </c>
      <c r="C3268" s="74">
        <v>46204.499931666665</v>
      </c>
      <c r="D3268" s="2" t="s">
        <v>705</v>
      </c>
      <c r="F3268" s="2" t="s">
        <v>2914</v>
      </c>
      <c r="G3268" s="72">
        <v>3.1193844E8</v>
      </c>
    </row>
    <row r="3269">
      <c r="C3269" s="74">
        <v>46209.96006150463</v>
      </c>
      <c r="D3269" s="2" t="s">
        <v>628</v>
      </c>
      <c r="F3269" s="2" t="s">
        <v>2915</v>
      </c>
      <c r="G3269" s="72">
        <v>3.15778976E8</v>
      </c>
    </row>
    <row r="3270">
      <c r="B3270" s="72">
        <v>8.2369089E7</v>
      </c>
      <c r="C3270" s="74">
        <v>46228.67510111111</v>
      </c>
      <c r="D3270" s="2" t="s">
        <v>653</v>
      </c>
      <c r="F3270" s="2" t="s">
        <v>2916</v>
      </c>
      <c r="G3270" s="72">
        <v>3.28582446E8</v>
      </c>
    </row>
    <row r="3271">
      <c r="B3271" s="72">
        <v>8.1684434E7</v>
      </c>
      <c r="C3271" s="74">
        <v>46227.5489243287</v>
      </c>
      <c r="D3271" s="2" t="s">
        <v>653</v>
      </c>
      <c r="F3271" s="2" t="s">
        <v>2917</v>
      </c>
      <c r="G3271" s="72">
        <v>3.27663939E8</v>
      </c>
    </row>
    <row r="3272">
      <c r="C3272" s="74">
        <v>46204.961734490746</v>
      </c>
      <c r="D3272" s="2" t="s">
        <v>628</v>
      </c>
      <c r="F3272" s="2" t="s">
        <v>2918</v>
      </c>
      <c r="G3272" s="72">
        <v>3.1238708E8</v>
      </c>
    </row>
    <row r="3273">
      <c r="B3273" s="72">
        <v>8.0739765E7</v>
      </c>
      <c r="C3273" s="74">
        <v>46218.96121212963</v>
      </c>
      <c r="D3273" s="2" t="s">
        <v>705</v>
      </c>
      <c r="F3273" s="2" t="s">
        <v>722</v>
      </c>
      <c r="G3273" s="72">
        <v>3.21772887E8</v>
      </c>
    </row>
    <row r="3274">
      <c r="C3274" s="74">
        <v>46213.752816168984</v>
      </c>
      <c r="D3274" s="2" t="s">
        <v>628</v>
      </c>
      <c r="F3274" s="2" t="s">
        <v>2919</v>
      </c>
      <c r="G3274" s="72">
        <v>3.1817882E8</v>
      </c>
    </row>
    <row r="3275">
      <c r="B3275" s="72">
        <v>8.1385148E7</v>
      </c>
      <c r="C3275" s="74">
        <v>46222.763040949074</v>
      </c>
      <c r="D3275" s="2" t="s">
        <v>653</v>
      </c>
      <c r="F3275" s="2" t="s">
        <v>2920</v>
      </c>
      <c r="G3275" s="72">
        <v>3.24558581E8</v>
      </c>
    </row>
    <row r="3276">
      <c r="B3276" s="72">
        <v>8.2696532E7</v>
      </c>
      <c r="C3276" s="74">
        <v>46232.95962724537</v>
      </c>
      <c r="D3276" s="2" t="s">
        <v>628</v>
      </c>
      <c r="F3276" s="2" t="s">
        <v>1029</v>
      </c>
      <c r="G3276" s="72">
        <v>3.31582717E8</v>
      </c>
    </row>
    <row r="3277">
      <c r="B3277" s="72">
        <v>8.1322454E7</v>
      </c>
      <c r="C3277" s="74">
        <v>46222.41916071759</v>
      </c>
      <c r="D3277" s="2" t="s">
        <v>653</v>
      </c>
      <c r="F3277" s="2" t="s">
        <v>2921</v>
      </c>
      <c r="G3277" s="72">
        <v>3.24148299E8</v>
      </c>
    </row>
    <row r="3278">
      <c r="C3278" s="74">
        <v>46224.54347121528</v>
      </c>
      <c r="D3278" s="2" t="s">
        <v>628</v>
      </c>
      <c r="F3278" s="2" t="s">
        <v>630</v>
      </c>
      <c r="G3278" s="72">
        <v>3.25601021E8</v>
      </c>
    </row>
    <row r="3279">
      <c r="B3279" s="72">
        <v>8.3045193E7</v>
      </c>
      <c r="C3279" s="74">
        <v>46232.97086898148</v>
      </c>
      <c r="D3279" s="2" t="s">
        <v>705</v>
      </c>
      <c r="F3279" s="2" t="s">
        <v>2432</v>
      </c>
      <c r="G3279" s="72">
        <v>3.31596913E8</v>
      </c>
    </row>
    <row r="3280">
      <c r="C3280" s="74">
        <v>46223.960829143514</v>
      </c>
      <c r="D3280" s="2" t="s">
        <v>628</v>
      </c>
      <c r="F3280" s="2" t="s">
        <v>2922</v>
      </c>
      <c r="G3280" s="72">
        <v>3.25366657E8</v>
      </c>
    </row>
    <row r="3281">
      <c r="B3281" s="72">
        <v>8.0562788E7</v>
      </c>
      <c r="C3281" s="74">
        <v>46217.900742604164</v>
      </c>
      <c r="D3281" s="2" t="s">
        <v>628</v>
      </c>
      <c r="F3281" s="2" t="s">
        <v>2923</v>
      </c>
      <c r="G3281" s="72">
        <v>3.21065645E8</v>
      </c>
    </row>
    <row r="3282">
      <c r="B3282" s="72">
        <v>8.2369093E7</v>
      </c>
      <c r="C3282" s="74">
        <v>46228.67515306713</v>
      </c>
      <c r="D3282" s="2" t="s">
        <v>705</v>
      </c>
      <c r="F3282" s="2" t="s">
        <v>1594</v>
      </c>
      <c r="G3282" s="72">
        <v>3.28582496E8</v>
      </c>
    </row>
    <row r="3283">
      <c r="C3283" s="74">
        <v>46233.75351658565</v>
      </c>
      <c r="D3283" s="2" t="s">
        <v>628</v>
      </c>
      <c r="F3283" s="2" t="s">
        <v>2924</v>
      </c>
      <c r="G3283" s="72">
        <v>3.32080557E8</v>
      </c>
    </row>
    <row r="3284">
      <c r="C3284" s="74">
        <v>46233.96002141204</v>
      </c>
      <c r="D3284" s="2" t="s">
        <v>628</v>
      </c>
      <c r="F3284" s="2" t="s">
        <v>2925</v>
      </c>
      <c r="G3284" s="72">
        <v>3.32303539E8</v>
      </c>
    </row>
    <row r="3285">
      <c r="C3285" s="74">
        <v>46232.96175300926</v>
      </c>
      <c r="D3285" s="2" t="s">
        <v>628</v>
      </c>
      <c r="F3285" s="2" t="s">
        <v>2926</v>
      </c>
      <c r="G3285" s="72">
        <v>3.31589832E8</v>
      </c>
    </row>
    <row r="3286">
      <c r="C3286" s="74">
        <v>46216.96171232639</v>
      </c>
      <c r="D3286" s="2" t="s">
        <v>628</v>
      </c>
      <c r="F3286" s="2" t="s">
        <v>2087</v>
      </c>
      <c r="G3286" s="72">
        <v>3.20488066E8</v>
      </c>
    </row>
    <row r="3287">
      <c r="B3287" s="72">
        <v>8.3044136E7</v>
      </c>
      <c r="C3287" s="74">
        <v>46233.96107601852</v>
      </c>
      <c r="D3287" s="2" t="s">
        <v>628</v>
      </c>
      <c r="F3287" s="2" t="s">
        <v>2927</v>
      </c>
      <c r="G3287" s="72">
        <v>3.32307738E8</v>
      </c>
    </row>
    <row r="3288">
      <c r="B3288" s="72">
        <v>8.3229564E7</v>
      </c>
      <c r="C3288" s="74">
        <v>46234.4622228125</v>
      </c>
      <c r="D3288" s="2" t="s">
        <v>653</v>
      </c>
      <c r="F3288" s="2" t="s">
        <v>2928</v>
      </c>
      <c r="G3288" s="72">
        <v>3.32504397E8</v>
      </c>
    </row>
    <row r="3289">
      <c r="C3289" s="74">
        <v>46205.751911018524</v>
      </c>
      <c r="D3289" s="2" t="s">
        <v>628</v>
      </c>
      <c r="F3289" s="2" t="s">
        <v>2231</v>
      </c>
      <c r="G3289" s="72">
        <v>3.12822306E8</v>
      </c>
    </row>
    <row r="3290">
      <c r="C3290" s="74">
        <v>46225.75273445602</v>
      </c>
      <c r="D3290" s="2" t="s">
        <v>628</v>
      </c>
      <c r="F3290" s="2" t="s">
        <v>2929</v>
      </c>
      <c r="G3290" s="72">
        <v>3.26435032E8</v>
      </c>
    </row>
    <row r="3291">
      <c r="C3291" s="74">
        <v>46232.75267894676</v>
      </c>
      <c r="D3291" s="2" t="s">
        <v>628</v>
      </c>
      <c r="F3291" s="2" t="s">
        <v>1535</v>
      </c>
      <c r="G3291" s="72">
        <v>3.31382607E8</v>
      </c>
    </row>
    <row r="3292">
      <c r="C3292" s="74">
        <v>46231.639385682865</v>
      </c>
      <c r="D3292" s="2" t="s">
        <v>628</v>
      </c>
      <c r="F3292" s="2" t="s">
        <v>2930</v>
      </c>
      <c r="G3292" s="72">
        <v>3.3063318E8</v>
      </c>
    </row>
    <row r="3293">
      <c r="B3293" s="72">
        <v>8.1697799E7</v>
      </c>
      <c r="C3293" s="74">
        <v>46230.467699270834</v>
      </c>
      <c r="D3293" s="2" t="s">
        <v>653</v>
      </c>
      <c r="F3293" s="2" t="s">
        <v>2931</v>
      </c>
      <c r="G3293" s="72">
        <v>3.29784571E8</v>
      </c>
    </row>
    <row r="3294">
      <c r="B3294" s="72">
        <v>7.812564E7</v>
      </c>
      <c r="C3294" s="74">
        <v>46206.98069144676</v>
      </c>
      <c r="D3294" s="2" t="s">
        <v>705</v>
      </c>
      <c r="F3294" s="2" t="s">
        <v>2932</v>
      </c>
      <c r="G3294" s="72">
        <v>3.13820363E8</v>
      </c>
    </row>
    <row r="3295">
      <c r="B3295" s="72">
        <v>7.812564E7</v>
      </c>
      <c r="C3295" s="74">
        <v>46206.98595150463</v>
      </c>
      <c r="D3295" s="2" t="s">
        <v>705</v>
      </c>
      <c r="F3295" s="2" t="s">
        <v>2933</v>
      </c>
      <c r="G3295" s="72">
        <v>3.13824675E8</v>
      </c>
    </row>
    <row r="3296">
      <c r="B3296" s="72">
        <v>8.0754202E7</v>
      </c>
      <c r="C3296" s="74">
        <v>46219.018663344905</v>
      </c>
      <c r="D3296" s="2" t="s">
        <v>653</v>
      </c>
      <c r="F3296" s="2" t="s">
        <v>2934</v>
      </c>
      <c r="G3296" s="72">
        <v>3.21822269E8</v>
      </c>
    </row>
    <row r="3297">
      <c r="B3297" s="72">
        <v>8.3045193E7</v>
      </c>
      <c r="C3297" s="74">
        <v>46232.84723100695</v>
      </c>
      <c r="D3297" s="2" t="s">
        <v>705</v>
      </c>
      <c r="F3297" s="2" t="s">
        <v>2935</v>
      </c>
      <c r="G3297" s="72">
        <v>3.31483983E8</v>
      </c>
    </row>
    <row r="3298">
      <c r="B3298" s="72">
        <v>8.1543189E7</v>
      </c>
      <c r="C3298" s="74">
        <v>46223.80873060186</v>
      </c>
      <c r="D3298" s="2" t="s">
        <v>653</v>
      </c>
      <c r="F3298" s="2" t="s">
        <v>2936</v>
      </c>
      <c r="G3298" s="72">
        <v>3.25226863E8</v>
      </c>
    </row>
    <row r="3299">
      <c r="B3299" s="72">
        <v>8.2822757E7</v>
      </c>
      <c r="C3299" s="74">
        <v>46231.96158913194</v>
      </c>
      <c r="D3299" s="2" t="s">
        <v>628</v>
      </c>
      <c r="F3299" s="2" t="s">
        <v>2937</v>
      </c>
      <c r="G3299" s="72">
        <v>3.30921169E8</v>
      </c>
    </row>
    <row r="3300">
      <c r="B3300" s="72">
        <v>8.1036535E7</v>
      </c>
      <c r="C3300" s="74">
        <v>46220.81111072916</v>
      </c>
      <c r="D3300" s="2" t="s">
        <v>653</v>
      </c>
      <c r="F3300" s="2" t="s">
        <v>1397</v>
      </c>
      <c r="G3300" s="72">
        <v>3.23079927E8</v>
      </c>
    </row>
    <row r="3301">
      <c r="B3301" s="72">
        <v>8.163477E7</v>
      </c>
      <c r="C3301" s="74">
        <v>46226.96093947916</v>
      </c>
      <c r="D3301" s="2" t="s">
        <v>628</v>
      </c>
      <c r="F3301" s="2" t="s">
        <v>666</v>
      </c>
      <c r="G3301" s="72">
        <v>3.27340023E8</v>
      </c>
    </row>
    <row r="3302">
      <c r="B3302" s="72">
        <v>8.1490702E7</v>
      </c>
      <c r="C3302" s="74">
        <v>46225.97164201389</v>
      </c>
      <c r="D3302" s="2" t="s">
        <v>653</v>
      </c>
      <c r="F3302" s="2" t="s">
        <v>753</v>
      </c>
      <c r="G3302" s="72">
        <v>3.26643806E8</v>
      </c>
    </row>
    <row r="3303">
      <c r="B3303" s="72">
        <v>8.1535557E7</v>
      </c>
      <c r="C3303" s="74">
        <v>46227.82824805556</v>
      </c>
      <c r="D3303" s="2" t="s">
        <v>705</v>
      </c>
      <c r="F3303" s="2" t="s">
        <v>2938</v>
      </c>
      <c r="G3303" s="72">
        <v>3.27968101E8</v>
      </c>
    </row>
    <row r="3304">
      <c r="C3304" s="74">
        <v>46207.75230288194</v>
      </c>
      <c r="D3304" s="2" t="s">
        <v>628</v>
      </c>
      <c r="F3304" s="2" t="s">
        <v>2939</v>
      </c>
      <c r="G3304" s="72">
        <v>3.14288602E8</v>
      </c>
    </row>
    <row r="3305">
      <c r="B3305" s="72">
        <v>8.1490702E7</v>
      </c>
      <c r="C3305" s="74">
        <v>46230.46773505787</v>
      </c>
      <c r="D3305" s="2" t="s">
        <v>653</v>
      </c>
      <c r="F3305" s="2" t="s">
        <v>2940</v>
      </c>
      <c r="G3305" s="72">
        <v>3.29784577E8</v>
      </c>
    </row>
    <row r="3306">
      <c r="B3306" s="72">
        <v>8.1465316E7</v>
      </c>
      <c r="C3306" s="74">
        <v>46224.75172490741</v>
      </c>
      <c r="D3306" s="2" t="s">
        <v>628</v>
      </c>
      <c r="F3306" s="2" t="s">
        <v>736</v>
      </c>
      <c r="G3306" s="72">
        <v>3.25791849E8</v>
      </c>
    </row>
    <row r="3307">
      <c r="C3307" s="74">
        <v>46204.75352303241</v>
      </c>
      <c r="D3307" s="2" t="s">
        <v>628</v>
      </c>
      <c r="F3307" s="2" t="s">
        <v>2941</v>
      </c>
      <c r="G3307" s="72">
        <v>3.12197134E8</v>
      </c>
    </row>
    <row r="3308">
      <c r="C3308" s="74">
        <v>46209.960590104165</v>
      </c>
      <c r="D3308" s="2" t="s">
        <v>628</v>
      </c>
      <c r="F3308" s="2" t="s">
        <v>2388</v>
      </c>
      <c r="G3308" s="72">
        <v>3.15780648E8</v>
      </c>
    </row>
    <row r="3309">
      <c r="B3309" s="72">
        <v>8.0739765E7</v>
      </c>
      <c r="C3309" s="74">
        <v>46218.96122201389</v>
      </c>
      <c r="D3309" s="2" t="s">
        <v>653</v>
      </c>
      <c r="F3309" s="2" t="s">
        <v>2942</v>
      </c>
      <c r="G3309" s="72">
        <v>3.21772919E8</v>
      </c>
    </row>
    <row r="3310">
      <c r="B3310" s="72">
        <v>8.1036535E7</v>
      </c>
      <c r="C3310" s="74">
        <v>46222.584758391204</v>
      </c>
      <c r="D3310" s="2" t="s">
        <v>653</v>
      </c>
      <c r="F3310" s="2" t="s">
        <v>2943</v>
      </c>
      <c r="G3310" s="72">
        <v>3.24383897E8</v>
      </c>
    </row>
    <row r="3311">
      <c r="C3311" s="74">
        <v>46218.752719317126</v>
      </c>
      <c r="D3311" s="2" t="s">
        <v>628</v>
      </c>
      <c r="F3311" s="2" t="s">
        <v>2944</v>
      </c>
      <c r="G3311" s="72">
        <v>3.21572816E8</v>
      </c>
    </row>
    <row r="3312">
      <c r="B3312" s="72">
        <v>8.0874965E7</v>
      </c>
      <c r="C3312" s="74">
        <v>46224.47758508102</v>
      </c>
      <c r="D3312" s="2" t="s">
        <v>653</v>
      </c>
      <c r="F3312" s="2" t="s">
        <v>2945</v>
      </c>
      <c r="G3312" s="72">
        <v>3.25536265E8</v>
      </c>
    </row>
    <row r="3313">
      <c r="B3313" s="72">
        <v>8.1385158E7</v>
      </c>
      <c r="C3313" s="74">
        <v>46230.46763385416</v>
      </c>
      <c r="D3313" s="2" t="s">
        <v>653</v>
      </c>
      <c r="F3313" s="2" t="s">
        <v>2946</v>
      </c>
      <c r="G3313" s="72">
        <v>3.29784551E8</v>
      </c>
    </row>
    <row r="3314">
      <c r="B3314" s="72">
        <v>8.1036535E7</v>
      </c>
      <c r="C3314" s="74">
        <v>46224.47741383102</v>
      </c>
      <c r="D3314" s="2" t="s">
        <v>653</v>
      </c>
      <c r="F3314" s="2" t="s">
        <v>2947</v>
      </c>
      <c r="G3314" s="72">
        <v>3.2553622E8</v>
      </c>
    </row>
    <row r="3315">
      <c r="B3315" s="72">
        <v>8.10571E7</v>
      </c>
      <c r="C3315" s="74">
        <v>46222.375447557875</v>
      </c>
      <c r="D3315" s="2" t="s">
        <v>653</v>
      </c>
      <c r="F3315" s="2" t="s">
        <v>2948</v>
      </c>
      <c r="G3315" s="72">
        <v>3.24141777E8</v>
      </c>
    </row>
    <row r="3316">
      <c r="B3316" s="72">
        <v>8.2369107E7</v>
      </c>
      <c r="C3316" s="74">
        <v>46228.67526924769</v>
      </c>
      <c r="D3316" s="2" t="s">
        <v>653</v>
      </c>
      <c r="F3316" s="2" t="s">
        <v>1399</v>
      </c>
      <c r="G3316" s="72">
        <v>3.28582582E8</v>
      </c>
    </row>
    <row r="3317">
      <c r="B3317" s="72">
        <v>8.1697799E7</v>
      </c>
      <c r="C3317" s="74">
        <v>46225.5576244213</v>
      </c>
      <c r="D3317" s="2" t="s">
        <v>653</v>
      </c>
      <c r="F3317" s="2" t="s">
        <v>2949</v>
      </c>
      <c r="G3317" s="72">
        <v>3.26263082E8</v>
      </c>
    </row>
    <row r="3318">
      <c r="B3318" s="72">
        <v>8.1697799E7</v>
      </c>
      <c r="C3318" s="74">
        <v>46230.467695</v>
      </c>
      <c r="D3318" s="2" t="s">
        <v>653</v>
      </c>
      <c r="F3318" s="2" t="s">
        <v>2950</v>
      </c>
      <c r="G3318" s="72">
        <v>3.29784569E8</v>
      </c>
    </row>
    <row r="3319">
      <c r="C3319" s="74">
        <v>46221.750495879634</v>
      </c>
      <c r="D3319" s="2" t="s">
        <v>628</v>
      </c>
      <c r="F3319" s="2" t="s">
        <v>1768</v>
      </c>
      <c r="G3319" s="72">
        <v>3.23763993E8</v>
      </c>
    </row>
    <row r="3320">
      <c r="C3320" s="74">
        <v>46209.75247158565</v>
      </c>
      <c r="D3320" s="2" t="s">
        <v>628</v>
      </c>
      <c r="F3320" s="2" t="s">
        <v>866</v>
      </c>
      <c r="G3320" s="72">
        <v>3.15587605E8</v>
      </c>
    </row>
    <row r="3321">
      <c r="B3321" s="72">
        <v>8.1949547E7</v>
      </c>
      <c r="C3321" s="74">
        <v>46226.53279932871</v>
      </c>
      <c r="D3321" s="2" t="s">
        <v>705</v>
      </c>
      <c r="F3321" s="2" t="s">
        <v>2951</v>
      </c>
      <c r="G3321" s="72">
        <v>3.26871286E8</v>
      </c>
    </row>
    <row r="3322">
      <c r="C3322" s="74">
        <v>46225.96060445602</v>
      </c>
      <c r="D3322" s="2" t="s">
        <v>628</v>
      </c>
      <c r="F3322" s="2" t="s">
        <v>2952</v>
      </c>
      <c r="G3322" s="72">
        <v>3.26631229E8</v>
      </c>
    </row>
    <row r="3323">
      <c r="B3323" s="72">
        <v>8.1220996E7</v>
      </c>
      <c r="C3323" s="74">
        <v>46225.45796109954</v>
      </c>
      <c r="D3323" s="2" t="s">
        <v>653</v>
      </c>
      <c r="F3323" s="2" t="s">
        <v>2953</v>
      </c>
      <c r="G3323" s="72">
        <v>3.26121508E8</v>
      </c>
    </row>
    <row r="3324">
      <c r="C3324" s="74">
        <v>46221.54314270834</v>
      </c>
      <c r="D3324" s="2" t="s">
        <v>628</v>
      </c>
      <c r="F3324" s="2" t="s">
        <v>630</v>
      </c>
      <c r="G3324" s="72">
        <v>3.23532457E8</v>
      </c>
    </row>
    <row r="3325">
      <c r="B3325" s="72">
        <v>8.3229564E7</v>
      </c>
      <c r="C3325" s="74">
        <v>46234.462226689815</v>
      </c>
      <c r="D3325" s="2" t="s">
        <v>653</v>
      </c>
      <c r="F3325" s="2" t="s">
        <v>2928</v>
      </c>
      <c r="G3325" s="72">
        <v>3.32504454E8</v>
      </c>
    </row>
    <row r="3326">
      <c r="C3326" s="74">
        <v>46228.95945836806</v>
      </c>
      <c r="D3326" s="2" t="s">
        <v>628</v>
      </c>
      <c r="F3326" s="2" t="s">
        <v>717</v>
      </c>
      <c r="G3326" s="72">
        <v>3.28857603E8</v>
      </c>
    </row>
    <row r="3327">
      <c r="C3327" s="74">
        <v>46206.96003307871</v>
      </c>
      <c r="D3327" s="2" t="s">
        <v>628</v>
      </c>
      <c r="F3327" s="2" t="s">
        <v>2954</v>
      </c>
      <c r="G3327" s="72">
        <v>3.1379957E8</v>
      </c>
    </row>
    <row r="3328">
      <c r="B3328" s="72">
        <v>7.812564E7</v>
      </c>
      <c r="C3328" s="74">
        <v>46207.578758310185</v>
      </c>
      <c r="D3328" s="2" t="s">
        <v>705</v>
      </c>
      <c r="F3328" s="2" t="s">
        <v>2912</v>
      </c>
      <c r="G3328" s="72">
        <v>3.14113627E8</v>
      </c>
    </row>
    <row r="3329">
      <c r="C3329" s="74">
        <v>46210.960375787035</v>
      </c>
      <c r="D3329" s="2" t="s">
        <v>628</v>
      </c>
      <c r="F3329" s="2" t="s">
        <v>1580</v>
      </c>
      <c r="G3329" s="72">
        <v>3.16369674E8</v>
      </c>
    </row>
    <row r="3330">
      <c r="B3330" s="72">
        <v>8.0927455E7</v>
      </c>
      <c r="C3330" s="74">
        <v>46219.97712836806</v>
      </c>
      <c r="D3330" s="2" t="s">
        <v>653</v>
      </c>
      <c r="F3330" s="2" t="s">
        <v>2955</v>
      </c>
      <c r="G3330" s="72">
        <v>3.22492529E8</v>
      </c>
    </row>
    <row r="3331">
      <c r="C3331" s="74">
        <v>46214.75272189815</v>
      </c>
      <c r="D3331" s="2" t="s">
        <v>628</v>
      </c>
      <c r="F3331" s="2" t="s">
        <v>2956</v>
      </c>
      <c r="G3331" s="72">
        <v>3.18921553E8</v>
      </c>
    </row>
    <row r="3332">
      <c r="B3332" s="72">
        <v>8.1688247E7</v>
      </c>
      <c r="C3332" s="74">
        <v>46226.54332640047</v>
      </c>
      <c r="D3332" s="2" t="s">
        <v>628</v>
      </c>
      <c r="F3332" s="2" t="s">
        <v>630</v>
      </c>
      <c r="G3332" s="72">
        <v>3.26884769E8</v>
      </c>
    </row>
    <row r="3333">
      <c r="B3333" s="72">
        <v>8.2031792E7</v>
      </c>
      <c r="C3333" s="74">
        <v>46226.797204918985</v>
      </c>
      <c r="D3333" s="2" t="s">
        <v>653</v>
      </c>
      <c r="F3333" s="2" t="s">
        <v>753</v>
      </c>
      <c r="G3333" s="72">
        <v>3.27179875E8</v>
      </c>
    </row>
    <row r="3334">
      <c r="B3334" s="72">
        <v>8.1448216E7</v>
      </c>
      <c r="C3334" s="74">
        <v>46230.65987539352</v>
      </c>
      <c r="D3334" s="2" t="s">
        <v>653</v>
      </c>
      <c r="F3334" s="2" t="s">
        <v>2957</v>
      </c>
      <c r="G3334" s="72">
        <v>3.29989008E8</v>
      </c>
    </row>
    <row r="3335">
      <c r="B3335" s="72">
        <v>8.3030713E7</v>
      </c>
      <c r="C3335" s="74">
        <v>46232.78057047454</v>
      </c>
      <c r="D3335" s="2" t="s">
        <v>705</v>
      </c>
      <c r="F3335" s="2" t="s">
        <v>2571</v>
      </c>
      <c r="G3335" s="72">
        <v>3.31410599E8</v>
      </c>
    </row>
    <row r="3336">
      <c r="C3336" s="74">
        <v>46204.702074050925</v>
      </c>
      <c r="D3336" s="2" t="s">
        <v>628</v>
      </c>
      <c r="F3336" s="2" t="s">
        <v>2958</v>
      </c>
      <c r="G3336" s="72">
        <v>3.12151988E8</v>
      </c>
    </row>
    <row r="3337">
      <c r="B3337" s="72">
        <v>8.3045193E7</v>
      </c>
      <c r="C3337" s="74">
        <v>46233.85125931713</v>
      </c>
      <c r="D3337" s="2" t="s">
        <v>667</v>
      </c>
      <c r="E3337" s="2" t="s">
        <v>1332</v>
      </c>
      <c r="F3337" s="2" t="s">
        <v>2959</v>
      </c>
      <c r="G3337" s="72">
        <v>3.32195763E8</v>
      </c>
    </row>
    <row r="3338">
      <c r="B3338" s="72">
        <v>8.0830208E7</v>
      </c>
      <c r="C3338" s="74">
        <v>46230.85296577546</v>
      </c>
      <c r="D3338" s="2" t="s">
        <v>667</v>
      </c>
      <c r="E3338" s="2" t="s">
        <v>886</v>
      </c>
      <c r="F3338" s="2" t="s">
        <v>2960</v>
      </c>
      <c r="G3338" s="72">
        <v>3.30166233E8</v>
      </c>
    </row>
    <row r="3339">
      <c r="B3339" s="72">
        <v>8.115331E7</v>
      </c>
      <c r="C3339" s="74">
        <v>46221.457307442135</v>
      </c>
      <c r="D3339" s="2" t="s">
        <v>653</v>
      </c>
      <c r="F3339" s="2" t="s">
        <v>2961</v>
      </c>
      <c r="G3339" s="72">
        <v>3.23409822E8</v>
      </c>
    </row>
    <row r="3340">
      <c r="C3340" s="74">
        <v>46207.96042736111</v>
      </c>
      <c r="D3340" s="2" t="s">
        <v>628</v>
      </c>
      <c r="F3340" s="2" t="s">
        <v>2962</v>
      </c>
      <c r="G3340" s="72">
        <v>3.14482539E8</v>
      </c>
    </row>
    <row r="3341">
      <c r="C3341" s="74">
        <v>46211.9602690625</v>
      </c>
      <c r="D3341" s="2" t="s">
        <v>628</v>
      </c>
      <c r="F3341" s="2" t="s">
        <v>2963</v>
      </c>
      <c r="G3341" s="72">
        <v>3.16985893E8</v>
      </c>
    </row>
    <row r="3342">
      <c r="B3342" s="72">
        <v>8.115331E7</v>
      </c>
      <c r="C3342" s="74">
        <v>46221.45731085648</v>
      </c>
      <c r="D3342" s="2" t="s">
        <v>653</v>
      </c>
      <c r="F3342" s="2" t="s">
        <v>2964</v>
      </c>
      <c r="G3342" s="72">
        <v>3.23409823E8</v>
      </c>
    </row>
    <row r="3343">
      <c r="B3343" s="72">
        <v>8.0652077E7</v>
      </c>
      <c r="C3343" s="74">
        <v>46218.65805503472</v>
      </c>
      <c r="D3343" s="2" t="s">
        <v>653</v>
      </c>
      <c r="F3343" s="2" t="s">
        <v>2965</v>
      </c>
      <c r="G3343" s="72">
        <v>3.21483722E8</v>
      </c>
    </row>
    <row r="3344">
      <c r="C3344" s="74">
        <v>46208.96056875</v>
      </c>
      <c r="D3344" s="2" t="s">
        <v>628</v>
      </c>
      <c r="F3344" s="2" t="s">
        <v>2966</v>
      </c>
      <c r="G3344" s="72">
        <v>3.15165831E8</v>
      </c>
    </row>
    <row r="3345">
      <c r="B3345" s="72">
        <v>8.0927458E7</v>
      </c>
      <c r="C3345" s="74">
        <v>46219.977147337966</v>
      </c>
      <c r="D3345" s="2" t="s">
        <v>653</v>
      </c>
      <c r="F3345" s="2" t="s">
        <v>2967</v>
      </c>
      <c r="G3345" s="72">
        <v>3.22492538E8</v>
      </c>
    </row>
    <row r="3346">
      <c r="C3346" s="74">
        <v>46205.75341709491</v>
      </c>
      <c r="D3346" s="2" t="s">
        <v>628</v>
      </c>
      <c r="F3346" s="2" t="s">
        <v>2968</v>
      </c>
      <c r="G3346" s="72">
        <v>3.12840627E8</v>
      </c>
    </row>
    <row r="3347">
      <c r="B3347" s="72">
        <v>8.3396911E7</v>
      </c>
      <c r="C3347" s="74">
        <v>46234.802903310185</v>
      </c>
      <c r="D3347" s="2" t="s">
        <v>653</v>
      </c>
      <c r="F3347" s="2" t="s">
        <v>2969</v>
      </c>
      <c r="G3347" s="72">
        <v>3.32922803E8</v>
      </c>
    </row>
    <row r="3348">
      <c r="B3348" s="72">
        <v>8.2387386E7</v>
      </c>
      <c r="C3348" s="74">
        <v>46228.79745309028</v>
      </c>
      <c r="D3348" s="2" t="s">
        <v>653</v>
      </c>
      <c r="F3348" s="2" t="s">
        <v>2970</v>
      </c>
      <c r="G3348" s="72">
        <v>3.28702733E8</v>
      </c>
    </row>
    <row r="3349">
      <c r="B3349" s="72">
        <v>8.1385148E7</v>
      </c>
      <c r="C3349" s="74">
        <v>46222.76304371528</v>
      </c>
      <c r="D3349" s="2" t="s">
        <v>653</v>
      </c>
      <c r="F3349" s="2" t="s">
        <v>753</v>
      </c>
      <c r="G3349" s="72">
        <v>3.24558583E8</v>
      </c>
    </row>
    <row r="3350">
      <c r="B3350" s="72">
        <v>8.1684434E7</v>
      </c>
      <c r="C3350" s="74">
        <v>46230.467681319446</v>
      </c>
      <c r="D3350" s="2" t="s">
        <v>653</v>
      </c>
      <c r="F3350" s="2" t="s">
        <v>2971</v>
      </c>
      <c r="G3350" s="72">
        <v>3.29784566E8</v>
      </c>
    </row>
    <row r="3351">
      <c r="C3351" s="74">
        <v>46224.75220072917</v>
      </c>
      <c r="D3351" s="2" t="s">
        <v>628</v>
      </c>
      <c r="F3351" s="2" t="s">
        <v>1562</v>
      </c>
      <c r="G3351" s="72">
        <v>3.25795495E8</v>
      </c>
    </row>
    <row r="3352">
      <c r="B3352" s="72">
        <v>8.2368868E7</v>
      </c>
      <c r="C3352" s="74">
        <v>46229.1840270949</v>
      </c>
      <c r="D3352" s="2" t="s">
        <v>705</v>
      </c>
      <c r="F3352" s="2" t="s">
        <v>2972</v>
      </c>
      <c r="G3352" s="72">
        <v>3.28994657E8</v>
      </c>
    </row>
    <row r="3353">
      <c r="B3353" s="72">
        <v>8.1153322E7</v>
      </c>
      <c r="C3353" s="74">
        <v>46221.45773439815</v>
      </c>
      <c r="D3353" s="2" t="s">
        <v>653</v>
      </c>
      <c r="F3353" s="2" t="s">
        <v>2973</v>
      </c>
      <c r="G3353" s="72">
        <v>3.23409932E8</v>
      </c>
    </row>
    <row r="3354">
      <c r="C3354" s="74">
        <v>46208.9606825</v>
      </c>
      <c r="D3354" s="2" t="s">
        <v>628</v>
      </c>
      <c r="F3354" s="2" t="s">
        <v>2974</v>
      </c>
      <c r="G3354" s="72">
        <v>3.15166276E8</v>
      </c>
    </row>
    <row r="3355">
      <c r="B3355" s="72">
        <v>8.1036535E7</v>
      </c>
      <c r="C3355" s="74">
        <v>46221.673052928236</v>
      </c>
      <c r="D3355" s="2" t="s">
        <v>653</v>
      </c>
      <c r="F3355" s="2" t="s">
        <v>1397</v>
      </c>
      <c r="G3355" s="72">
        <v>3.2370619E8</v>
      </c>
    </row>
    <row r="3356">
      <c r="B3356" s="72">
        <v>8.1688247E7</v>
      </c>
      <c r="C3356" s="74">
        <v>46229.96017440972</v>
      </c>
      <c r="D3356" s="2" t="s">
        <v>628</v>
      </c>
      <c r="F3356" s="2" t="s">
        <v>2975</v>
      </c>
      <c r="G3356" s="72">
        <v>3.2961027E8</v>
      </c>
    </row>
    <row r="3357">
      <c r="B3357" s="72">
        <v>8.1377746E7</v>
      </c>
      <c r="C3357" s="74">
        <v>46222.83280403935</v>
      </c>
      <c r="D3357" s="2" t="s">
        <v>667</v>
      </c>
      <c r="E3357" s="2" t="s">
        <v>703</v>
      </c>
      <c r="F3357" s="2" t="s">
        <v>2976</v>
      </c>
      <c r="G3357" s="72">
        <v>3.24613508E8</v>
      </c>
    </row>
    <row r="3358">
      <c r="B3358" s="72">
        <v>8.3169903E7</v>
      </c>
      <c r="C3358" s="74">
        <v>46233.66650207176</v>
      </c>
      <c r="D3358" s="2" t="s">
        <v>653</v>
      </c>
      <c r="F3358" s="2" t="s">
        <v>2977</v>
      </c>
      <c r="G3358" s="72">
        <v>3.31988424E8</v>
      </c>
    </row>
    <row r="3359">
      <c r="B3359" s="72">
        <v>8.1153312E7</v>
      </c>
      <c r="C3359" s="74">
        <v>46221.45735456019</v>
      </c>
      <c r="D3359" s="2" t="s">
        <v>653</v>
      </c>
      <c r="F3359" s="2" t="s">
        <v>2978</v>
      </c>
      <c r="G3359" s="72">
        <v>3.23409839E8</v>
      </c>
    </row>
    <row r="3360">
      <c r="B3360" s="72">
        <v>8.2031778E7</v>
      </c>
      <c r="C3360" s="74">
        <v>46226.79715254629</v>
      </c>
      <c r="D3360" s="2" t="s">
        <v>653</v>
      </c>
      <c r="F3360" s="2" t="s">
        <v>2979</v>
      </c>
      <c r="G3360" s="72">
        <v>3.2717984E8</v>
      </c>
    </row>
    <row r="3361">
      <c r="B3361" s="72">
        <v>8.1036547E7</v>
      </c>
      <c r="C3361" s="74">
        <v>46220.811008125005</v>
      </c>
      <c r="D3361" s="2" t="s">
        <v>653</v>
      </c>
      <c r="F3361" s="2" t="s">
        <v>2980</v>
      </c>
      <c r="G3361" s="72">
        <v>3.23079867E8</v>
      </c>
    </row>
    <row r="3362">
      <c r="B3362" s="72">
        <v>8.2525992E7</v>
      </c>
      <c r="C3362" s="74">
        <v>46229.626037662034</v>
      </c>
      <c r="D3362" s="2" t="s">
        <v>705</v>
      </c>
      <c r="F3362" s="2" t="s">
        <v>2571</v>
      </c>
      <c r="G3362" s="72">
        <v>3.29319739E8</v>
      </c>
    </row>
    <row r="3363">
      <c r="B3363" s="72">
        <v>8.1220996E7</v>
      </c>
      <c r="C3363" s="74">
        <v>46221.753311886576</v>
      </c>
      <c r="D3363" s="2" t="s">
        <v>705</v>
      </c>
      <c r="F3363" s="2" t="s">
        <v>918</v>
      </c>
      <c r="G3363" s="72">
        <v>3.23781354E8</v>
      </c>
    </row>
    <row r="3364">
      <c r="C3364" s="74">
        <v>46207.96176013889</v>
      </c>
      <c r="D3364" s="2" t="s">
        <v>628</v>
      </c>
      <c r="F3364" s="2" t="s">
        <v>2075</v>
      </c>
      <c r="G3364" s="72">
        <v>3.14489917E8</v>
      </c>
    </row>
    <row r="3365">
      <c r="B3365" s="72">
        <v>8.1490702E7</v>
      </c>
      <c r="C3365" s="74">
        <v>46225.971654629626</v>
      </c>
      <c r="D3365" s="2" t="s">
        <v>653</v>
      </c>
      <c r="F3365" s="2" t="s">
        <v>2981</v>
      </c>
      <c r="G3365" s="72">
        <v>3.26643818E8</v>
      </c>
    </row>
    <row r="3366">
      <c r="B3366" s="72">
        <v>8.2084678E7</v>
      </c>
      <c r="C3366" s="74">
        <v>46229.96008488426</v>
      </c>
      <c r="D3366" s="2" t="s">
        <v>628</v>
      </c>
      <c r="F3366" s="2" t="s">
        <v>922</v>
      </c>
      <c r="G3366" s="72">
        <v>3.29609899E8</v>
      </c>
    </row>
    <row r="3367">
      <c r="B3367" s="72">
        <v>8.2368868E7</v>
      </c>
      <c r="C3367" s="74">
        <v>46229.18402284722</v>
      </c>
      <c r="D3367" s="2" t="s">
        <v>705</v>
      </c>
      <c r="F3367" s="2" t="s">
        <v>2972</v>
      </c>
      <c r="G3367" s="72">
        <v>3.28994656E8</v>
      </c>
    </row>
    <row r="3368">
      <c r="C3368" s="74">
        <v>46230.75441219908</v>
      </c>
      <c r="D3368" s="2" t="s">
        <v>628</v>
      </c>
      <c r="F3368" s="2" t="s">
        <v>2982</v>
      </c>
      <c r="G3368" s="72">
        <v>3.30072538E8</v>
      </c>
    </row>
    <row r="3369">
      <c r="B3369" s="72">
        <v>8.2617667E7</v>
      </c>
      <c r="C3369" s="74">
        <v>46230.023263090276</v>
      </c>
      <c r="D3369" s="2" t="s">
        <v>705</v>
      </c>
      <c r="F3369" s="2" t="s">
        <v>2983</v>
      </c>
      <c r="G3369" s="72">
        <v>3.29659068E8</v>
      </c>
    </row>
    <row r="3370">
      <c r="B3370" s="72">
        <v>8.1581809E7</v>
      </c>
      <c r="C3370" s="74">
        <v>46224.58696516204</v>
      </c>
      <c r="D3370" s="2" t="s">
        <v>705</v>
      </c>
      <c r="F3370" s="2" t="s">
        <v>2984</v>
      </c>
      <c r="G3370" s="72">
        <v>3.25670046E8</v>
      </c>
    </row>
    <row r="3371">
      <c r="B3371" s="72">
        <v>7.812564E7</v>
      </c>
      <c r="C3371" s="74">
        <v>46214.91027350695</v>
      </c>
      <c r="D3371" s="2" t="s">
        <v>705</v>
      </c>
      <c r="F3371" s="2" t="s">
        <v>2914</v>
      </c>
      <c r="G3371" s="72">
        <v>3.19081988E8</v>
      </c>
    </row>
    <row r="3372">
      <c r="C3372" s="74">
        <v>46233.9612572801</v>
      </c>
      <c r="D3372" s="2" t="s">
        <v>628</v>
      </c>
      <c r="F3372" s="2" t="s">
        <v>925</v>
      </c>
      <c r="G3372" s="72">
        <v>3.32308521E8</v>
      </c>
    </row>
    <row r="3373">
      <c r="B3373" s="72">
        <v>8.1036535E7</v>
      </c>
      <c r="C3373" s="74">
        <v>46220.811115081015</v>
      </c>
      <c r="D3373" s="2" t="s">
        <v>653</v>
      </c>
      <c r="F3373" s="2" t="s">
        <v>1397</v>
      </c>
      <c r="G3373" s="72">
        <v>3.23079929E8</v>
      </c>
    </row>
    <row r="3374">
      <c r="B3374" s="72">
        <v>8.2369107E7</v>
      </c>
      <c r="C3374" s="74">
        <v>46228.67526603009</v>
      </c>
      <c r="D3374" s="2" t="s">
        <v>653</v>
      </c>
      <c r="F3374" s="2" t="s">
        <v>753</v>
      </c>
      <c r="G3374" s="72">
        <v>3.28582576E8</v>
      </c>
    </row>
    <row r="3375">
      <c r="B3375" s="72">
        <v>8.0858218E7</v>
      </c>
      <c r="C3375" s="74">
        <v>46221.671212245376</v>
      </c>
      <c r="D3375" s="2" t="s">
        <v>705</v>
      </c>
      <c r="F3375" s="2" t="s">
        <v>2985</v>
      </c>
      <c r="G3375" s="72">
        <v>3.23704518E8</v>
      </c>
    </row>
    <row r="3376">
      <c r="C3376" s="74">
        <v>46225.95895310185</v>
      </c>
      <c r="D3376" s="2" t="s">
        <v>628</v>
      </c>
      <c r="F3376" s="2" t="s">
        <v>2986</v>
      </c>
      <c r="G3376" s="72">
        <v>3.26627334E8</v>
      </c>
    </row>
    <row r="3377">
      <c r="C3377" s="74">
        <v>46219.96140326389</v>
      </c>
      <c r="D3377" s="2" t="s">
        <v>628</v>
      </c>
      <c r="F3377" s="2" t="s">
        <v>1300</v>
      </c>
      <c r="G3377" s="72">
        <v>3.22480228E8</v>
      </c>
    </row>
    <row r="3378">
      <c r="C3378" s="74">
        <v>46214.96038247686</v>
      </c>
      <c r="D3378" s="2" t="s">
        <v>628</v>
      </c>
      <c r="F3378" s="2" t="s">
        <v>715</v>
      </c>
      <c r="G3378" s="72">
        <v>3.19134883E8</v>
      </c>
    </row>
    <row r="3379">
      <c r="C3379" s="74">
        <v>46223.75252489583</v>
      </c>
      <c r="D3379" s="2" t="s">
        <v>628</v>
      </c>
      <c r="F3379" s="2" t="s">
        <v>2987</v>
      </c>
      <c r="G3379" s="72">
        <v>3.25169868E8</v>
      </c>
    </row>
    <row r="3380">
      <c r="C3380" s="74">
        <v>46234.54499956018</v>
      </c>
      <c r="D3380" s="2" t="s">
        <v>628</v>
      </c>
      <c r="F3380" s="2" t="s">
        <v>630</v>
      </c>
      <c r="G3380" s="72">
        <v>3.32619392E8</v>
      </c>
    </row>
    <row r="3381">
      <c r="B3381" s="72">
        <v>8.1214574E7</v>
      </c>
      <c r="C3381" s="74">
        <v>46221.79719174768</v>
      </c>
      <c r="D3381" s="2" t="s">
        <v>705</v>
      </c>
      <c r="F3381" s="2" t="s">
        <v>2988</v>
      </c>
      <c r="G3381" s="72">
        <v>3.23833233E8</v>
      </c>
    </row>
    <row r="3382">
      <c r="C3382" s="74">
        <v>46209.96068072917</v>
      </c>
      <c r="D3382" s="2" t="s">
        <v>628</v>
      </c>
      <c r="F3382" s="2" t="s">
        <v>2805</v>
      </c>
      <c r="G3382" s="72">
        <v>3.15780889E8</v>
      </c>
    </row>
    <row r="3383">
      <c r="B3383" s="72">
        <v>8.1581809E7</v>
      </c>
      <c r="C3383" s="74">
        <v>46223.9534225463</v>
      </c>
      <c r="D3383" s="2" t="s">
        <v>667</v>
      </c>
      <c r="E3383" s="2" t="s">
        <v>1332</v>
      </c>
      <c r="F3383" s="2" t="s">
        <v>2989</v>
      </c>
      <c r="G3383" s="72">
        <v>3.253578E8</v>
      </c>
    </row>
    <row r="3384">
      <c r="B3384" s="72">
        <v>8.3045193E7</v>
      </c>
      <c r="C3384" s="74">
        <v>46232.90301736111</v>
      </c>
      <c r="D3384" s="2" t="s">
        <v>667</v>
      </c>
      <c r="E3384" s="2" t="s">
        <v>1332</v>
      </c>
      <c r="F3384" s="2" t="s">
        <v>2990</v>
      </c>
      <c r="G3384" s="72">
        <v>3.3153564E8</v>
      </c>
    </row>
    <row r="3385">
      <c r="B3385" s="72">
        <v>8.2345197E7</v>
      </c>
      <c r="C3385" s="74">
        <v>46229.438931944445</v>
      </c>
      <c r="D3385" s="2" t="s">
        <v>653</v>
      </c>
      <c r="F3385" s="2" t="s">
        <v>2991</v>
      </c>
      <c r="G3385" s="72">
        <v>3.2902472E8</v>
      </c>
    </row>
    <row r="3386">
      <c r="B3386" s="72">
        <v>8.2206478E7</v>
      </c>
      <c r="C3386" s="74">
        <v>46228.60939293982</v>
      </c>
      <c r="D3386" s="2" t="s">
        <v>705</v>
      </c>
      <c r="F3386" s="2" t="s">
        <v>2992</v>
      </c>
      <c r="G3386" s="72">
        <v>3.28512815E8</v>
      </c>
    </row>
    <row r="3387">
      <c r="C3387" s="74">
        <v>46232.96167135416</v>
      </c>
      <c r="D3387" s="2" t="s">
        <v>628</v>
      </c>
      <c r="F3387" s="2" t="s">
        <v>2993</v>
      </c>
      <c r="G3387" s="72">
        <v>3.31589573E8</v>
      </c>
    </row>
    <row r="3388">
      <c r="C3388" s="74">
        <v>46208.96104976852</v>
      </c>
      <c r="D3388" s="2" t="s">
        <v>628</v>
      </c>
      <c r="F3388" s="2" t="s">
        <v>2994</v>
      </c>
      <c r="G3388" s="72">
        <v>3.15167506E8</v>
      </c>
    </row>
    <row r="3389">
      <c r="B3389" s="72">
        <v>8.1697799E7</v>
      </c>
      <c r="C3389" s="74">
        <v>46225.97161140046</v>
      </c>
      <c r="D3389" s="2" t="s">
        <v>653</v>
      </c>
      <c r="F3389" s="2" t="s">
        <v>2995</v>
      </c>
      <c r="G3389" s="72">
        <v>3.26643785E8</v>
      </c>
    </row>
    <row r="3390">
      <c r="C3390" s="74">
        <v>46207.752983541664</v>
      </c>
      <c r="D3390" s="2" t="s">
        <v>628</v>
      </c>
      <c r="F3390" s="2" t="s">
        <v>2996</v>
      </c>
      <c r="G3390" s="72">
        <v>3.14293869E8</v>
      </c>
    </row>
    <row r="3391">
      <c r="B3391" s="72">
        <v>8.3045193E7</v>
      </c>
      <c r="C3391" s="74">
        <v>46232.836391840276</v>
      </c>
      <c r="D3391" s="2" t="s">
        <v>705</v>
      </c>
      <c r="F3391" s="2" t="s">
        <v>2997</v>
      </c>
      <c r="G3391" s="72">
        <v>3.31473448E8</v>
      </c>
    </row>
    <row r="3392">
      <c r="B3392" s="72">
        <v>8.1036535E7</v>
      </c>
      <c r="C3392" s="74">
        <v>46222.58476319445</v>
      </c>
      <c r="D3392" s="2" t="s">
        <v>653</v>
      </c>
      <c r="F3392" s="2" t="s">
        <v>2998</v>
      </c>
      <c r="G3392" s="72">
        <v>3.24383955E8</v>
      </c>
    </row>
    <row r="3393">
      <c r="B3393" s="72">
        <v>8.1153322E7</v>
      </c>
      <c r="C3393" s="74">
        <v>46221.45772273148</v>
      </c>
      <c r="D3393" s="2" t="s">
        <v>653</v>
      </c>
      <c r="F3393" s="2" t="s">
        <v>2999</v>
      </c>
      <c r="G3393" s="72">
        <v>3.23409925E8</v>
      </c>
    </row>
    <row r="3394">
      <c r="B3394" s="72">
        <v>8.2696532E7</v>
      </c>
      <c r="C3394" s="74">
        <v>46232.54452221065</v>
      </c>
      <c r="D3394" s="2" t="s">
        <v>628</v>
      </c>
      <c r="F3394" s="2" t="s">
        <v>630</v>
      </c>
      <c r="G3394" s="72">
        <v>3.31174468E8</v>
      </c>
    </row>
    <row r="3395">
      <c r="B3395" s="72">
        <v>8.1153312E7</v>
      </c>
      <c r="C3395" s="74">
        <v>46221.4573474537</v>
      </c>
      <c r="D3395" s="2" t="s">
        <v>653</v>
      </c>
      <c r="F3395" s="2" t="s">
        <v>3000</v>
      </c>
      <c r="G3395" s="72">
        <v>3.23409836E8</v>
      </c>
    </row>
    <row r="3396">
      <c r="C3396" s="74">
        <v>46224.958976469905</v>
      </c>
      <c r="D3396" s="2" t="s">
        <v>628</v>
      </c>
      <c r="F3396" s="2" t="s">
        <v>657</v>
      </c>
      <c r="G3396" s="72">
        <v>3.25983674E8</v>
      </c>
    </row>
    <row r="3397">
      <c r="C3397" s="74">
        <v>46223.75184332176</v>
      </c>
      <c r="D3397" s="2" t="s">
        <v>628</v>
      </c>
      <c r="F3397" s="2" t="s">
        <v>2458</v>
      </c>
      <c r="G3397" s="72">
        <v>3.25166004E8</v>
      </c>
    </row>
    <row r="3398">
      <c r="C3398" s="74">
        <v>46212.96004571759</v>
      </c>
      <c r="D3398" s="2" t="s">
        <v>628</v>
      </c>
      <c r="F3398" s="2" t="s">
        <v>2403</v>
      </c>
      <c r="G3398" s="72">
        <v>3.17657869E8</v>
      </c>
    </row>
    <row r="3399">
      <c r="C3399" s="74">
        <v>46214.751039317125</v>
      </c>
      <c r="D3399" s="2" t="s">
        <v>628</v>
      </c>
      <c r="F3399" s="2" t="s">
        <v>740</v>
      </c>
      <c r="G3399" s="72">
        <v>3.189095E8</v>
      </c>
    </row>
    <row r="3400">
      <c r="C3400" s="74">
        <v>46205.96019003472</v>
      </c>
      <c r="D3400" s="2" t="s">
        <v>628</v>
      </c>
      <c r="F3400" s="2" t="s">
        <v>3001</v>
      </c>
      <c r="G3400" s="72">
        <v>3.13054908E8</v>
      </c>
    </row>
    <row r="3401">
      <c r="B3401" s="72">
        <v>8.1543189E7</v>
      </c>
      <c r="C3401" s="74">
        <v>46223.80872809028</v>
      </c>
      <c r="D3401" s="2" t="s">
        <v>653</v>
      </c>
      <c r="F3401" s="2" t="s">
        <v>3002</v>
      </c>
      <c r="G3401" s="72">
        <v>3.25226861E8</v>
      </c>
    </row>
    <row r="3402">
      <c r="C3402" s="74">
        <v>46215.96138395833</v>
      </c>
      <c r="D3402" s="2" t="s">
        <v>628</v>
      </c>
      <c r="F3402" s="2" t="s">
        <v>3003</v>
      </c>
      <c r="G3402" s="72">
        <v>3.1986224E8</v>
      </c>
    </row>
    <row r="3403">
      <c r="C3403" s="74">
        <v>46208.958985694444</v>
      </c>
      <c r="D3403" s="2" t="s">
        <v>628</v>
      </c>
      <c r="F3403" s="2" t="s">
        <v>3004</v>
      </c>
      <c r="G3403" s="72">
        <v>3.15161206E8</v>
      </c>
    </row>
    <row r="3404">
      <c r="B3404" s="72">
        <v>8.1706482E7</v>
      </c>
      <c r="C3404" s="74">
        <v>46228.67501924769</v>
      </c>
      <c r="D3404" s="2" t="s">
        <v>653</v>
      </c>
      <c r="F3404" s="2" t="s">
        <v>3005</v>
      </c>
      <c r="G3404" s="72">
        <v>3.28582398E8</v>
      </c>
    </row>
    <row r="3405">
      <c r="C3405" s="74">
        <v>46210.75240096065</v>
      </c>
      <c r="D3405" s="2" t="s">
        <v>628</v>
      </c>
      <c r="F3405" s="2" t="s">
        <v>764</v>
      </c>
      <c r="G3405" s="72">
        <v>3.1619153E8</v>
      </c>
    </row>
    <row r="3406">
      <c r="C3406" s="74">
        <v>46212.95967523148</v>
      </c>
      <c r="D3406" s="2" t="s">
        <v>628</v>
      </c>
      <c r="F3406" s="2" t="s">
        <v>3006</v>
      </c>
      <c r="G3406" s="72">
        <v>3.17656388E8</v>
      </c>
    </row>
    <row r="3407">
      <c r="B3407" s="72">
        <v>8.1385144E7</v>
      </c>
      <c r="C3407" s="74">
        <v>46230.46772190972</v>
      </c>
      <c r="D3407" s="2" t="s">
        <v>653</v>
      </c>
      <c r="F3407" s="2" t="s">
        <v>3007</v>
      </c>
      <c r="G3407" s="72">
        <v>3.29784575E8</v>
      </c>
    </row>
    <row r="3408">
      <c r="B3408" s="72">
        <v>8.0739765E7</v>
      </c>
      <c r="C3408" s="74">
        <v>46218.96121565972</v>
      </c>
      <c r="D3408" s="2" t="s">
        <v>653</v>
      </c>
      <c r="F3408" s="2" t="s">
        <v>3008</v>
      </c>
      <c r="G3408" s="72">
        <v>3.21772897E8</v>
      </c>
    </row>
    <row r="3409">
      <c r="B3409" s="72">
        <v>8.2068973E7</v>
      </c>
      <c r="C3409" s="74">
        <v>46226.988392847226</v>
      </c>
      <c r="D3409" s="2" t="s">
        <v>667</v>
      </c>
      <c r="E3409" s="2" t="s">
        <v>703</v>
      </c>
      <c r="F3409" s="2" t="s">
        <v>3009</v>
      </c>
      <c r="G3409" s="72">
        <v>3.27362853E8</v>
      </c>
    </row>
    <row r="3410">
      <c r="B3410" s="72">
        <v>8.0681556E7</v>
      </c>
      <c r="C3410" s="74">
        <v>46218.79366239584</v>
      </c>
      <c r="D3410" s="2" t="s">
        <v>653</v>
      </c>
      <c r="F3410" s="2" t="s">
        <v>3010</v>
      </c>
      <c r="G3410" s="72">
        <v>3.21612333E8</v>
      </c>
    </row>
    <row r="3411">
      <c r="B3411" s="72">
        <v>8.1036622E7</v>
      </c>
      <c r="C3411" s="74">
        <v>46220.756722453705</v>
      </c>
      <c r="D3411" s="2" t="s">
        <v>705</v>
      </c>
      <c r="F3411" s="2" t="s">
        <v>1150</v>
      </c>
      <c r="G3411" s="72">
        <v>3.23017359E8</v>
      </c>
    </row>
    <row r="3412">
      <c r="B3412" s="72">
        <v>8.0853628E7</v>
      </c>
      <c r="C3412" s="74">
        <v>46219.83221037037</v>
      </c>
      <c r="D3412" s="2" t="s">
        <v>705</v>
      </c>
      <c r="F3412" s="2" t="s">
        <v>3011</v>
      </c>
      <c r="G3412" s="72">
        <v>3.22345501E8</v>
      </c>
    </row>
    <row r="3413">
      <c r="C3413" s="74">
        <v>46231.7535955787</v>
      </c>
      <c r="D3413" s="2" t="s">
        <v>628</v>
      </c>
      <c r="F3413" s="2" t="s">
        <v>2312</v>
      </c>
      <c r="G3413" s="72">
        <v>3.30731605E8</v>
      </c>
    </row>
    <row r="3414">
      <c r="C3414" s="74">
        <v>46216.96036355324</v>
      </c>
      <c r="D3414" s="2" t="s">
        <v>628</v>
      </c>
      <c r="F3414" s="2" t="s">
        <v>3012</v>
      </c>
      <c r="G3414" s="72">
        <v>3.20484511E8</v>
      </c>
    </row>
    <row r="3415">
      <c r="B3415" s="72">
        <v>8.0996905E7</v>
      </c>
      <c r="C3415" s="74">
        <v>46220.59579090278</v>
      </c>
      <c r="D3415" s="2" t="s">
        <v>705</v>
      </c>
      <c r="F3415" s="2" t="s">
        <v>872</v>
      </c>
      <c r="G3415" s="72">
        <v>3.22860408E8</v>
      </c>
    </row>
    <row r="3416">
      <c r="C3416" s="74">
        <v>46231.96159890047</v>
      </c>
      <c r="D3416" s="2" t="s">
        <v>628</v>
      </c>
      <c r="F3416" s="2" t="s">
        <v>3013</v>
      </c>
      <c r="G3416" s="72">
        <v>3.30921205E8</v>
      </c>
    </row>
    <row r="3417">
      <c r="B3417" s="72">
        <v>8.0874965E7</v>
      </c>
      <c r="C3417" s="74">
        <v>46224.47758883102</v>
      </c>
      <c r="D3417" s="2" t="s">
        <v>653</v>
      </c>
      <c r="F3417" s="2" t="s">
        <v>3014</v>
      </c>
      <c r="G3417" s="72">
        <v>3.25536267E8</v>
      </c>
    </row>
    <row r="3418">
      <c r="C3418" s="74">
        <v>46207.96133494213</v>
      </c>
      <c r="D3418" s="2" t="s">
        <v>628</v>
      </c>
      <c r="F3418" s="2" t="s">
        <v>3015</v>
      </c>
      <c r="G3418" s="72">
        <v>3.14487868E8</v>
      </c>
    </row>
    <row r="3419">
      <c r="C3419" s="74">
        <v>46234.751807719906</v>
      </c>
      <c r="D3419" s="2" t="s">
        <v>628</v>
      </c>
      <c r="F3419" s="2" t="s">
        <v>3016</v>
      </c>
      <c r="G3419" s="72">
        <v>3.32841533E8</v>
      </c>
    </row>
    <row r="3420">
      <c r="B3420" s="72">
        <v>8.0652082E7</v>
      </c>
      <c r="C3420" s="74">
        <v>46218.658113784724</v>
      </c>
      <c r="D3420" s="2" t="s">
        <v>653</v>
      </c>
      <c r="F3420" s="2" t="s">
        <v>3017</v>
      </c>
      <c r="G3420" s="72">
        <v>3.21483743E8</v>
      </c>
    </row>
    <row r="3421">
      <c r="B3421" s="72">
        <v>8.0681556E7</v>
      </c>
      <c r="C3421" s="74">
        <v>46218.793650266205</v>
      </c>
      <c r="D3421" s="2" t="s">
        <v>653</v>
      </c>
      <c r="F3421" s="2" t="s">
        <v>3018</v>
      </c>
      <c r="G3421" s="72">
        <v>3.21612234E8</v>
      </c>
    </row>
    <row r="3422">
      <c r="B3422" s="72">
        <v>8.0681552E7</v>
      </c>
      <c r="C3422" s="74">
        <v>46218.79362269676</v>
      </c>
      <c r="D3422" s="2" t="s">
        <v>653</v>
      </c>
      <c r="F3422" s="2" t="s">
        <v>3019</v>
      </c>
      <c r="G3422" s="72">
        <v>3.21612042E8</v>
      </c>
    </row>
    <row r="3423">
      <c r="C3423" s="74">
        <v>46207.95940325232</v>
      </c>
      <c r="D3423" s="2" t="s">
        <v>628</v>
      </c>
      <c r="F3423" s="2" t="s">
        <v>3020</v>
      </c>
      <c r="G3423" s="72">
        <v>3.14475353E8</v>
      </c>
    </row>
    <row r="3424">
      <c r="C3424" s="74">
        <v>46233.95998327546</v>
      </c>
      <c r="D3424" s="2" t="s">
        <v>628</v>
      </c>
      <c r="F3424" s="2" t="s">
        <v>1180</v>
      </c>
      <c r="G3424" s="72">
        <v>3.32303338E8</v>
      </c>
    </row>
    <row r="3425">
      <c r="B3425" s="72">
        <v>8.0652077E7</v>
      </c>
      <c r="C3425" s="74">
        <v>46218.65805809028</v>
      </c>
      <c r="D3425" s="2" t="s">
        <v>653</v>
      </c>
      <c r="F3425" s="2" t="s">
        <v>3021</v>
      </c>
      <c r="G3425" s="72">
        <v>3.21483724E8</v>
      </c>
    </row>
    <row r="3426">
      <c r="C3426" s="74">
        <v>46233.96032806713</v>
      </c>
      <c r="D3426" s="2" t="s">
        <v>628</v>
      </c>
      <c r="F3426" s="2" t="s">
        <v>922</v>
      </c>
      <c r="G3426" s="72">
        <v>3.32305217E8</v>
      </c>
    </row>
    <row r="3427">
      <c r="B3427" s="72">
        <v>8.2369089E7</v>
      </c>
      <c r="C3427" s="74">
        <v>46234.65474608797</v>
      </c>
      <c r="D3427" s="2" t="s">
        <v>653</v>
      </c>
      <c r="F3427" s="2" t="s">
        <v>3022</v>
      </c>
      <c r="G3427" s="72">
        <v>3.32750987E8</v>
      </c>
    </row>
    <row r="3428">
      <c r="B3428" s="72">
        <v>8.1385158E7</v>
      </c>
      <c r="C3428" s="74">
        <v>46222.763116041664</v>
      </c>
      <c r="D3428" s="2" t="s">
        <v>653</v>
      </c>
      <c r="F3428" s="2" t="s">
        <v>753</v>
      </c>
      <c r="G3428" s="72">
        <v>3.24558617E8</v>
      </c>
    </row>
    <row r="3429">
      <c r="C3429" s="74">
        <v>46229.75259800926</v>
      </c>
      <c r="D3429" s="2" t="s">
        <v>628</v>
      </c>
      <c r="F3429" s="2" t="s">
        <v>2576</v>
      </c>
      <c r="G3429" s="72">
        <v>3.29427186E8</v>
      </c>
    </row>
    <row r="3430">
      <c r="B3430" s="72">
        <v>8.1543499E7</v>
      </c>
      <c r="C3430" s="74">
        <v>46223.81029149306</v>
      </c>
      <c r="D3430" s="2" t="s">
        <v>628</v>
      </c>
      <c r="F3430" s="2" t="s">
        <v>3023</v>
      </c>
      <c r="G3430" s="72">
        <v>3.25227931E8</v>
      </c>
    </row>
    <row r="3431">
      <c r="B3431" s="72">
        <v>8.1448216E7</v>
      </c>
      <c r="C3431" s="74">
        <v>46230.65986465278</v>
      </c>
      <c r="D3431" s="2" t="s">
        <v>705</v>
      </c>
      <c r="F3431" s="2" t="s">
        <v>3024</v>
      </c>
      <c r="G3431" s="72">
        <v>3.29989001E8</v>
      </c>
    </row>
    <row r="3432">
      <c r="C3432" s="74">
        <v>46207.7524109375</v>
      </c>
      <c r="D3432" s="2" t="s">
        <v>628</v>
      </c>
      <c r="F3432" s="2" t="s">
        <v>1875</v>
      </c>
      <c r="G3432" s="72">
        <v>3.14289727E8</v>
      </c>
    </row>
    <row r="3433">
      <c r="C3433" s="74">
        <v>46207.961943472226</v>
      </c>
      <c r="D3433" s="2" t="s">
        <v>628</v>
      </c>
      <c r="F3433" s="2" t="s">
        <v>3025</v>
      </c>
      <c r="G3433" s="72">
        <v>3.14490758E8</v>
      </c>
    </row>
    <row r="3434">
      <c r="C3434" s="74">
        <v>46214.7523071412</v>
      </c>
      <c r="D3434" s="2" t="s">
        <v>628</v>
      </c>
      <c r="F3434" s="2" t="s">
        <v>1805</v>
      </c>
      <c r="G3434" s="72">
        <v>3.18917397E8</v>
      </c>
    </row>
    <row r="3435">
      <c r="C3435" s="74">
        <v>46231.5454665625</v>
      </c>
      <c r="D3435" s="2" t="s">
        <v>628</v>
      </c>
      <c r="F3435" s="2" t="s">
        <v>630</v>
      </c>
      <c r="G3435" s="72">
        <v>3.30544791E8</v>
      </c>
    </row>
    <row r="3436">
      <c r="C3436" s="74">
        <v>46209.96128087963</v>
      </c>
      <c r="D3436" s="2" t="s">
        <v>628</v>
      </c>
      <c r="F3436" s="2" t="s">
        <v>1193</v>
      </c>
      <c r="G3436" s="72">
        <v>3.15782286E8</v>
      </c>
    </row>
    <row r="3437">
      <c r="C3437" s="74">
        <v>46233.542330625</v>
      </c>
      <c r="D3437" s="2" t="s">
        <v>628</v>
      </c>
      <c r="F3437" s="2" t="s">
        <v>630</v>
      </c>
      <c r="G3437" s="72">
        <v>3.31833213E8</v>
      </c>
    </row>
    <row r="3438">
      <c r="C3438" s="74">
        <v>46212.9599882176</v>
      </c>
      <c r="D3438" s="2" t="s">
        <v>628</v>
      </c>
      <c r="F3438" s="2" t="s">
        <v>666</v>
      </c>
      <c r="G3438" s="72">
        <v>3.17657609E8</v>
      </c>
    </row>
    <row r="3439">
      <c r="B3439" s="72">
        <v>8.1322454E7</v>
      </c>
      <c r="C3439" s="74">
        <v>46222.419156909724</v>
      </c>
      <c r="D3439" s="2" t="s">
        <v>653</v>
      </c>
      <c r="F3439" s="2" t="s">
        <v>3026</v>
      </c>
      <c r="G3439" s="72">
        <v>3.2414829E8</v>
      </c>
    </row>
    <row r="3440">
      <c r="B3440" s="72">
        <v>8.115331E7</v>
      </c>
      <c r="C3440" s="74">
        <v>46221.4573141088</v>
      </c>
      <c r="D3440" s="2" t="s">
        <v>653</v>
      </c>
      <c r="F3440" s="2" t="s">
        <v>2964</v>
      </c>
      <c r="G3440" s="72">
        <v>3.23409825E8</v>
      </c>
    </row>
    <row r="3441">
      <c r="C3441" s="74">
        <v>46214.959674247686</v>
      </c>
      <c r="D3441" s="2" t="s">
        <v>628</v>
      </c>
      <c r="F3441" s="2" t="s">
        <v>2508</v>
      </c>
      <c r="G3441" s="72">
        <v>3.19130568E8</v>
      </c>
    </row>
    <row r="3442">
      <c r="B3442" s="72">
        <v>7.812564E7</v>
      </c>
      <c r="C3442" s="74">
        <v>46215.004528668986</v>
      </c>
      <c r="D3442" s="2" t="s">
        <v>705</v>
      </c>
      <c r="F3442" s="2" t="s">
        <v>2912</v>
      </c>
      <c r="G3442" s="72">
        <v>3.19181576E8</v>
      </c>
    </row>
    <row r="3443">
      <c r="B3443" s="72">
        <v>8.1490702E7</v>
      </c>
      <c r="C3443" s="74">
        <v>46225.9716290162</v>
      </c>
      <c r="D3443" s="2" t="s">
        <v>653</v>
      </c>
      <c r="F3443" s="2" t="s">
        <v>919</v>
      </c>
      <c r="G3443" s="72">
        <v>3.26643796E8</v>
      </c>
    </row>
    <row r="3444">
      <c r="B3444" s="72">
        <v>7.812564E7</v>
      </c>
      <c r="C3444" s="74">
        <v>46226.596826469904</v>
      </c>
      <c r="D3444" s="2" t="s">
        <v>705</v>
      </c>
      <c r="F3444" s="2" t="s">
        <v>2912</v>
      </c>
      <c r="G3444" s="72">
        <v>3.26977916E8</v>
      </c>
    </row>
    <row r="3445">
      <c r="C3445" s="74">
        <v>46210.753323032404</v>
      </c>
      <c r="D3445" s="2" t="s">
        <v>628</v>
      </c>
      <c r="F3445" s="2" t="s">
        <v>764</v>
      </c>
      <c r="G3445" s="72">
        <v>3.16197928E8</v>
      </c>
    </row>
    <row r="3446">
      <c r="B3446" s="72">
        <v>8.1684434E7</v>
      </c>
      <c r="C3446" s="74">
        <v>46224.80280638889</v>
      </c>
      <c r="D3446" s="2" t="s">
        <v>653</v>
      </c>
      <c r="F3446" s="2" t="s">
        <v>3027</v>
      </c>
      <c r="G3446" s="72">
        <v>3.25849743E8</v>
      </c>
    </row>
    <row r="3447">
      <c r="C3447" s="74">
        <v>46205.9599281713</v>
      </c>
      <c r="D3447" s="2" t="s">
        <v>628</v>
      </c>
      <c r="F3447" s="2" t="s">
        <v>3028</v>
      </c>
      <c r="G3447" s="72">
        <v>3.13053902E8</v>
      </c>
    </row>
    <row r="3448">
      <c r="C3448" s="74">
        <v>46226.959984236106</v>
      </c>
      <c r="D3448" s="2" t="s">
        <v>628</v>
      </c>
      <c r="F3448" s="2" t="s">
        <v>3029</v>
      </c>
      <c r="G3448" s="72">
        <v>3.27336185E8</v>
      </c>
    </row>
    <row r="3449">
      <c r="C3449" s="74">
        <v>46223.7506515625</v>
      </c>
      <c r="D3449" s="2" t="s">
        <v>628</v>
      </c>
      <c r="F3449" s="2" t="s">
        <v>656</v>
      </c>
      <c r="G3449" s="72">
        <v>3.25161916E8</v>
      </c>
    </row>
    <row r="3450">
      <c r="C3450" s="74">
        <v>46208.96163885416</v>
      </c>
      <c r="D3450" s="2" t="s">
        <v>628</v>
      </c>
      <c r="F3450" s="2" t="s">
        <v>2066</v>
      </c>
      <c r="G3450" s="72">
        <v>3.15169148E8</v>
      </c>
    </row>
    <row r="3451">
      <c r="B3451" s="72">
        <v>8.2191762E7</v>
      </c>
      <c r="C3451" s="74">
        <v>46228.675225451385</v>
      </c>
      <c r="D3451" s="2" t="s">
        <v>653</v>
      </c>
      <c r="F3451" s="2" t="s">
        <v>3030</v>
      </c>
      <c r="G3451" s="72">
        <v>3.2858255E8</v>
      </c>
    </row>
    <row r="3452">
      <c r="B3452" s="72">
        <v>8.0874965E7</v>
      </c>
      <c r="C3452" s="74">
        <v>46224.47758106481</v>
      </c>
      <c r="D3452" s="2" t="s">
        <v>653</v>
      </c>
      <c r="F3452" s="2" t="s">
        <v>3031</v>
      </c>
      <c r="G3452" s="72">
        <v>3.25536263E8</v>
      </c>
    </row>
    <row r="3453">
      <c r="C3453" s="74">
        <v>46206.752745879625</v>
      </c>
      <c r="D3453" s="2" t="s">
        <v>628</v>
      </c>
      <c r="F3453" s="2" t="s">
        <v>3032</v>
      </c>
      <c r="G3453" s="72">
        <v>3.13565406E8</v>
      </c>
    </row>
    <row r="3454">
      <c r="C3454" s="74">
        <v>46215.960561643515</v>
      </c>
      <c r="D3454" s="2" t="s">
        <v>628</v>
      </c>
      <c r="F3454" s="2" t="s">
        <v>3033</v>
      </c>
      <c r="G3454" s="72">
        <v>3.19859992E8</v>
      </c>
    </row>
    <row r="3455">
      <c r="C3455" s="74">
        <v>46210.960648831024</v>
      </c>
      <c r="D3455" s="2" t="s">
        <v>628</v>
      </c>
      <c r="F3455" s="2" t="s">
        <v>3034</v>
      </c>
      <c r="G3455" s="72">
        <v>3.16370602E8</v>
      </c>
    </row>
    <row r="3456">
      <c r="B3456" s="72">
        <v>8.2031778E7</v>
      </c>
      <c r="C3456" s="74">
        <v>46234.65472820602</v>
      </c>
      <c r="D3456" s="2" t="s">
        <v>653</v>
      </c>
      <c r="F3456" s="2" t="s">
        <v>3035</v>
      </c>
      <c r="G3456" s="72">
        <v>3.32750979E8</v>
      </c>
    </row>
    <row r="3457">
      <c r="C3457" s="74">
        <v>46210.9605482176</v>
      </c>
      <c r="D3457" s="2" t="s">
        <v>628</v>
      </c>
      <c r="F3457" s="2" t="s">
        <v>3034</v>
      </c>
      <c r="G3457" s="72">
        <v>3.16370272E8</v>
      </c>
    </row>
    <row r="3458">
      <c r="B3458" s="72">
        <v>8.1684434E7</v>
      </c>
      <c r="C3458" s="74">
        <v>46224.76948378472</v>
      </c>
      <c r="D3458" s="2" t="s">
        <v>653</v>
      </c>
      <c r="F3458" s="2" t="s">
        <v>3036</v>
      </c>
      <c r="G3458" s="72">
        <v>3.25814119E8</v>
      </c>
    </row>
    <row r="3459">
      <c r="C3459" s="74">
        <v>46214.75297075231</v>
      </c>
      <c r="D3459" s="2" t="s">
        <v>628</v>
      </c>
      <c r="F3459" s="2" t="s">
        <v>2089</v>
      </c>
      <c r="G3459" s="72">
        <v>3.18923504E8</v>
      </c>
    </row>
    <row r="3460">
      <c r="B3460" s="72">
        <v>8.0744718E7</v>
      </c>
      <c r="C3460" s="74">
        <v>46218.981428125</v>
      </c>
      <c r="D3460" s="2" t="s">
        <v>653</v>
      </c>
      <c r="F3460" s="2" t="s">
        <v>3037</v>
      </c>
      <c r="G3460" s="72">
        <v>3.21788714E8</v>
      </c>
    </row>
    <row r="3461">
      <c r="C3461" s="74">
        <v>46214.96058170139</v>
      </c>
      <c r="D3461" s="2" t="s">
        <v>628</v>
      </c>
      <c r="F3461" s="2" t="s">
        <v>3038</v>
      </c>
      <c r="G3461" s="72">
        <v>3.19135988E8</v>
      </c>
    </row>
    <row r="3462">
      <c r="B3462" s="72">
        <v>8.1181289E7</v>
      </c>
      <c r="C3462" s="74">
        <v>46221.56961686343</v>
      </c>
      <c r="D3462" s="2" t="s">
        <v>705</v>
      </c>
      <c r="F3462" s="2" t="s">
        <v>3039</v>
      </c>
      <c r="G3462" s="72">
        <v>3.23580739E8</v>
      </c>
    </row>
    <row r="3463">
      <c r="B3463" s="72">
        <v>7.812564E7</v>
      </c>
      <c r="C3463" s="74">
        <v>46204.49916869213</v>
      </c>
      <c r="D3463" s="2" t="s">
        <v>705</v>
      </c>
      <c r="F3463" s="2" t="s">
        <v>2912</v>
      </c>
      <c r="G3463" s="72">
        <v>3.11938192E8</v>
      </c>
    </row>
    <row r="3464">
      <c r="B3464" s="72">
        <v>8.1684434E7</v>
      </c>
      <c r="C3464" s="74">
        <v>46226.550574884255</v>
      </c>
      <c r="D3464" s="2" t="s">
        <v>653</v>
      </c>
      <c r="F3464" s="2" t="s">
        <v>3040</v>
      </c>
      <c r="G3464" s="72">
        <v>3.2692213E8</v>
      </c>
    </row>
    <row r="3465">
      <c r="B3465" s="72">
        <v>8.2206478E7</v>
      </c>
      <c r="C3465" s="74">
        <v>46229.546901469905</v>
      </c>
      <c r="D3465" s="2" t="s">
        <v>628</v>
      </c>
      <c r="F3465" s="2" t="s">
        <v>630</v>
      </c>
      <c r="G3465" s="72">
        <v>3.29232948E8</v>
      </c>
    </row>
    <row r="3466">
      <c r="C3466" s="74">
        <v>46206.75354839121</v>
      </c>
      <c r="D3466" s="2" t="s">
        <v>628</v>
      </c>
      <c r="F3466" s="2" t="s">
        <v>3041</v>
      </c>
      <c r="G3466" s="72">
        <v>3.1357174E8</v>
      </c>
    </row>
    <row r="3467">
      <c r="B3467" s="72">
        <v>8.1385158E7</v>
      </c>
      <c r="C3467" s="74">
        <v>46223.675457199075</v>
      </c>
      <c r="D3467" s="2" t="s">
        <v>653</v>
      </c>
      <c r="F3467" s="2" t="s">
        <v>3042</v>
      </c>
      <c r="G3467" s="72">
        <v>3.25118668E8</v>
      </c>
    </row>
    <row r="3468">
      <c r="B3468" s="72">
        <v>8.1036535E7</v>
      </c>
      <c r="C3468" s="74">
        <v>46224.47742456019</v>
      </c>
      <c r="D3468" s="2" t="s">
        <v>705</v>
      </c>
      <c r="F3468" s="2" t="s">
        <v>3043</v>
      </c>
      <c r="G3468" s="72">
        <v>3.25536221E8</v>
      </c>
    </row>
    <row r="3469">
      <c r="B3469" s="72">
        <v>8.2087695E7</v>
      </c>
      <c r="C3469" s="74">
        <v>46228.54312163194</v>
      </c>
      <c r="D3469" s="2" t="s">
        <v>653</v>
      </c>
      <c r="F3469" s="2" t="s">
        <v>3044</v>
      </c>
      <c r="G3469" s="72">
        <v>3.28406453E8</v>
      </c>
    </row>
    <row r="3470">
      <c r="B3470" s="72">
        <v>8.2369107E7</v>
      </c>
      <c r="C3470" s="74">
        <v>46234.65471560185</v>
      </c>
      <c r="D3470" s="2" t="s">
        <v>653</v>
      </c>
      <c r="F3470" s="2" t="s">
        <v>3045</v>
      </c>
      <c r="G3470" s="72">
        <v>3.32750973E8</v>
      </c>
    </row>
    <row r="3471">
      <c r="B3471" s="72">
        <v>8.2369107E7</v>
      </c>
      <c r="C3471" s="74">
        <v>46228.67527465278</v>
      </c>
      <c r="D3471" s="2" t="s">
        <v>653</v>
      </c>
      <c r="F3471" s="2" t="s">
        <v>3046</v>
      </c>
      <c r="G3471" s="72">
        <v>3.28582586E8</v>
      </c>
    </row>
    <row r="3472">
      <c r="B3472" s="72">
        <v>8.1153312E7</v>
      </c>
      <c r="C3472" s="74">
        <v>46221.45735694445</v>
      </c>
      <c r="D3472" s="2" t="s">
        <v>653</v>
      </c>
      <c r="F3472" s="2" t="s">
        <v>3047</v>
      </c>
      <c r="G3472" s="72">
        <v>3.2340984E8</v>
      </c>
    </row>
    <row r="3473">
      <c r="B3473" s="72">
        <v>8.2084678E7</v>
      </c>
      <c r="C3473" s="74">
        <v>46228.543034490736</v>
      </c>
      <c r="D3473" s="2" t="s">
        <v>628</v>
      </c>
      <c r="F3473" s="2" t="s">
        <v>630</v>
      </c>
      <c r="G3473" s="72">
        <v>3.28405487E8</v>
      </c>
    </row>
    <row r="3474">
      <c r="B3474" s="72">
        <v>8.103657E7</v>
      </c>
      <c r="C3474" s="74">
        <v>46221.673026296296</v>
      </c>
      <c r="D3474" s="2" t="s">
        <v>653</v>
      </c>
      <c r="F3474" s="2" t="s">
        <v>3048</v>
      </c>
      <c r="G3474" s="72">
        <v>3.23706177E8</v>
      </c>
    </row>
    <row r="3475">
      <c r="C3475" s="74">
        <v>46225.54280105324</v>
      </c>
      <c r="D3475" s="2" t="s">
        <v>628</v>
      </c>
      <c r="F3475" s="2" t="s">
        <v>630</v>
      </c>
      <c r="G3475" s="72">
        <v>3.2621795E8</v>
      </c>
    </row>
    <row r="3476">
      <c r="C3476" s="74">
        <v>46219.961204872685</v>
      </c>
      <c r="D3476" s="2" t="s">
        <v>628</v>
      </c>
      <c r="F3476" s="2" t="s">
        <v>1375</v>
      </c>
      <c r="G3476" s="72">
        <v>3.22479465E8</v>
      </c>
    </row>
    <row r="3477">
      <c r="C3477" s="74">
        <v>46213.96135765046</v>
      </c>
      <c r="D3477" s="2" t="s">
        <v>628</v>
      </c>
      <c r="F3477" s="2" t="s">
        <v>2344</v>
      </c>
      <c r="G3477" s="72">
        <v>3.18410789E8</v>
      </c>
    </row>
    <row r="3478">
      <c r="B3478" s="72">
        <v>8.1840382E7</v>
      </c>
      <c r="C3478" s="74">
        <v>46225.754688796296</v>
      </c>
      <c r="D3478" s="2" t="s">
        <v>653</v>
      </c>
      <c r="F3478" s="2" t="s">
        <v>3049</v>
      </c>
      <c r="G3478" s="72">
        <v>3.26445932E8</v>
      </c>
    </row>
    <row r="3479">
      <c r="C3479" s="74">
        <v>46214.96134894676</v>
      </c>
      <c r="D3479" s="2" t="s">
        <v>628</v>
      </c>
      <c r="F3479" s="2" t="s">
        <v>2277</v>
      </c>
      <c r="G3479" s="72">
        <v>3.19139795E8</v>
      </c>
    </row>
    <row r="3480">
      <c r="B3480" s="72">
        <v>8.253652E7</v>
      </c>
      <c r="C3480" s="74">
        <v>46229.68515394676</v>
      </c>
      <c r="D3480" s="2" t="s">
        <v>653</v>
      </c>
      <c r="F3480" s="2" t="s">
        <v>3050</v>
      </c>
      <c r="G3480" s="72">
        <v>3.29377503E8</v>
      </c>
    </row>
    <row r="3481">
      <c r="B3481" s="72">
        <v>8.1697799E7</v>
      </c>
      <c r="C3481" s="74">
        <v>46224.81303471065</v>
      </c>
      <c r="D3481" s="2" t="s">
        <v>653</v>
      </c>
      <c r="F3481" s="2" t="s">
        <v>3051</v>
      </c>
      <c r="G3481" s="72">
        <v>3.25856498E8</v>
      </c>
    </row>
    <row r="3482">
      <c r="B3482" s="72">
        <v>8.1036622E7</v>
      </c>
      <c r="C3482" s="74">
        <v>46220.810904722224</v>
      </c>
      <c r="D3482" s="2" t="s">
        <v>653</v>
      </c>
      <c r="F3482" s="2" t="s">
        <v>3052</v>
      </c>
      <c r="G3482" s="72">
        <v>3.23079786E8</v>
      </c>
    </row>
    <row r="3483">
      <c r="C3483" s="74">
        <v>46204.752498472226</v>
      </c>
      <c r="D3483" s="2" t="s">
        <v>628</v>
      </c>
      <c r="F3483" s="2" t="s">
        <v>3053</v>
      </c>
      <c r="G3483" s="72">
        <v>3.12188753E8</v>
      </c>
    </row>
    <row r="3484">
      <c r="C3484" s="74">
        <v>46212.96024512731</v>
      </c>
      <c r="D3484" s="2" t="s">
        <v>628</v>
      </c>
      <c r="F3484" s="2" t="s">
        <v>648</v>
      </c>
      <c r="G3484" s="72">
        <v>3.17658751E8</v>
      </c>
    </row>
    <row r="3485">
      <c r="B3485" s="72">
        <v>8.3411799E7</v>
      </c>
      <c r="C3485" s="74">
        <v>46234.8029631713</v>
      </c>
      <c r="D3485" s="2" t="s">
        <v>653</v>
      </c>
      <c r="F3485" s="2" t="s">
        <v>3054</v>
      </c>
      <c r="G3485" s="72">
        <v>3.32922869E8</v>
      </c>
    </row>
    <row r="3486">
      <c r="C3486" s="74">
        <v>46225.96021409723</v>
      </c>
      <c r="D3486" s="2" t="s">
        <v>628</v>
      </c>
      <c r="F3486" s="2" t="s">
        <v>3055</v>
      </c>
      <c r="G3486" s="72">
        <v>3.26629788E8</v>
      </c>
    </row>
    <row r="3487">
      <c r="B3487" s="72">
        <v>8.0874965E7</v>
      </c>
      <c r="C3487" s="74">
        <v>46219.80657454861</v>
      </c>
      <c r="D3487" s="2" t="s">
        <v>653</v>
      </c>
      <c r="F3487" s="2" t="s">
        <v>3056</v>
      </c>
      <c r="G3487" s="72">
        <v>3.22327839E8</v>
      </c>
    </row>
    <row r="3488">
      <c r="B3488" s="72">
        <v>8.0927441E7</v>
      </c>
      <c r="C3488" s="74">
        <v>46219.97704421297</v>
      </c>
      <c r="D3488" s="2" t="s">
        <v>653</v>
      </c>
      <c r="F3488" s="2" t="s">
        <v>3057</v>
      </c>
      <c r="G3488" s="72">
        <v>3.2249248E8</v>
      </c>
    </row>
    <row r="3489">
      <c r="B3489" s="72">
        <v>8.1684434E7</v>
      </c>
      <c r="C3489" s="74">
        <v>46224.76947800926</v>
      </c>
      <c r="D3489" s="2" t="s">
        <v>653</v>
      </c>
      <c r="F3489" s="2" t="s">
        <v>753</v>
      </c>
      <c r="G3489" s="72">
        <v>3.25814114E8</v>
      </c>
    </row>
    <row r="3490">
      <c r="C3490" s="74">
        <v>46224.751223576386</v>
      </c>
      <c r="D3490" s="2" t="s">
        <v>628</v>
      </c>
      <c r="F3490" s="2" t="s">
        <v>1416</v>
      </c>
      <c r="G3490" s="72">
        <v>3.25788616E8</v>
      </c>
    </row>
    <row r="3491">
      <c r="C3491" s="74">
        <v>46230.752374930555</v>
      </c>
      <c r="D3491" s="2" t="s">
        <v>628</v>
      </c>
      <c r="F3491" s="2" t="s">
        <v>1028</v>
      </c>
      <c r="G3491" s="72">
        <v>3.30063469E8</v>
      </c>
    </row>
    <row r="3492">
      <c r="B3492" s="72">
        <v>8.3229135E7</v>
      </c>
      <c r="C3492" s="74">
        <v>46233.94435672453</v>
      </c>
      <c r="D3492" s="2" t="s">
        <v>705</v>
      </c>
      <c r="F3492" s="2" t="s">
        <v>3058</v>
      </c>
      <c r="G3492" s="72">
        <v>3.3228933E8</v>
      </c>
    </row>
    <row r="3493">
      <c r="C3493" s="74">
        <v>46210.95892038195</v>
      </c>
      <c r="D3493" s="2" t="s">
        <v>628</v>
      </c>
      <c r="F3493" s="2" t="s">
        <v>3059</v>
      </c>
      <c r="G3493" s="72">
        <v>3.16365698E8</v>
      </c>
    </row>
    <row r="3494">
      <c r="C3494" s="74">
        <v>46229.75159545139</v>
      </c>
      <c r="D3494" s="2" t="s">
        <v>628</v>
      </c>
      <c r="F3494" s="2" t="s">
        <v>3060</v>
      </c>
      <c r="G3494" s="72">
        <v>3.29419416E8</v>
      </c>
    </row>
    <row r="3495">
      <c r="B3495" s="72">
        <v>7.812564E7</v>
      </c>
      <c r="C3495" s="74">
        <v>46204.499143043984</v>
      </c>
      <c r="D3495" s="2" t="s">
        <v>705</v>
      </c>
      <c r="F3495" s="2" t="s">
        <v>2914</v>
      </c>
      <c r="G3495" s="72">
        <v>3.11938188E8</v>
      </c>
    </row>
    <row r="3496">
      <c r="B3496" s="72">
        <v>8.1490702E7</v>
      </c>
      <c r="C3496" s="74">
        <v>46225.971635671296</v>
      </c>
      <c r="D3496" s="2" t="s">
        <v>653</v>
      </c>
      <c r="F3496" s="2" t="s">
        <v>1877</v>
      </c>
      <c r="G3496" s="72">
        <v>3.266438E8</v>
      </c>
    </row>
    <row r="3497">
      <c r="B3497" s="72">
        <v>8.2344871E7</v>
      </c>
      <c r="C3497" s="74">
        <v>46228.61449987268</v>
      </c>
      <c r="D3497" s="2" t="s">
        <v>653</v>
      </c>
      <c r="F3497" s="2" t="s">
        <v>3061</v>
      </c>
      <c r="G3497" s="72">
        <v>3.28514961E8</v>
      </c>
    </row>
    <row r="3498">
      <c r="B3498" s="72">
        <v>8.1036547E7</v>
      </c>
      <c r="C3498" s="74">
        <v>46220.756346319446</v>
      </c>
      <c r="D3498" s="2" t="s">
        <v>653</v>
      </c>
      <c r="F3498" s="2" t="s">
        <v>3062</v>
      </c>
      <c r="G3498" s="72">
        <v>3.23017091E8</v>
      </c>
    </row>
    <row r="3499">
      <c r="C3499" s="74">
        <v>46215.96124212963</v>
      </c>
      <c r="D3499" s="2" t="s">
        <v>628</v>
      </c>
      <c r="F3499" s="2" t="s">
        <v>1166</v>
      </c>
      <c r="G3499" s="72">
        <v>3.19861825E8</v>
      </c>
    </row>
    <row r="3500">
      <c r="C3500" s="74">
        <v>46231.960140625</v>
      </c>
      <c r="D3500" s="2" t="s">
        <v>628</v>
      </c>
      <c r="F3500" s="2" t="s">
        <v>1567</v>
      </c>
      <c r="G3500" s="72">
        <v>3.30916436E8</v>
      </c>
    </row>
    <row r="3501">
      <c r="B3501" s="72">
        <v>8.2031778E7</v>
      </c>
      <c r="C3501" s="74">
        <v>46226.79714766204</v>
      </c>
      <c r="D3501" s="2" t="s">
        <v>653</v>
      </c>
      <c r="F3501" s="2" t="s">
        <v>3063</v>
      </c>
      <c r="G3501" s="72">
        <v>3.27179833E8</v>
      </c>
    </row>
    <row r="3502">
      <c r="B3502" s="72">
        <v>8.10571E7</v>
      </c>
      <c r="C3502" s="74">
        <v>46220.81093891204</v>
      </c>
      <c r="D3502" s="2" t="s">
        <v>653</v>
      </c>
      <c r="F3502" s="2" t="s">
        <v>869</v>
      </c>
      <c r="G3502" s="72">
        <v>3.23079816E8</v>
      </c>
    </row>
    <row r="3503">
      <c r="C3503" s="74">
        <v>46205.75065923611</v>
      </c>
      <c r="D3503" s="2" t="s">
        <v>628</v>
      </c>
      <c r="F3503" s="2" t="s">
        <v>714</v>
      </c>
      <c r="G3503" s="72">
        <v>3.12815818E8</v>
      </c>
    </row>
    <row r="3504">
      <c r="B3504" s="72">
        <v>8.2991938E7</v>
      </c>
      <c r="C3504" s="74">
        <v>46232.606802800925</v>
      </c>
      <c r="D3504" s="2" t="s">
        <v>705</v>
      </c>
      <c r="F3504" s="2" t="s">
        <v>3064</v>
      </c>
      <c r="G3504" s="72">
        <v>3.31259802E8</v>
      </c>
    </row>
    <row r="3505">
      <c r="C3505" s="74">
        <v>46215.96095574074</v>
      </c>
      <c r="D3505" s="2" t="s">
        <v>628</v>
      </c>
      <c r="F3505" s="2" t="s">
        <v>3065</v>
      </c>
      <c r="G3505" s="72">
        <v>3.19860989E8</v>
      </c>
    </row>
    <row r="3506">
      <c r="C3506" s="74">
        <v>46212.96179715278</v>
      </c>
      <c r="D3506" s="2" t="s">
        <v>628</v>
      </c>
      <c r="F3506" s="2" t="s">
        <v>2240</v>
      </c>
      <c r="G3506" s="72">
        <v>3.17664373E8</v>
      </c>
    </row>
    <row r="3507">
      <c r="C3507" s="74">
        <v>46209.96017922454</v>
      </c>
      <c r="D3507" s="2" t="s">
        <v>628</v>
      </c>
      <c r="F3507" s="2" t="s">
        <v>3066</v>
      </c>
      <c r="G3507" s="72">
        <v>3.15779385E8</v>
      </c>
    </row>
    <row r="3508">
      <c r="B3508" s="72">
        <v>8.0681552E7</v>
      </c>
      <c r="C3508" s="74">
        <v>46218.77263980324</v>
      </c>
      <c r="D3508" s="2" t="s">
        <v>653</v>
      </c>
      <c r="F3508" s="2" t="s">
        <v>3067</v>
      </c>
      <c r="G3508" s="72">
        <v>3.21593051E8</v>
      </c>
    </row>
    <row r="3509">
      <c r="C3509" s="74">
        <v>46222.753679664354</v>
      </c>
      <c r="D3509" s="2" t="s">
        <v>628</v>
      </c>
      <c r="F3509" s="2" t="s">
        <v>1715</v>
      </c>
      <c r="G3509" s="72">
        <v>3.2455233E8</v>
      </c>
    </row>
    <row r="3510">
      <c r="B3510" s="72">
        <v>8.1385144E7</v>
      </c>
      <c r="C3510" s="74">
        <v>46224.56115545139</v>
      </c>
      <c r="D3510" s="2" t="s">
        <v>653</v>
      </c>
      <c r="F3510" s="2" t="s">
        <v>3068</v>
      </c>
      <c r="G3510" s="72">
        <v>3.25632674E8</v>
      </c>
    </row>
    <row r="3511">
      <c r="B3511" s="72">
        <v>8.1830545E7</v>
      </c>
      <c r="C3511" s="74">
        <v>46225.75089858796</v>
      </c>
      <c r="D3511" s="2" t="s">
        <v>628</v>
      </c>
      <c r="F3511" s="2" t="s">
        <v>3069</v>
      </c>
      <c r="G3511" s="72">
        <v>3.26423949E8</v>
      </c>
    </row>
    <row r="3512">
      <c r="B3512" s="72">
        <v>8.1902903E7</v>
      </c>
      <c r="C3512" s="74">
        <v>46225.97183980324</v>
      </c>
      <c r="D3512" s="2" t="s">
        <v>705</v>
      </c>
      <c r="F3512" s="2" t="s">
        <v>1225</v>
      </c>
      <c r="G3512" s="72">
        <v>3.26643941E8</v>
      </c>
    </row>
    <row r="3513">
      <c r="C3513" s="74">
        <v>46228.751389791665</v>
      </c>
      <c r="D3513" s="2" t="s">
        <v>628</v>
      </c>
      <c r="F3513" s="2" t="s">
        <v>1566</v>
      </c>
      <c r="G3513" s="72">
        <v>3.28637755E8</v>
      </c>
    </row>
    <row r="3514">
      <c r="B3514" s="72">
        <v>8.1385144E7</v>
      </c>
      <c r="C3514" s="74">
        <v>46230.46771887731</v>
      </c>
      <c r="D3514" s="2" t="s">
        <v>653</v>
      </c>
      <c r="F3514" s="2" t="s">
        <v>3070</v>
      </c>
      <c r="G3514" s="72">
        <v>3.29784574E8</v>
      </c>
    </row>
    <row r="3515">
      <c r="B3515" s="72">
        <v>8.1490702E7</v>
      </c>
      <c r="C3515" s="74">
        <v>46225.971648402774</v>
      </c>
      <c r="D3515" s="2" t="s">
        <v>653</v>
      </c>
      <c r="F3515" s="2" t="s">
        <v>3071</v>
      </c>
      <c r="G3515" s="72">
        <v>3.26643813E8</v>
      </c>
    </row>
    <row r="3516">
      <c r="C3516" s="74">
        <v>46211.96109744213</v>
      </c>
      <c r="D3516" s="2" t="s">
        <v>628</v>
      </c>
      <c r="F3516" s="2" t="s">
        <v>3072</v>
      </c>
      <c r="G3516" s="72">
        <v>3.16988698E8</v>
      </c>
    </row>
    <row r="3517">
      <c r="B3517" s="72">
        <v>8.2369089E7</v>
      </c>
      <c r="C3517" s="74">
        <v>46230.65999818287</v>
      </c>
      <c r="D3517" s="2" t="s">
        <v>653</v>
      </c>
      <c r="F3517" s="2" t="s">
        <v>3073</v>
      </c>
      <c r="G3517" s="72">
        <v>3.29989061E8</v>
      </c>
    </row>
    <row r="3518">
      <c r="B3518" s="72">
        <v>8.1448216E7</v>
      </c>
      <c r="C3518" s="74">
        <v>46230.65987133102</v>
      </c>
      <c r="D3518" s="2" t="s">
        <v>653</v>
      </c>
      <c r="F3518" s="2" t="s">
        <v>2957</v>
      </c>
      <c r="G3518" s="72">
        <v>3.29989003E8</v>
      </c>
    </row>
    <row r="3519">
      <c r="B3519" s="72">
        <v>8.168444E7</v>
      </c>
      <c r="C3519" s="74">
        <v>46224.7695122338</v>
      </c>
      <c r="D3519" s="2" t="s">
        <v>653</v>
      </c>
      <c r="F3519" s="2" t="s">
        <v>1440</v>
      </c>
      <c r="G3519" s="72">
        <v>3.25814132E8</v>
      </c>
    </row>
    <row r="3520">
      <c r="C3520" s="74">
        <v>46219.960971238426</v>
      </c>
      <c r="D3520" s="2" t="s">
        <v>628</v>
      </c>
      <c r="F3520" s="2" t="s">
        <v>1543</v>
      </c>
      <c r="G3520" s="72">
        <v>3.22478613E8</v>
      </c>
    </row>
    <row r="3521">
      <c r="C3521" s="74">
        <v>46217.960184930555</v>
      </c>
      <c r="D3521" s="2" t="s">
        <v>628</v>
      </c>
      <c r="F3521" s="2" t="s">
        <v>2344</v>
      </c>
      <c r="G3521" s="72">
        <v>3.21113276E8</v>
      </c>
    </row>
    <row r="3522">
      <c r="B3522" s="72">
        <v>8.0927455E7</v>
      </c>
      <c r="C3522" s="74">
        <v>46219.97711331019</v>
      </c>
      <c r="D3522" s="2" t="s">
        <v>653</v>
      </c>
      <c r="F3522" s="2" t="s">
        <v>3074</v>
      </c>
      <c r="G3522" s="72">
        <v>3.22492521E8</v>
      </c>
    </row>
    <row r="3523">
      <c r="B3523" s="72">
        <v>8.2369089E7</v>
      </c>
      <c r="C3523" s="74">
        <v>46228.675104953705</v>
      </c>
      <c r="D3523" s="2" t="s">
        <v>653</v>
      </c>
      <c r="F3523" s="2" t="s">
        <v>2916</v>
      </c>
      <c r="G3523" s="72">
        <v>3.28582451E8</v>
      </c>
    </row>
    <row r="3524">
      <c r="C3524" s="74">
        <v>46226.95957537037</v>
      </c>
      <c r="D3524" s="2" t="s">
        <v>628</v>
      </c>
      <c r="F3524" s="2" t="s">
        <v>2378</v>
      </c>
      <c r="G3524" s="72">
        <v>3.27334919E8</v>
      </c>
    </row>
    <row r="3525">
      <c r="B3525" s="72">
        <v>8.1385144E7</v>
      </c>
      <c r="C3525" s="74">
        <v>46225.971680925926</v>
      </c>
      <c r="D3525" s="2" t="s">
        <v>653</v>
      </c>
      <c r="F3525" s="2" t="s">
        <v>3075</v>
      </c>
      <c r="G3525" s="72">
        <v>3.26643837E8</v>
      </c>
    </row>
    <row r="3526">
      <c r="B3526" s="72">
        <v>8.0874991E7</v>
      </c>
      <c r="C3526" s="74">
        <v>46219.806720416665</v>
      </c>
      <c r="D3526" s="2" t="s">
        <v>653</v>
      </c>
      <c r="F3526" s="2" t="s">
        <v>1584</v>
      </c>
      <c r="G3526" s="72">
        <v>3.22327963E8</v>
      </c>
    </row>
    <row r="3527">
      <c r="C3527" s="74">
        <v>46230.753115983796</v>
      </c>
      <c r="D3527" s="2" t="s">
        <v>628</v>
      </c>
      <c r="F3527" s="2" t="s">
        <v>924</v>
      </c>
      <c r="G3527" s="72">
        <v>3.30065427E8</v>
      </c>
    </row>
    <row r="3528">
      <c r="B3528" s="72">
        <v>8.0739734E7</v>
      </c>
      <c r="C3528" s="74">
        <v>46218.961150312505</v>
      </c>
      <c r="D3528" s="2" t="s">
        <v>653</v>
      </c>
      <c r="F3528" s="2" t="s">
        <v>1084</v>
      </c>
      <c r="G3528" s="72">
        <v>3.21772739E8</v>
      </c>
    </row>
    <row r="3529">
      <c r="B3529" s="72">
        <v>8.2031778E7</v>
      </c>
      <c r="C3529" s="74">
        <v>46230.66002756944</v>
      </c>
      <c r="D3529" s="2" t="s">
        <v>653</v>
      </c>
      <c r="F3529" s="2" t="s">
        <v>3076</v>
      </c>
      <c r="G3529" s="72">
        <v>3.29989071E8</v>
      </c>
    </row>
    <row r="3530">
      <c r="B3530" s="72">
        <v>8.3045193E7</v>
      </c>
      <c r="C3530" s="74">
        <v>46233.83590046296</v>
      </c>
      <c r="D3530" s="2" t="s">
        <v>705</v>
      </c>
      <c r="F3530" s="2" t="s">
        <v>3077</v>
      </c>
      <c r="G3530" s="72">
        <v>3.32176661E8</v>
      </c>
    </row>
    <row r="3531">
      <c r="B3531" s="72">
        <v>7.812564E7</v>
      </c>
      <c r="C3531" s="74">
        <v>46226.62281311343</v>
      </c>
      <c r="D3531" s="2" t="s">
        <v>705</v>
      </c>
      <c r="F3531" s="2" t="s">
        <v>2912</v>
      </c>
      <c r="G3531" s="72">
        <v>3.26990208E8</v>
      </c>
    </row>
    <row r="3532">
      <c r="B3532" s="72">
        <v>8.1383744E7</v>
      </c>
      <c r="C3532" s="74">
        <v>46223.961280324074</v>
      </c>
      <c r="D3532" s="2" t="s">
        <v>628</v>
      </c>
      <c r="F3532" s="2" t="s">
        <v>1717</v>
      </c>
      <c r="G3532" s="72">
        <v>3.25367701E8</v>
      </c>
    </row>
    <row r="3533">
      <c r="B3533" s="72">
        <v>7.9878903E7</v>
      </c>
      <c r="C3533" s="74">
        <v>46213.75196799768</v>
      </c>
      <c r="D3533" s="2" t="s">
        <v>628</v>
      </c>
      <c r="F3533" s="2" t="s">
        <v>3078</v>
      </c>
      <c r="G3533" s="72">
        <v>3.18170272E8</v>
      </c>
    </row>
    <row r="3534">
      <c r="B3534" s="72">
        <v>8.1902903E7</v>
      </c>
      <c r="C3534" s="74">
        <v>46225.971843969906</v>
      </c>
      <c r="D3534" s="2" t="s">
        <v>653</v>
      </c>
      <c r="F3534" s="2" t="s">
        <v>919</v>
      </c>
      <c r="G3534" s="72">
        <v>3.26643944E8</v>
      </c>
    </row>
    <row r="3535">
      <c r="C3535" s="74">
        <v>46214.75362538194</v>
      </c>
      <c r="D3535" s="2" t="s">
        <v>628</v>
      </c>
      <c r="F3535" s="2" t="s">
        <v>3079</v>
      </c>
      <c r="G3535" s="72">
        <v>3.18927777E8</v>
      </c>
    </row>
    <row r="3536">
      <c r="B3536" s="72">
        <v>7.812564E7</v>
      </c>
      <c r="C3536" s="74">
        <v>46206.98600730324</v>
      </c>
      <c r="D3536" s="2" t="s">
        <v>705</v>
      </c>
      <c r="F3536" s="2" t="s">
        <v>2914</v>
      </c>
      <c r="G3536" s="72">
        <v>3.13824721E8</v>
      </c>
    </row>
    <row r="3537">
      <c r="C3537" s="74">
        <v>46213.959171932875</v>
      </c>
      <c r="D3537" s="2" t="s">
        <v>628</v>
      </c>
      <c r="F3537" s="2" t="s">
        <v>3080</v>
      </c>
      <c r="G3537" s="72">
        <v>3.184039E8</v>
      </c>
    </row>
    <row r="3538">
      <c r="C3538" s="74">
        <v>46205.75286314815</v>
      </c>
      <c r="D3538" s="2" t="s">
        <v>628</v>
      </c>
      <c r="F3538" s="2" t="s">
        <v>1035</v>
      </c>
      <c r="G3538" s="72">
        <v>3.12833552E8</v>
      </c>
    </row>
    <row r="3539">
      <c r="B3539" s="72">
        <v>8.1153312E7</v>
      </c>
      <c r="C3539" s="74">
        <v>46221.45734518519</v>
      </c>
      <c r="D3539" s="2" t="s">
        <v>653</v>
      </c>
      <c r="F3539" s="2" t="s">
        <v>3000</v>
      </c>
      <c r="G3539" s="72">
        <v>3.23409835E8</v>
      </c>
    </row>
    <row r="3540">
      <c r="B3540" s="72">
        <v>8.0652082E7</v>
      </c>
      <c r="C3540" s="74">
        <v>46218.65812482639</v>
      </c>
      <c r="D3540" s="2" t="s">
        <v>653</v>
      </c>
      <c r="F3540" s="2" t="s">
        <v>3081</v>
      </c>
      <c r="G3540" s="72">
        <v>3.2148375E8</v>
      </c>
    </row>
    <row r="3541">
      <c r="C3541" s="74">
        <v>46233.545898020835</v>
      </c>
      <c r="D3541" s="2" t="s">
        <v>628</v>
      </c>
      <c r="F3541" s="2" t="s">
        <v>630</v>
      </c>
      <c r="G3541" s="72">
        <v>3.31872749E8</v>
      </c>
    </row>
    <row r="3542">
      <c r="C3542" s="74">
        <v>46221.00361486111</v>
      </c>
      <c r="D3542" s="2" t="s">
        <v>628</v>
      </c>
      <c r="F3542" s="2" t="s">
        <v>2704</v>
      </c>
      <c r="G3542" s="72">
        <v>3.23288069E8</v>
      </c>
    </row>
    <row r="3543">
      <c r="B3543" s="72">
        <v>8.0927455E7</v>
      </c>
      <c r="C3543" s="74">
        <v>46220.55017155093</v>
      </c>
      <c r="D3543" s="2" t="s">
        <v>653</v>
      </c>
      <c r="F3543" s="2" t="s">
        <v>3082</v>
      </c>
      <c r="G3543" s="72">
        <v>3.22798405E8</v>
      </c>
    </row>
    <row r="3544">
      <c r="C3544" s="74">
        <v>46215.95937589121</v>
      </c>
      <c r="D3544" s="2" t="s">
        <v>628</v>
      </c>
      <c r="F3544" s="2" t="s">
        <v>1185</v>
      </c>
      <c r="G3544" s="72">
        <v>3.19856087E8</v>
      </c>
    </row>
    <row r="3545">
      <c r="B3545" s="72">
        <v>8.115331E7</v>
      </c>
      <c r="C3545" s="74">
        <v>46221.45732721065</v>
      </c>
      <c r="D3545" s="2" t="s">
        <v>653</v>
      </c>
      <c r="F3545" s="2" t="s">
        <v>3083</v>
      </c>
      <c r="G3545" s="72">
        <v>3.23409831E8</v>
      </c>
    </row>
    <row r="3546">
      <c r="B3546" s="72">
        <v>8.2369107E7</v>
      </c>
      <c r="C3546" s="74">
        <v>46229.58812476852</v>
      </c>
      <c r="D3546" s="2" t="s">
        <v>653</v>
      </c>
      <c r="F3546" s="2" t="s">
        <v>3084</v>
      </c>
      <c r="G3546" s="72">
        <v>3.29299507E8</v>
      </c>
    </row>
    <row r="3547">
      <c r="C3547" s="74">
        <v>46224.54268893518</v>
      </c>
      <c r="D3547" s="2" t="s">
        <v>628</v>
      </c>
      <c r="F3547" s="2" t="s">
        <v>630</v>
      </c>
      <c r="G3547" s="72">
        <v>3.255907E8</v>
      </c>
    </row>
    <row r="3548">
      <c r="B3548" s="72">
        <v>8.1036622E7</v>
      </c>
      <c r="C3548" s="74">
        <v>46221.67300255787</v>
      </c>
      <c r="D3548" s="2" t="s">
        <v>653</v>
      </c>
      <c r="F3548" s="2" t="s">
        <v>3052</v>
      </c>
      <c r="G3548" s="72">
        <v>3.23706158E8</v>
      </c>
    </row>
    <row r="3549">
      <c r="B3549" s="72">
        <v>8.3169903E7</v>
      </c>
      <c r="C3549" s="74">
        <v>46233.6664924537</v>
      </c>
      <c r="D3549" s="2" t="s">
        <v>705</v>
      </c>
      <c r="F3549" s="2" t="s">
        <v>756</v>
      </c>
      <c r="G3549" s="72">
        <v>3.31988416E8</v>
      </c>
    </row>
    <row r="3550">
      <c r="C3550" s="74">
        <v>46231.545277453704</v>
      </c>
      <c r="D3550" s="2" t="s">
        <v>628</v>
      </c>
      <c r="F3550" s="2" t="s">
        <v>630</v>
      </c>
      <c r="G3550" s="72">
        <v>3.30542964E8</v>
      </c>
    </row>
    <row r="3551">
      <c r="C3551" s="74">
        <v>46214.75253503472</v>
      </c>
      <c r="D3551" s="2" t="s">
        <v>628</v>
      </c>
      <c r="F3551" s="2" t="s">
        <v>1416</v>
      </c>
      <c r="G3551" s="72">
        <v>3.18919763E8</v>
      </c>
    </row>
    <row r="3552">
      <c r="B3552" s="72">
        <v>8.168444E7</v>
      </c>
      <c r="C3552" s="74">
        <v>46224.76950912037</v>
      </c>
      <c r="D3552" s="2" t="s">
        <v>653</v>
      </c>
      <c r="F3552" s="2" t="s">
        <v>753</v>
      </c>
      <c r="G3552" s="72">
        <v>3.25814129E8</v>
      </c>
    </row>
    <row r="3553">
      <c r="C3553" s="74">
        <v>46224.54275378472</v>
      </c>
      <c r="D3553" s="2" t="s">
        <v>628</v>
      </c>
      <c r="F3553" s="2" t="s">
        <v>630</v>
      </c>
      <c r="G3553" s="72">
        <v>3.25591339E8</v>
      </c>
    </row>
    <row r="3554">
      <c r="B3554" s="72">
        <v>8.341172E7</v>
      </c>
      <c r="C3554" s="74">
        <v>46234.80270446759</v>
      </c>
      <c r="D3554" s="2" t="s">
        <v>653</v>
      </c>
      <c r="F3554" s="2" t="s">
        <v>919</v>
      </c>
      <c r="G3554" s="72">
        <v>3.32922606E8</v>
      </c>
    </row>
    <row r="3555">
      <c r="B3555" s="72">
        <v>8.3411712E7</v>
      </c>
      <c r="C3555" s="74">
        <v>46234.80266674768</v>
      </c>
      <c r="D3555" s="2" t="s">
        <v>653</v>
      </c>
      <c r="F3555" s="2" t="s">
        <v>3085</v>
      </c>
      <c r="G3555" s="72">
        <v>3.32922568E8</v>
      </c>
    </row>
    <row r="3556">
      <c r="B3556" s="72">
        <v>8.3229135E7</v>
      </c>
      <c r="C3556" s="74">
        <v>46233.9422993287</v>
      </c>
      <c r="D3556" s="2" t="s">
        <v>705</v>
      </c>
      <c r="F3556" s="2" t="s">
        <v>3086</v>
      </c>
      <c r="G3556" s="72">
        <v>3.32287966E8</v>
      </c>
    </row>
    <row r="3557">
      <c r="B3557" s="72">
        <v>7.812564E7</v>
      </c>
      <c r="C3557" s="74">
        <v>46206.985992002315</v>
      </c>
      <c r="D3557" s="2" t="s">
        <v>705</v>
      </c>
      <c r="F3557" s="2" t="s">
        <v>2912</v>
      </c>
      <c r="G3557" s="72">
        <v>3.13824713E8</v>
      </c>
    </row>
    <row r="3558">
      <c r="C3558" s="74">
        <v>46229.75356494213</v>
      </c>
      <c r="D3558" s="2" t="s">
        <v>628</v>
      </c>
      <c r="F3558" s="2" t="s">
        <v>775</v>
      </c>
      <c r="G3558" s="72">
        <v>3.2943291E8</v>
      </c>
    </row>
    <row r="3559">
      <c r="C3559" s="74">
        <v>46204.68254846065</v>
      </c>
      <c r="D3559" s="2" t="s">
        <v>628</v>
      </c>
      <c r="F3559" s="2" t="s">
        <v>3087</v>
      </c>
      <c r="G3559" s="72">
        <v>3.12143899E8</v>
      </c>
    </row>
    <row r="3560">
      <c r="B3560" s="72">
        <v>8.2191762E7</v>
      </c>
      <c r="C3560" s="74">
        <v>46228.67522210648</v>
      </c>
      <c r="D3560" s="2" t="s">
        <v>653</v>
      </c>
      <c r="F3560" s="2" t="s">
        <v>3030</v>
      </c>
      <c r="G3560" s="72">
        <v>3.28582545E8</v>
      </c>
    </row>
    <row r="3561">
      <c r="C3561" s="74">
        <v>46211.75333689815</v>
      </c>
      <c r="D3561" s="2" t="s">
        <v>628</v>
      </c>
      <c r="F3561" s="2" t="s">
        <v>3088</v>
      </c>
      <c r="G3561" s="72">
        <v>3.1680124E8</v>
      </c>
    </row>
    <row r="3562">
      <c r="B3562" s="72">
        <v>8.1025312E7</v>
      </c>
      <c r="C3562" s="74">
        <v>46220.756816678244</v>
      </c>
      <c r="D3562" s="2" t="s">
        <v>653</v>
      </c>
      <c r="F3562" s="2" t="s">
        <v>3089</v>
      </c>
      <c r="G3562" s="72">
        <v>3.23017415E8</v>
      </c>
    </row>
    <row r="3563">
      <c r="B3563" s="72">
        <v>8.1036535E7</v>
      </c>
      <c r="C3563" s="74">
        <v>46220.75629471065</v>
      </c>
      <c r="D3563" s="2" t="s">
        <v>653</v>
      </c>
      <c r="F3563" s="2" t="s">
        <v>1399</v>
      </c>
      <c r="G3563" s="72">
        <v>3.23017062E8</v>
      </c>
    </row>
    <row r="3564">
      <c r="B3564" s="72">
        <v>8.2685346E7</v>
      </c>
      <c r="C3564" s="74">
        <v>46230.70672596065</v>
      </c>
      <c r="D3564" s="2" t="s">
        <v>705</v>
      </c>
      <c r="F3564" s="2" t="s">
        <v>3090</v>
      </c>
      <c r="G3564" s="72">
        <v>3.30026295E8</v>
      </c>
    </row>
    <row r="3565">
      <c r="B3565" s="72">
        <v>8.1627125E7</v>
      </c>
      <c r="C3565" s="74">
        <v>46224.47046511574</v>
      </c>
      <c r="D3565" s="2" t="s">
        <v>705</v>
      </c>
      <c r="F3565" s="2" t="s">
        <v>2571</v>
      </c>
      <c r="G3565" s="72">
        <v>3.2553479E8</v>
      </c>
    </row>
    <row r="3566">
      <c r="C3566" s="74">
        <v>46227.751225092594</v>
      </c>
      <c r="D3566" s="2" t="s">
        <v>628</v>
      </c>
      <c r="F3566" s="2" t="s">
        <v>683</v>
      </c>
      <c r="G3566" s="72">
        <v>3.27863256E8</v>
      </c>
    </row>
    <row r="3567">
      <c r="C3567" s="74">
        <v>46204.96043076389</v>
      </c>
      <c r="D3567" s="2" t="s">
        <v>628</v>
      </c>
      <c r="F3567" s="2" t="s">
        <v>1908</v>
      </c>
      <c r="G3567" s="72">
        <v>3.12382846E8</v>
      </c>
    </row>
    <row r="3568">
      <c r="C3568" s="74">
        <v>46226.544556203706</v>
      </c>
      <c r="D3568" s="2" t="s">
        <v>628</v>
      </c>
      <c r="F3568" s="2" t="s">
        <v>630</v>
      </c>
      <c r="G3568" s="72">
        <v>3.26900572E8</v>
      </c>
    </row>
    <row r="3569">
      <c r="C3569" s="74">
        <v>46216.96075430556</v>
      </c>
      <c r="D3569" s="2" t="s">
        <v>628</v>
      </c>
      <c r="F3569" s="2" t="s">
        <v>1417</v>
      </c>
      <c r="G3569" s="72">
        <v>3.20485634E8</v>
      </c>
    </row>
    <row r="3570">
      <c r="B3570" s="72">
        <v>8.1385145E7</v>
      </c>
      <c r="C3570" s="74">
        <v>46222.76300612268</v>
      </c>
      <c r="D3570" s="2" t="s">
        <v>653</v>
      </c>
      <c r="F3570" s="2" t="s">
        <v>3091</v>
      </c>
      <c r="G3570" s="72">
        <v>3.24558561E8</v>
      </c>
    </row>
    <row r="3571">
      <c r="B3571" s="72">
        <v>8.1490702E7</v>
      </c>
      <c r="C3571" s="74">
        <v>46225.971632071756</v>
      </c>
      <c r="D3571" s="2" t="s">
        <v>653</v>
      </c>
      <c r="F3571" s="2" t="s">
        <v>3092</v>
      </c>
      <c r="G3571" s="72">
        <v>3.26643798E8</v>
      </c>
    </row>
    <row r="3572">
      <c r="B3572" s="72">
        <v>7.812564E7</v>
      </c>
      <c r="C3572" s="74">
        <v>46204.4998862963</v>
      </c>
      <c r="D3572" s="2" t="s">
        <v>705</v>
      </c>
      <c r="F3572" s="2" t="s">
        <v>2914</v>
      </c>
      <c r="G3572" s="72">
        <v>3.11938399E8</v>
      </c>
    </row>
    <row r="3573">
      <c r="C3573" s="74">
        <v>46234.75262425926</v>
      </c>
      <c r="D3573" s="2" t="s">
        <v>628</v>
      </c>
      <c r="F3573" s="2" t="s">
        <v>2773</v>
      </c>
      <c r="G3573" s="72">
        <v>3.32847945E8</v>
      </c>
    </row>
    <row r="3574">
      <c r="B3574" s="72">
        <v>8.103657E7</v>
      </c>
      <c r="C3574" s="74">
        <v>46224.47752447917</v>
      </c>
      <c r="D3574" s="2" t="s">
        <v>653</v>
      </c>
      <c r="F3574" s="2" t="s">
        <v>3093</v>
      </c>
      <c r="G3574" s="72">
        <v>3.25536247E8</v>
      </c>
    </row>
    <row r="3575">
      <c r="C3575" s="74">
        <v>46207.75276729166</v>
      </c>
      <c r="D3575" s="2" t="s">
        <v>628</v>
      </c>
      <c r="F3575" s="2" t="s">
        <v>2389</v>
      </c>
      <c r="G3575" s="72">
        <v>3.14292673E8</v>
      </c>
    </row>
    <row r="3576">
      <c r="C3576" s="74">
        <v>46212.95938552084</v>
      </c>
      <c r="D3576" s="2" t="s">
        <v>628</v>
      </c>
      <c r="F3576" s="2" t="s">
        <v>3094</v>
      </c>
      <c r="G3576" s="72">
        <v>3.17655428E8</v>
      </c>
    </row>
    <row r="3577">
      <c r="C3577" s="74">
        <v>46231.75334927083</v>
      </c>
      <c r="D3577" s="2" t="s">
        <v>628</v>
      </c>
      <c r="F3577" s="2" t="s">
        <v>2541</v>
      </c>
      <c r="G3577" s="72">
        <v>3.30730167E8</v>
      </c>
    </row>
    <row r="3578">
      <c r="B3578" s="72">
        <v>8.1490702E7</v>
      </c>
      <c r="C3578" s="74">
        <v>46230.46773903935</v>
      </c>
      <c r="D3578" s="2" t="s">
        <v>653</v>
      </c>
      <c r="F3578" s="2" t="s">
        <v>3095</v>
      </c>
      <c r="G3578" s="72">
        <v>3.29784579E8</v>
      </c>
    </row>
    <row r="3579">
      <c r="C3579" s="74">
        <v>46204.75217408565</v>
      </c>
      <c r="D3579" s="2" t="s">
        <v>628</v>
      </c>
      <c r="F3579" s="2" t="s">
        <v>2576</v>
      </c>
      <c r="G3579" s="72">
        <v>3.1218662E8</v>
      </c>
    </row>
    <row r="3580">
      <c r="C3580" s="74">
        <v>46214.96060491898</v>
      </c>
      <c r="D3580" s="2" t="s">
        <v>628</v>
      </c>
      <c r="F3580" s="2" t="s">
        <v>3096</v>
      </c>
      <c r="G3580" s="72">
        <v>3.19136122E8</v>
      </c>
    </row>
    <row r="3581">
      <c r="B3581" s="72">
        <v>8.2087695E7</v>
      </c>
      <c r="C3581" s="74">
        <v>46229.441772129634</v>
      </c>
      <c r="D3581" s="2" t="s">
        <v>653</v>
      </c>
      <c r="F3581" s="2" t="s">
        <v>3097</v>
      </c>
      <c r="G3581" s="72">
        <v>3.29024994E8</v>
      </c>
    </row>
    <row r="3582">
      <c r="B3582" s="72">
        <v>8.0874991E7</v>
      </c>
      <c r="C3582" s="74">
        <v>46219.80672342592</v>
      </c>
      <c r="D3582" s="2" t="s">
        <v>653</v>
      </c>
      <c r="F3582" s="2" t="s">
        <v>3098</v>
      </c>
      <c r="G3582" s="72">
        <v>3.22327966E8</v>
      </c>
    </row>
    <row r="3583">
      <c r="B3583" s="72">
        <v>8.2191762E7</v>
      </c>
      <c r="C3583" s="74">
        <v>46227.752663402774</v>
      </c>
      <c r="D3583" s="2" t="s">
        <v>628</v>
      </c>
      <c r="F3583" s="2" t="s">
        <v>2833</v>
      </c>
      <c r="G3583" s="72">
        <v>3.27872981E8</v>
      </c>
    </row>
    <row r="3584">
      <c r="C3584" s="74">
        <v>46208.95908400463</v>
      </c>
      <c r="D3584" s="2" t="s">
        <v>628</v>
      </c>
      <c r="F3584" s="2" t="s">
        <v>3099</v>
      </c>
      <c r="G3584" s="72">
        <v>3.15161294E8</v>
      </c>
    </row>
    <row r="3585">
      <c r="C3585" s="74">
        <v>46208.75162664352</v>
      </c>
      <c r="D3585" s="2" t="s">
        <v>628</v>
      </c>
      <c r="F3585" s="2" t="s">
        <v>3100</v>
      </c>
      <c r="G3585" s="72">
        <v>3.14988712E8</v>
      </c>
    </row>
    <row r="3586">
      <c r="B3586" s="72">
        <v>8.1467103E7</v>
      </c>
      <c r="C3586" s="74">
        <v>46223.80526703704</v>
      </c>
      <c r="D3586" s="2" t="s">
        <v>705</v>
      </c>
      <c r="F3586" s="2" t="s">
        <v>3101</v>
      </c>
      <c r="G3586" s="72">
        <v>3.25224625E8</v>
      </c>
    </row>
    <row r="3587">
      <c r="B3587" s="72">
        <v>7.812564E7</v>
      </c>
      <c r="C3587" s="74">
        <v>46204.44988569444</v>
      </c>
      <c r="D3587" s="2" t="s">
        <v>705</v>
      </c>
      <c r="F3587" s="2" t="s">
        <v>2912</v>
      </c>
      <c r="G3587" s="72">
        <v>3.11894813E8</v>
      </c>
    </row>
    <row r="3588">
      <c r="B3588" s="72">
        <v>8.2369089E7</v>
      </c>
      <c r="C3588" s="74">
        <v>46230.65999517361</v>
      </c>
      <c r="D3588" s="2" t="s">
        <v>653</v>
      </c>
      <c r="F3588" s="2" t="s">
        <v>3102</v>
      </c>
      <c r="G3588" s="72">
        <v>3.29989058E8</v>
      </c>
    </row>
    <row r="3589">
      <c r="B3589" s="72">
        <v>8.0927455E7</v>
      </c>
      <c r="C3589" s="74">
        <v>46219.97712405093</v>
      </c>
      <c r="D3589" s="2" t="s">
        <v>653</v>
      </c>
      <c r="F3589" s="2" t="s">
        <v>2908</v>
      </c>
      <c r="G3589" s="72">
        <v>3.22492526E8</v>
      </c>
    </row>
    <row r="3590">
      <c r="B3590" s="72">
        <v>8.0927458E7</v>
      </c>
      <c r="C3590" s="74">
        <v>46219.9771453125</v>
      </c>
      <c r="D3590" s="2" t="s">
        <v>653</v>
      </c>
      <c r="F3590" s="2" t="s">
        <v>3103</v>
      </c>
      <c r="G3590" s="72">
        <v>3.22492537E8</v>
      </c>
    </row>
    <row r="3591">
      <c r="B3591" s="72">
        <v>8.0927441E7</v>
      </c>
      <c r="C3591" s="74">
        <v>46219.97704023148</v>
      </c>
      <c r="D3591" s="2" t="s">
        <v>653</v>
      </c>
      <c r="F3591" s="2" t="s">
        <v>3104</v>
      </c>
      <c r="G3591" s="72">
        <v>3.22492475E8</v>
      </c>
    </row>
    <row r="3592">
      <c r="B3592" s="72">
        <v>8.3169903E7</v>
      </c>
      <c r="C3592" s="74">
        <v>46234.54516188658</v>
      </c>
      <c r="D3592" s="2" t="s">
        <v>653</v>
      </c>
      <c r="F3592" s="2" t="s">
        <v>3105</v>
      </c>
      <c r="G3592" s="72">
        <v>3.32622443E8</v>
      </c>
    </row>
    <row r="3593">
      <c r="C3593" s="74">
        <v>46234.96165414352</v>
      </c>
      <c r="D3593" s="2" t="s">
        <v>628</v>
      </c>
      <c r="F3593" s="2" t="s">
        <v>2310</v>
      </c>
      <c r="G3593" s="72">
        <v>3.33103806E8</v>
      </c>
    </row>
    <row r="3594">
      <c r="B3594" s="72">
        <v>8.103657E7</v>
      </c>
      <c r="C3594" s="74">
        <v>46220.811050069446</v>
      </c>
      <c r="D3594" s="2" t="s">
        <v>653</v>
      </c>
      <c r="F3594" s="2" t="s">
        <v>3048</v>
      </c>
      <c r="G3594" s="72">
        <v>3.2307989E8</v>
      </c>
    </row>
    <row r="3595">
      <c r="C3595" s="74">
        <v>46212.96161827546</v>
      </c>
      <c r="D3595" s="2" t="s">
        <v>628</v>
      </c>
      <c r="F3595" s="2" t="s">
        <v>2403</v>
      </c>
      <c r="G3595" s="72">
        <v>3.17663656E8</v>
      </c>
    </row>
    <row r="3596">
      <c r="B3596" s="72">
        <v>8.0927458E7</v>
      </c>
      <c r="C3596" s="74">
        <v>46219.97714318287</v>
      </c>
      <c r="D3596" s="2" t="s">
        <v>653</v>
      </c>
      <c r="F3596" s="2" t="s">
        <v>3103</v>
      </c>
      <c r="G3596" s="72">
        <v>3.22492536E8</v>
      </c>
    </row>
    <row r="3597">
      <c r="C3597" s="74">
        <v>46222.751011886576</v>
      </c>
      <c r="D3597" s="2" t="s">
        <v>628</v>
      </c>
      <c r="F3597" s="2" t="s">
        <v>1715</v>
      </c>
      <c r="G3597" s="72">
        <v>3.2453456E8</v>
      </c>
    </row>
    <row r="3598">
      <c r="B3598" s="72">
        <v>8.3229564E7</v>
      </c>
      <c r="C3598" s="74">
        <v>46234.462241099536</v>
      </c>
      <c r="D3598" s="2" t="s">
        <v>653</v>
      </c>
      <c r="F3598" s="2" t="s">
        <v>3106</v>
      </c>
      <c r="G3598" s="72">
        <v>3.3250462E8</v>
      </c>
    </row>
    <row r="3599">
      <c r="B3599" s="72">
        <v>8.1214574E7</v>
      </c>
      <c r="C3599" s="74">
        <v>46222.95910273148</v>
      </c>
      <c r="D3599" s="2" t="s">
        <v>628</v>
      </c>
      <c r="F3599" s="2" t="s">
        <v>1717</v>
      </c>
      <c r="G3599" s="72">
        <v>3.24720794E8</v>
      </c>
    </row>
    <row r="3600">
      <c r="C3600" s="74">
        <v>46230.544188252316</v>
      </c>
      <c r="D3600" s="2" t="s">
        <v>628</v>
      </c>
      <c r="F3600" s="2" t="s">
        <v>630</v>
      </c>
      <c r="G3600" s="72">
        <v>3.29854211E8</v>
      </c>
    </row>
    <row r="3601">
      <c r="B3601" s="72">
        <v>8.0681556E7</v>
      </c>
      <c r="C3601" s="74">
        <v>46218.79364564815</v>
      </c>
      <c r="D3601" s="2" t="s">
        <v>705</v>
      </c>
      <c r="F3601" s="2" t="s">
        <v>3107</v>
      </c>
      <c r="G3601" s="72">
        <v>3.21612196E8</v>
      </c>
    </row>
    <row r="3602">
      <c r="B3602" s="72">
        <v>8.1840382E7</v>
      </c>
      <c r="C3602" s="74">
        <v>46230.467653125</v>
      </c>
      <c r="D3602" s="2" t="s">
        <v>653</v>
      </c>
      <c r="F3602" s="2" t="s">
        <v>3108</v>
      </c>
      <c r="G3602" s="72">
        <v>3.29784556E8</v>
      </c>
    </row>
    <row r="3603">
      <c r="C3603" s="74">
        <v>46226.960552233795</v>
      </c>
      <c r="D3603" s="2" t="s">
        <v>628</v>
      </c>
      <c r="F3603" s="2" t="s">
        <v>1563</v>
      </c>
      <c r="G3603" s="72">
        <v>3.27338564E8</v>
      </c>
    </row>
    <row r="3604">
      <c r="C3604" s="74">
        <v>46232.54429096065</v>
      </c>
      <c r="D3604" s="2" t="s">
        <v>628</v>
      </c>
      <c r="F3604" s="2" t="s">
        <v>630</v>
      </c>
      <c r="G3604" s="72">
        <v>3.31170999E8</v>
      </c>
    </row>
    <row r="3605">
      <c r="C3605" s="74">
        <v>46215.49043987269</v>
      </c>
      <c r="D3605" s="2" t="s">
        <v>628</v>
      </c>
      <c r="F3605" s="2" t="s">
        <v>3109</v>
      </c>
      <c r="G3605" s="72">
        <v>3.1935947E8</v>
      </c>
    </row>
    <row r="3606">
      <c r="B3606" s="72">
        <v>8.2031792E7</v>
      </c>
      <c r="C3606" s="74">
        <v>46226.79720796296</v>
      </c>
      <c r="D3606" s="2" t="s">
        <v>653</v>
      </c>
      <c r="F3606" s="2" t="s">
        <v>3110</v>
      </c>
      <c r="G3606" s="72">
        <v>3.27179878E8</v>
      </c>
    </row>
    <row r="3607">
      <c r="C3607" s="74">
        <v>46214.960390821754</v>
      </c>
      <c r="D3607" s="2" t="s">
        <v>628</v>
      </c>
      <c r="F3607" s="2" t="s">
        <v>2461</v>
      </c>
      <c r="G3607" s="72">
        <v>3.19134932E8</v>
      </c>
    </row>
    <row r="3608">
      <c r="B3608" s="72">
        <v>8.1385158E7</v>
      </c>
      <c r="C3608" s="74">
        <v>46230.46763696759</v>
      </c>
      <c r="D3608" s="2" t="s">
        <v>653</v>
      </c>
      <c r="F3608" s="2" t="s">
        <v>3111</v>
      </c>
      <c r="G3608" s="72">
        <v>3.29784552E8</v>
      </c>
    </row>
    <row r="3609">
      <c r="B3609" s="72">
        <v>8.1385148E7</v>
      </c>
      <c r="C3609" s="74">
        <v>46222.76303773148</v>
      </c>
      <c r="D3609" s="2" t="s">
        <v>653</v>
      </c>
      <c r="F3609" s="2" t="s">
        <v>1877</v>
      </c>
      <c r="G3609" s="72">
        <v>3.24558577E8</v>
      </c>
    </row>
    <row r="3610">
      <c r="B3610" s="72">
        <v>8.3229135E7</v>
      </c>
      <c r="C3610" s="74">
        <v>46233.943655104165</v>
      </c>
      <c r="D3610" s="2" t="s">
        <v>667</v>
      </c>
      <c r="E3610" s="2" t="s">
        <v>886</v>
      </c>
      <c r="F3610" s="2" t="s">
        <v>3112</v>
      </c>
      <c r="G3610" s="72">
        <v>3.32288864E8</v>
      </c>
    </row>
    <row r="3611">
      <c r="B3611" s="72">
        <v>8.2747331E7</v>
      </c>
      <c r="C3611" s="74">
        <v>46230.911515381944</v>
      </c>
      <c r="D3611" s="2" t="s">
        <v>705</v>
      </c>
      <c r="F3611" s="2" t="s">
        <v>3113</v>
      </c>
      <c r="G3611" s="72">
        <v>3.30223561E8</v>
      </c>
    </row>
    <row r="3612">
      <c r="B3612" s="72">
        <v>8.1490702E7</v>
      </c>
      <c r="C3612" s="74">
        <v>46225.97163886574</v>
      </c>
      <c r="D3612" s="2" t="s">
        <v>653</v>
      </c>
      <c r="F3612" s="2" t="s">
        <v>2920</v>
      </c>
      <c r="G3612" s="72">
        <v>3.26643803E8</v>
      </c>
    </row>
    <row r="3613">
      <c r="C3613" s="74">
        <v>46233.96089714121</v>
      </c>
      <c r="D3613" s="2" t="s">
        <v>628</v>
      </c>
      <c r="F3613" s="2" t="s">
        <v>2712</v>
      </c>
      <c r="G3613" s="72">
        <v>3.32307049E8</v>
      </c>
    </row>
    <row r="3614">
      <c r="B3614" s="72">
        <v>7.812564E7</v>
      </c>
      <c r="C3614" s="74">
        <v>46204.50053547454</v>
      </c>
      <c r="D3614" s="2" t="s">
        <v>705</v>
      </c>
      <c r="F3614" s="2" t="s">
        <v>2912</v>
      </c>
      <c r="G3614" s="72">
        <v>3.11938763E8</v>
      </c>
    </row>
    <row r="3615">
      <c r="C3615" s="74">
        <v>46225.95963506945</v>
      </c>
      <c r="D3615" s="2" t="s">
        <v>628</v>
      </c>
      <c r="F3615" s="2" t="s">
        <v>3114</v>
      </c>
      <c r="G3615" s="72">
        <v>3.26628439E8</v>
      </c>
    </row>
    <row r="3616">
      <c r="B3616" s="72">
        <v>7.812564E7</v>
      </c>
      <c r="C3616" s="74">
        <v>46227.47639505787</v>
      </c>
      <c r="D3616" s="2" t="s">
        <v>705</v>
      </c>
      <c r="F3616" s="2" t="s">
        <v>2914</v>
      </c>
      <c r="G3616" s="72">
        <v>3.27541076E8</v>
      </c>
    </row>
    <row r="3617">
      <c r="C3617" s="74">
        <v>46209.75234349537</v>
      </c>
      <c r="D3617" s="2" t="s">
        <v>628</v>
      </c>
      <c r="F3617" s="2" t="s">
        <v>647</v>
      </c>
      <c r="G3617" s="72">
        <v>3.15587076E8</v>
      </c>
    </row>
    <row r="3618">
      <c r="B3618" s="72">
        <v>8.2369093E7</v>
      </c>
      <c r="C3618" s="74">
        <v>46230.65991420139</v>
      </c>
      <c r="D3618" s="2" t="s">
        <v>653</v>
      </c>
      <c r="F3618" s="2" t="s">
        <v>3115</v>
      </c>
      <c r="G3618" s="72">
        <v>3.29989018E8</v>
      </c>
    </row>
    <row r="3619">
      <c r="C3619" s="74">
        <v>46216.95998480324</v>
      </c>
      <c r="D3619" s="2" t="s">
        <v>628</v>
      </c>
      <c r="F3619" s="2" t="s">
        <v>2403</v>
      </c>
      <c r="G3619" s="72">
        <v>3.20483241E8</v>
      </c>
    </row>
    <row r="3620">
      <c r="C3620" s="74">
        <v>46231.54504739583</v>
      </c>
      <c r="D3620" s="2" t="s">
        <v>628</v>
      </c>
      <c r="F3620" s="2" t="s">
        <v>630</v>
      </c>
      <c r="G3620" s="72">
        <v>3.30539982E8</v>
      </c>
    </row>
    <row r="3621">
      <c r="C3621" s="74">
        <v>46229.753478645835</v>
      </c>
      <c r="D3621" s="2" t="s">
        <v>628</v>
      </c>
      <c r="F3621" s="2" t="s">
        <v>3116</v>
      </c>
      <c r="G3621" s="72">
        <v>3.29432413E8</v>
      </c>
    </row>
    <row r="3622">
      <c r="C3622" s="74">
        <v>46217.75346659722</v>
      </c>
      <c r="D3622" s="2" t="s">
        <v>628</v>
      </c>
      <c r="F3622" s="2" t="s">
        <v>870</v>
      </c>
      <c r="G3622" s="72">
        <v>3.20929673E8</v>
      </c>
    </row>
    <row r="3623">
      <c r="C3623" s="74">
        <v>46214.75338409722</v>
      </c>
      <c r="D3623" s="2" t="s">
        <v>628</v>
      </c>
      <c r="F3623" s="2" t="s">
        <v>2054</v>
      </c>
      <c r="G3623" s="72">
        <v>3.18926317E8</v>
      </c>
    </row>
    <row r="3624">
      <c r="C3624" s="74">
        <v>46229.75057942129</v>
      </c>
      <c r="D3624" s="2" t="s">
        <v>628</v>
      </c>
      <c r="F3624" s="2" t="s">
        <v>785</v>
      </c>
      <c r="G3624" s="72">
        <v>3.29414821E8</v>
      </c>
    </row>
    <row r="3625">
      <c r="B3625" s="72">
        <v>7.9511354E7</v>
      </c>
      <c r="C3625" s="74">
        <v>46211.60596482639</v>
      </c>
      <c r="D3625" s="2" t="s">
        <v>628</v>
      </c>
      <c r="F3625" s="2" t="s">
        <v>2873</v>
      </c>
      <c r="G3625" s="72">
        <v>3.16680743E8</v>
      </c>
    </row>
    <row r="3626">
      <c r="C3626" s="74">
        <v>46222.46194204861</v>
      </c>
      <c r="D3626" s="2" t="s">
        <v>628</v>
      </c>
      <c r="F3626" s="2" t="s">
        <v>3117</v>
      </c>
      <c r="G3626" s="72">
        <v>3.24194188E8</v>
      </c>
    </row>
    <row r="3627">
      <c r="B3627" s="72">
        <v>8.2822757E7</v>
      </c>
      <c r="C3627" s="74">
        <v>46231.61428159723</v>
      </c>
      <c r="D3627" s="2" t="s">
        <v>705</v>
      </c>
      <c r="F3627" s="2" t="s">
        <v>3118</v>
      </c>
      <c r="G3627" s="72">
        <v>3.30606536E8</v>
      </c>
    </row>
    <row r="3628">
      <c r="B3628" s="72">
        <v>8.163477E7</v>
      </c>
      <c r="C3628" s="74">
        <v>46224.75210583334</v>
      </c>
      <c r="D3628" s="2" t="s">
        <v>628</v>
      </c>
      <c r="F3628" s="2" t="s">
        <v>665</v>
      </c>
      <c r="G3628" s="72">
        <v>3.25794756E8</v>
      </c>
    </row>
    <row r="3629">
      <c r="C3629" s="74">
        <v>46204.752241828704</v>
      </c>
      <c r="D3629" s="2" t="s">
        <v>628</v>
      </c>
      <c r="F3629" s="2" t="s">
        <v>1961</v>
      </c>
      <c r="G3629" s="72">
        <v>3.12187043E8</v>
      </c>
    </row>
    <row r="3630">
      <c r="B3630" s="72">
        <v>8.2369093E7</v>
      </c>
      <c r="C3630" s="74">
        <v>46228.67516760417</v>
      </c>
      <c r="D3630" s="2" t="s">
        <v>653</v>
      </c>
      <c r="F3630" s="2" t="s">
        <v>3119</v>
      </c>
      <c r="G3630" s="72">
        <v>3.2858251E8</v>
      </c>
    </row>
    <row r="3631">
      <c r="B3631" s="72">
        <v>8.0686703E7</v>
      </c>
      <c r="C3631" s="74">
        <v>46220.67044957176</v>
      </c>
      <c r="D3631" s="2" t="s">
        <v>667</v>
      </c>
      <c r="E3631" s="2" t="s">
        <v>703</v>
      </c>
      <c r="F3631" s="2" t="s">
        <v>3120</v>
      </c>
      <c r="G3631" s="72">
        <v>3.22934917E8</v>
      </c>
    </row>
    <row r="3632">
      <c r="B3632" s="72">
        <v>8.2544936E7</v>
      </c>
      <c r="C3632" s="74">
        <v>46231.95925115741</v>
      </c>
      <c r="D3632" s="2" t="s">
        <v>628</v>
      </c>
      <c r="F3632" s="2" t="s">
        <v>838</v>
      </c>
      <c r="G3632" s="72">
        <v>3.30912931E8</v>
      </c>
    </row>
    <row r="3633">
      <c r="C3633" s="74">
        <v>46218.7532097338</v>
      </c>
      <c r="D3633" s="2" t="s">
        <v>628</v>
      </c>
      <c r="F3633" s="2" t="s">
        <v>1544</v>
      </c>
      <c r="G3633" s="72">
        <v>3.21576149E8</v>
      </c>
    </row>
    <row r="3634">
      <c r="C3634" s="74">
        <v>46207.75153196759</v>
      </c>
      <c r="D3634" s="2" t="s">
        <v>628</v>
      </c>
      <c r="F3634" s="2" t="s">
        <v>1918</v>
      </c>
      <c r="G3634" s="72">
        <v>3.14281996E8</v>
      </c>
    </row>
    <row r="3635">
      <c r="B3635" s="72">
        <v>8.1153312E7</v>
      </c>
      <c r="C3635" s="74">
        <v>46221.45734275463</v>
      </c>
      <c r="D3635" s="2" t="s">
        <v>653</v>
      </c>
      <c r="F3635" s="2" t="s">
        <v>3121</v>
      </c>
      <c r="G3635" s="72">
        <v>3.23409833E8</v>
      </c>
    </row>
    <row r="3636">
      <c r="B3636" s="72">
        <v>8.0874991E7</v>
      </c>
      <c r="C3636" s="74">
        <v>46219.80672655093</v>
      </c>
      <c r="D3636" s="2" t="s">
        <v>653</v>
      </c>
      <c r="F3636" s="2" t="s">
        <v>1233</v>
      </c>
      <c r="G3636" s="72">
        <v>3.22327969E8</v>
      </c>
    </row>
    <row r="3637">
      <c r="C3637" s="74">
        <v>46219.96210888889</v>
      </c>
      <c r="D3637" s="2" t="s">
        <v>628</v>
      </c>
      <c r="F3637" s="2" t="s">
        <v>3122</v>
      </c>
      <c r="G3637" s="72">
        <v>3.22482419E8</v>
      </c>
    </row>
    <row r="3638">
      <c r="B3638" s="72">
        <v>8.1385145E7</v>
      </c>
      <c r="C3638" s="74">
        <v>46230.46762173611</v>
      </c>
      <c r="D3638" s="2" t="s">
        <v>653</v>
      </c>
      <c r="F3638" s="2" t="s">
        <v>3123</v>
      </c>
      <c r="G3638" s="72">
        <v>3.29784549E8</v>
      </c>
    </row>
    <row r="3639">
      <c r="B3639" s="72">
        <v>8.1684434E7</v>
      </c>
      <c r="C3639" s="74">
        <v>46226.55057252315</v>
      </c>
      <c r="D3639" s="2" t="s">
        <v>653</v>
      </c>
      <c r="F3639" s="2" t="s">
        <v>3027</v>
      </c>
      <c r="G3639" s="72">
        <v>3.26922129E8</v>
      </c>
    </row>
    <row r="3640">
      <c r="B3640" s="72">
        <v>8.103657E7</v>
      </c>
      <c r="C3640" s="74">
        <v>46224.47752039351</v>
      </c>
      <c r="D3640" s="2" t="s">
        <v>653</v>
      </c>
      <c r="F3640" s="2" t="s">
        <v>3124</v>
      </c>
      <c r="G3640" s="72">
        <v>3.25536246E8</v>
      </c>
    </row>
    <row r="3641">
      <c r="C3641" s="74">
        <v>46210.75331818287</v>
      </c>
      <c r="D3641" s="2" t="s">
        <v>628</v>
      </c>
      <c r="F3641" s="2" t="s">
        <v>764</v>
      </c>
      <c r="G3641" s="72">
        <v>3.16197896E8</v>
      </c>
    </row>
    <row r="3642">
      <c r="B3642" s="72">
        <v>8.2087695E7</v>
      </c>
      <c r="C3642" s="74">
        <v>46230.775850868056</v>
      </c>
      <c r="D3642" s="2" t="s">
        <v>705</v>
      </c>
      <c r="F3642" s="2" t="s">
        <v>3125</v>
      </c>
      <c r="G3642" s="72">
        <v>3.30087791E8</v>
      </c>
    </row>
    <row r="3643">
      <c r="B3643" s="72">
        <v>8.1141636E7</v>
      </c>
      <c r="C3643" s="74">
        <v>46221.11526608796</v>
      </c>
      <c r="D3643" s="2" t="s">
        <v>705</v>
      </c>
      <c r="F3643" s="2" t="s">
        <v>722</v>
      </c>
      <c r="G3643" s="72">
        <v>3.23358917E8</v>
      </c>
    </row>
    <row r="3644">
      <c r="C3644" s="74">
        <v>46208.95864596065</v>
      </c>
      <c r="D3644" s="2" t="s">
        <v>628</v>
      </c>
      <c r="F3644" s="2" t="s">
        <v>3126</v>
      </c>
      <c r="G3644" s="72">
        <v>3.151609E8</v>
      </c>
    </row>
    <row r="3645">
      <c r="B3645" s="72">
        <v>8.0830208E7</v>
      </c>
      <c r="C3645" s="74">
        <v>46230.84020290509</v>
      </c>
      <c r="D3645" s="2" t="s">
        <v>705</v>
      </c>
      <c r="F3645" s="2" t="s">
        <v>3127</v>
      </c>
      <c r="G3645" s="72">
        <v>3.3015626E8</v>
      </c>
    </row>
    <row r="3646">
      <c r="C3646" s="74">
        <v>46205.75311311343</v>
      </c>
      <c r="D3646" s="2" t="s">
        <v>628</v>
      </c>
      <c r="F3646" s="2" t="s">
        <v>3128</v>
      </c>
      <c r="G3646" s="72">
        <v>3.12836902E8</v>
      </c>
    </row>
    <row r="3647">
      <c r="C3647" s="74">
        <v>46222.75353996528</v>
      </c>
      <c r="D3647" s="2" t="s">
        <v>628</v>
      </c>
      <c r="F3647" s="2" t="s">
        <v>1768</v>
      </c>
      <c r="G3647" s="72">
        <v>3.24551619E8</v>
      </c>
    </row>
    <row r="3648">
      <c r="B3648" s="72">
        <v>7.812564E7</v>
      </c>
      <c r="C3648" s="74">
        <v>46206.98597221065</v>
      </c>
      <c r="D3648" s="2" t="s">
        <v>705</v>
      </c>
      <c r="F3648" s="2" t="s">
        <v>3129</v>
      </c>
      <c r="G3648" s="72">
        <v>3.13824696E8</v>
      </c>
    </row>
    <row r="3649">
      <c r="C3649" s="74">
        <v>46211.75155542824</v>
      </c>
      <c r="D3649" s="2" t="s">
        <v>628</v>
      </c>
      <c r="F3649" s="2" t="s">
        <v>2404</v>
      </c>
      <c r="G3649" s="72">
        <v>3.16787274E8</v>
      </c>
    </row>
    <row r="3650">
      <c r="C3650" s="74">
        <v>46207.753541956015</v>
      </c>
      <c r="D3650" s="2" t="s">
        <v>628</v>
      </c>
      <c r="F3650" s="2" t="s">
        <v>3130</v>
      </c>
      <c r="G3650" s="72">
        <v>3.14296767E8</v>
      </c>
    </row>
    <row r="3651">
      <c r="B3651" s="72">
        <v>8.2031778E7</v>
      </c>
      <c r="C3651" s="74">
        <v>46227.66628988426</v>
      </c>
      <c r="D3651" s="2" t="s">
        <v>653</v>
      </c>
      <c r="F3651" s="2" t="s">
        <v>2979</v>
      </c>
      <c r="G3651" s="72">
        <v>3.27783584E8</v>
      </c>
    </row>
    <row r="3652">
      <c r="C3652" s="74">
        <v>46214.96027465278</v>
      </c>
      <c r="D3652" s="2" t="s">
        <v>628</v>
      </c>
      <c r="F3652" s="2" t="s">
        <v>3131</v>
      </c>
      <c r="G3652" s="72">
        <v>3.19134285E8</v>
      </c>
    </row>
    <row r="3653">
      <c r="C3653" s="74">
        <v>46219.753565127314</v>
      </c>
      <c r="D3653" s="2" t="s">
        <v>628</v>
      </c>
      <c r="F3653" s="2" t="s">
        <v>1374</v>
      </c>
      <c r="G3653" s="72">
        <v>3.22251464E8</v>
      </c>
    </row>
    <row r="3654">
      <c r="B3654" s="72">
        <v>7.812564E7</v>
      </c>
      <c r="C3654" s="74">
        <v>46206.98602196759</v>
      </c>
      <c r="D3654" s="2" t="s">
        <v>705</v>
      </c>
      <c r="F3654" s="2" t="s">
        <v>2912</v>
      </c>
      <c r="G3654" s="72">
        <v>3.13824729E8</v>
      </c>
    </row>
    <row r="3655">
      <c r="B3655" s="72">
        <v>8.0652082E7</v>
      </c>
      <c r="C3655" s="74">
        <v>46218.65811682871</v>
      </c>
      <c r="D3655" s="2" t="s">
        <v>653</v>
      </c>
      <c r="F3655" s="2" t="s">
        <v>3092</v>
      </c>
      <c r="G3655" s="72">
        <v>3.21483744E8</v>
      </c>
    </row>
    <row r="3656">
      <c r="B3656" s="72">
        <v>8.268476E7</v>
      </c>
      <c r="C3656" s="74">
        <v>46230.70164107639</v>
      </c>
      <c r="D3656" s="2" t="s">
        <v>705</v>
      </c>
      <c r="F3656" s="2" t="s">
        <v>3132</v>
      </c>
      <c r="G3656" s="72">
        <v>3.30024257E8</v>
      </c>
    </row>
    <row r="3657">
      <c r="C3657" s="74">
        <v>46207.751229733796</v>
      </c>
      <c r="D3657" s="2" t="s">
        <v>628</v>
      </c>
      <c r="F3657" s="2" t="s">
        <v>1328</v>
      </c>
      <c r="G3657" s="72">
        <v>3.14280475E8</v>
      </c>
    </row>
    <row r="3658">
      <c r="C3658" s="74">
        <v>46233.96161628472</v>
      </c>
      <c r="D3658" s="2" t="s">
        <v>628</v>
      </c>
      <c r="F3658" s="2" t="s">
        <v>849</v>
      </c>
      <c r="G3658" s="72">
        <v>3.32310076E8</v>
      </c>
    </row>
    <row r="3659">
      <c r="B3659" s="72">
        <v>8.341172E7</v>
      </c>
      <c r="C3659" s="74">
        <v>46234.80270197916</v>
      </c>
      <c r="D3659" s="2" t="s">
        <v>705</v>
      </c>
      <c r="F3659" s="2" t="s">
        <v>918</v>
      </c>
      <c r="G3659" s="72">
        <v>3.32922604E8</v>
      </c>
    </row>
    <row r="3660">
      <c r="C3660" s="74">
        <v>46208.96109730324</v>
      </c>
      <c r="D3660" s="2" t="s">
        <v>628</v>
      </c>
      <c r="F3660" s="2" t="s">
        <v>3133</v>
      </c>
      <c r="G3660" s="72">
        <v>3.15167636E8</v>
      </c>
    </row>
    <row r="3661">
      <c r="B3661" s="72">
        <v>8.1706482E7</v>
      </c>
      <c r="C3661" s="74">
        <v>46224.83801494213</v>
      </c>
      <c r="D3661" s="2" t="s">
        <v>705</v>
      </c>
      <c r="F3661" s="2" t="s">
        <v>1392</v>
      </c>
      <c r="G3661" s="72">
        <v>3.25882179E8</v>
      </c>
    </row>
    <row r="3662">
      <c r="C3662" s="74">
        <v>46211.752923576394</v>
      </c>
      <c r="D3662" s="2" t="s">
        <v>628</v>
      </c>
      <c r="F3662" s="2" t="s">
        <v>1165</v>
      </c>
      <c r="G3662" s="72">
        <v>3.16798195E8</v>
      </c>
    </row>
    <row r="3663">
      <c r="B3663" s="72">
        <v>8.2031778E7</v>
      </c>
      <c r="C3663" s="74">
        <v>46230.660031666666</v>
      </c>
      <c r="D3663" s="2" t="s">
        <v>653</v>
      </c>
      <c r="F3663" s="2" t="s">
        <v>3134</v>
      </c>
      <c r="G3663" s="72">
        <v>3.29989073E8</v>
      </c>
    </row>
    <row r="3664">
      <c r="B3664" s="72">
        <v>8.1220996E7</v>
      </c>
      <c r="C3664" s="74">
        <v>46225.45796422454</v>
      </c>
      <c r="D3664" s="2" t="s">
        <v>653</v>
      </c>
      <c r="F3664" s="2" t="s">
        <v>2953</v>
      </c>
      <c r="G3664" s="72">
        <v>3.26121509E8</v>
      </c>
    </row>
    <row r="3665">
      <c r="C3665" s="74">
        <v>46211.75160956019</v>
      </c>
      <c r="D3665" s="2" t="s">
        <v>628</v>
      </c>
      <c r="F3665" s="2" t="s">
        <v>1059</v>
      </c>
      <c r="G3665" s="72">
        <v>3.1678755E8</v>
      </c>
    </row>
    <row r="3666">
      <c r="B3666" s="72">
        <v>8.0874991E7</v>
      </c>
      <c r="C3666" s="74">
        <v>46219.8067177662</v>
      </c>
      <c r="D3666" s="2" t="s">
        <v>705</v>
      </c>
      <c r="F3666" s="2" t="s">
        <v>1150</v>
      </c>
      <c r="G3666" s="72">
        <v>3.22327962E8</v>
      </c>
    </row>
    <row r="3667">
      <c r="C3667" s="74">
        <v>46213.75220923611</v>
      </c>
      <c r="D3667" s="2" t="s">
        <v>628</v>
      </c>
      <c r="F3667" s="2" t="s">
        <v>714</v>
      </c>
      <c r="G3667" s="72">
        <v>3.18172195E8</v>
      </c>
    </row>
    <row r="3668">
      <c r="C3668" s="74">
        <v>46218.96083142361</v>
      </c>
      <c r="D3668" s="2" t="s">
        <v>628</v>
      </c>
      <c r="F3668" s="2" t="s">
        <v>2614</v>
      </c>
      <c r="G3668" s="72">
        <v>3.21771638E8</v>
      </c>
    </row>
    <row r="3669">
      <c r="B3669" s="72">
        <v>8.1384214E7</v>
      </c>
      <c r="C3669" s="74">
        <v>46224.544905393515</v>
      </c>
      <c r="D3669" s="2" t="s">
        <v>628</v>
      </c>
      <c r="F3669" s="2" t="s">
        <v>630</v>
      </c>
      <c r="G3669" s="72">
        <v>3.25619976E8</v>
      </c>
    </row>
    <row r="3670">
      <c r="C3670" s="74">
        <v>46205.96062002315</v>
      </c>
      <c r="D3670" s="2" t="s">
        <v>628</v>
      </c>
      <c r="F3670" s="2" t="s">
        <v>3135</v>
      </c>
      <c r="G3670" s="72">
        <v>3.13056691E8</v>
      </c>
    </row>
    <row r="3671">
      <c r="C3671" s="74">
        <v>46214.75151476852</v>
      </c>
      <c r="D3671" s="2" t="s">
        <v>628</v>
      </c>
      <c r="F3671" s="2" t="s">
        <v>2987</v>
      </c>
      <c r="G3671" s="72">
        <v>3.18911604E8</v>
      </c>
    </row>
    <row r="3672">
      <c r="B3672" s="72">
        <v>8.3411799E7</v>
      </c>
      <c r="C3672" s="74">
        <v>46234.802961203706</v>
      </c>
      <c r="D3672" s="2" t="s">
        <v>653</v>
      </c>
      <c r="F3672" s="2" t="s">
        <v>3136</v>
      </c>
      <c r="G3672" s="72">
        <v>3.32922867E8</v>
      </c>
    </row>
    <row r="3673">
      <c r="B3673" s="72">
        <v>8.2382585E7</v>
      </c>
      <c r="C3673" s="74">
        <v>46228.75161902778</v>
      </c>
      <c r="D3673" s="2" t="s">
        <v>628</v>
      </c>
      <c r="F3673" s="2" t="s">
        <v>2572</v>
      </c>
      <c r="G3673" s="72">
        <v>3.28639476E8</v>
      </c>
    </row>
    <row r="3674">
      <c r="B3674" s="72">
        <v>8.1448216E7</v>
      </c>
      <c r="C3674" s="74">
        <v>46229.75179594907</v>
      </c>
      <c r="D3674" s="2" t="s">
        <v>628</v>
      </c>
      <c r="F3674" s="2" t="s">
        <v>3137</v>
      </c>
      <c r="G3674" s="72">
        <v>3.29420924E8</v>
      </c>
    </row>
    <row r="3675">
      <c r="C3675" s="74">
        <v>46207.95961710648</v>
      </c>
      <c r="D3675" s="2" t="s">
        <v>628</v>
      </c>
      <c r="F3675" s="2" t="s">
        <v>3138</v>
      </c>
      <c r="G3675" s="72">
        <v>3.14476446E8</v>
      </c>
    </row>
    <row r="3676">
      <c r="B3676" s="72">
        <v>8.1385144E7</v>
      </c>
      <c r="C3676" s="74">
        <v>46223.67544085648</v>
      </c>
      <c r="D3676" s="2" t="s">
        <v>653</v>
      </c>
      <c r="F3676" s="2" t="s">
        <v>3139</v>
      </c>
      <c r="G3676" s="72">
        <v>3.2511866E8</v>
      </c>
    </row>
    <row r="3677">
      <c r="B3677" s="72">
        <v>7.812564E7</v>
      </c>
      <c r="C3677" s="74">
        <v>46227.48030784722</v>
      </c>
      <c r="D3677" s="2" t="s">
        <v>705</v>
      </c>
      <c r="F3677" s="2" t="s">
        <v>2912</v>
      </c>
      <c r="G3677" s="72">
        <v>3.27542363E8</v>
      </c>
    </row>
    <row r="3678">
      <c r="B3678" s="72">
        <v>8.0744441E7</v>
      </c>
      <c r="C3678" s="74">
        <v>46218.980281296295</v>
      </c>
      <c r="D3678" s="2" t="s">
        <v>705</v>
      </c>
      <c r="F3678" s="2" t="s">
        <v>3140</v>
      </c>
      <c r="G3678" s="72">
        <v>3.21788086E8</v>
      </c>
    </row>
    <row r="3679">
      <c r="B3679" s="72">
        <v>8.2369093E7</v>
      </c>
      <c r="C3679" s="74">
        <v>46228.675162175925</v>
      </c>
      <c r="D3679" s="2" t="s">
        <v>653</v>
      </c>
      <c r="F3679" s="2" t="s">
        <v>3119</v>
      </c>
      <c r="G3679" s="72">
        <v>3.28582507E8</v>
      </c>
    </row>
    <row r="3680">
      <c r="B3680" s="72">
        <v>8.3169903E7</v>
      </c>
      <c r="C3680" s="74">
        <v>46233.666504953704</v>
      </c>
      <c r="D3680" s="2" t="s">
        <v>653</v>
      </c>
      <c r="F3680" s="2" t="s">
        <v>2977</v>
      </c>
      <c r="G3680" s="72">
        <v>3.31988426E8</v>
      </c>
    </row>
    <row r="3681">
      <c r="B3681" s="72">
        <v>8.2369107E7</v>
      </c>
      <c r="C3681" s="74">
        <v>46230.65994164352</v>
      </c>
      <c r="D3681" s="2" t="s">
        <v>653</v>
      </c>
      <c r="F3681" s="2" t="s">
        <v>3141</v>
      </c>
      <c r="G3681" s="72">
        <v>3.29989033E8</v>
      </c>
    </row>
    <row r="3682">
      <c r="C3682" s="74">
        <v>46232.95984991898</v>
      </c>
      <c r="D3682" s="2" t="s">
        <v>628</v>
      </c>
      <c r="F3682" s="2" t="s">
        <v>3142</v>
      </c>
      <c r="G3682" s="72">
        <v>3.31583432E8</v>
      </c>
    </row>
    <row r="3683">
      <c r="C3683" s="74">
        <v>46231.753224768516</v>
      </c>
      <c r="D3683" s="2" t="s">
        <v>628</v>
      </c>
      <c r="F3683" s="2" t="s">
        <v>683</v>
      </c>
      <c r="G3683" s="72">
        <v>3.30729327E8</v>
      </c>
    </row>
    <row r="3684">
      <c r="B3684" s="72">
        <v>8.2769518E7</v>
      </c>
      <c r="C3684" s="74">
        <v>46230.99671608796</v>
      </c>
      <c r="D3684" s="2" t="s">
        <v>705</v>
      </c>
      <c r="F3684" s="2" t="s">
        <v>1225</v>
      </c>
      <c r="G3684" s="72">
        <v>3.30299723E8</v>
      </c>
    </row>
    <row r="3685">
      <c r="C3685" s="74">
        <v>46232.544863703704</v>
      </c>
      <c r="D3685" s="2" t="s">
        <v>628</v>
      </c>
      <c r="F3685" s="2" t="s">
        <v>630</v>
      </c>
      <c r="G3685" s="72">
        <v>3.31180022E8</v>
      </c>
    </row>
    <row r="3686">
      <c r="B3686" s="72">
        <v>7.9878903E7</v>
      </c>
      <c r="C3686" s="74">
        <v>46213.87495907408</v>
      </c>
      <c r="D3686" s="2" t="s">
        <v>705</v>
      </c>
      <c r="F3686" s="2" t="s">
        <v>3143</v>
      </c>
      <c r="G3686" s="72">
        <v>3.18315209E8</v>
      </c>
    </row>
    <row r="3687">
      <c r="C3687" s="74">
        <v>46219.75453976852</v>
      </c>
      <c r="D3687" s="2" t="s">
        <v>628</v>
      </c>
      <c r="F3687" s="2" t="s">
        <v>3144</v>
      </c>
      <c r="G3687" s="72">
        <v>3.22262457E8</v>
      </c>
    </row>
    <row r="3688">
      <c r="B3688" s="72">
        <v>8.2855541E7</v>
      </c>
      <c r="C3688" s="74">
        <v>46231.74645677084</v>
      </c>
      <c r="D3688" s="2" t="s">
        <v>705</v>
      </c>
      <c r="F3688" s="2" t="s">
        <v>2571</v>
      </c>
      <c r="G3688" s="72">
        <v>3.30712413E8</v>
      </c>
    </row>
    <row r="3689">
      <c r="B3689" s="72">
        <v>8.10571E7</v>
      </c>
      <c r="C3689" s="74">
        <v>46224.477467766206</v>
      </c>
      <c r="D3689" s="2" t="s">
        <v>653</v>
      </c>
      <c r="F3689" s="2" t="s">
        <v>3145</v>
      </c>
      <c r="G3689" s="72">
        <v>3.2553623E8</v>
      </c>
    </row>
    <row r="3690">
      <c r="C3690" s="74">
        <v>46207.75146714121</v>
      </c>
      <c r="D3690" s="2" t="s">
        <v>628</v>
      </c>
      <c r="F3690" s="2" t="s">
        <v>659</v>
      </c>
      <c r="G3690" s="72">
        <v>3.1428162E8</v>
      </c>
    </row>
    <row r="3691">
      <c r="C3691" s="74">
        <v>46224.54513180556</v>
      </c>
      <c r="D3691" s="2" t="s">
        <v>628</v>
      </c>
      <c r="F3691" s="2" t="s">
        <v>630</v>
      </c>
      <c r="G3691" s="72">
        <v>3.25622529E8</v>
      </c>
    </row>
    <row r="3692">
      <c r="B3692" s="72">
        <v>8.0739734E7</v>
      </c>
      <c r="C3692" s="74">
        <v>46218.96115577546</v>
      </c>
      <c r="D3692" s="2" t="s">
        <v>653</v>
      </c>
      <c r="F3692" s="2" t="s">
        <v>1082</v>
      </c>
      <c r="G3692" s="72">
        <v>3.21772757E8</v>
      </c>
    </row>
    <row r="3693">
      <c r="C3693" s="74">
        <v>46211.751541307865</v>
      </c>
      <c r="D3693" s="2" t="s">
        <v>628</v>
      </c>
      <c r="F3693" s="2" t="s">
        <v>3146</v>
      </c>
      <c r="G3693" s="72">
        <v>3.16787221E8</v>
      </c>
    </row>
    <row r="3694">
      <c r="B3694" s="72">
        <v>8.1220996E7</v>
      </c>
      <c r="C3694" s="74">
        <v>46221.75331501158</v>
      </c>
      <c r="D3694" s="2" t="s">
        <v>653</v>
      </c>
      <c r="F3694" s="2" t="s">
        <v>919</v>
      </c>
      <c r="G3694" s="72">
        <v>3.23781385E8</v>
      </c>
    </row>
    <row r="3695">
      <c r="C3695" s="74">
        <v>46204.75157975694</v>
      </c>
      <c r="D3695" s="2" t="s">
        <v>628</v>
      </c>
      <c r="F3695" s="2" t="s">
        <v>3147</v>
      </c>
      <c r="G3695" s="72">
        <v>3.12183979E8</v>
      </c>
    </row>
    <row r="3696">
      <c r="C3696" s="74">
        <v>46222.7527228588</v>
      </c>
      <c r="D3696" s="2" t="s">
        <v>628</v>
      </c>
      <c r="F3696" s="2" t="s">
        <v>3148</v>
      </c>
      <c r="G3696" s="72">
        <v>3.24546689E8</v>
      </c>
    </row>
    <row r="3697">
      <c r="C3697" s="74">
        <v>46223.54438603009</v>
      </c>
      <c r="D3697" s="2" t="s">
        <v>628</v>
      </c>
      <c r="F3697" s="2" t="s">
        <v>630</v>
      </c>
      <c r="G3697" s="72">
        <v>3.24979724E8</v>
      </c>
    </row>
    <row r="3698">
      <c r="B3698" s="72">
        <v>8.1840382E7</v>
      </c>
      <c r="C3698" s="74">
        <v>46230.46766891204</v>
      </c>
      <c r="D3698" s="2" t="s">
        <v>653</v>
      </c>
      <c r="F3698" s="2" t="s">
        <v>3149</v>
      </c>
      <c r="G3698" s="72">
        <v>3.29784565E8</v>
      </c>
    </row>
    <row r="3699">
      <c r="B3699" s="72">
        <v>8.0927441E7</v>
      </c>
      <c r="C3699" s="74">
        <v>46219.977038240744</v>
      </c>
      <c r="D3699" s="2" t="s">
        <v>653</v>
      </c>
      <c r="F3699" s="2" t="s">
        <v>3150</v>
      </c>
      <c r="G3699" s="72">
        <v>3.22492474E8</v>
      </c>
    </row>
    <row r="3700">
      <c r="B3700" s="72">
        <v>8.2191762E7</v>
      </c>
      <c r="C3700" s="74">
        <v>46228.67521850695</v>
      </c>
      <c r="D3700" s="2" t="s">
        <v>653</v>
      </c>
      <c r="F3700" s="2" t="s">
        <v>3151</v>
      </c>
      <c r="G3700" s="72">
        <v>3.2858254E8</v>
      </c>
    </row>
    <row r="3701">
      <c r="C3701" s="74">
        <v>46233.54600054398</v>
      </c>
      <c r="D3701" s="2" t="s">
        <v>628</v>
      </c>
      <c r="F3701" s="2" t="s">
        <v>630</v>
      </c>
      <c r="G3701" s="72">
        <v>3.31874611E8</v>
      </c>
    </row>
    <row r="3702">
      <c r="B3702" s="72">
        <v>8.341174E7</v>
      </c>
      <c r="C3702" s="74">
        <v>46234.802756550926</v>
      </c>
      <c r="D3702" s="2" t="s">
        <v>653</v>
      </c>
      <c r="F3702" s="2" t="s">
        <v>3152</v>
      </c>
      <c r="G3702" s="72">
        <v>3.32922654E8</v>
      </c>
    </row>
    <row r="3703">
      <c r="B3703" s="72">
        <v>8.1385145E7</v>
      </c>
      <c r="C3703" s="74">
        <v>46222.763001921296</v>
      </c>
      <c r="D3703" s="2" t="s">
        <v>705</v>
      </c>
      <c r="F3703" s="2" t="s">
        <v>3153</v>
      </c>
      <c r="G3703" s="72">
        <v>3.24558558E8</v>
      </c>
    </row>
    <row r="3704">
      <c r="C3704" s="74">
        <v>46207.750676400465</v>
      </c>
      <c r="D3704" s="2" t="s">
        <v>628</v>
      </c>
      <c r="F3704" s="2" t="s">
        <v>2082</v>
      </c>
      <c r="G3704" s="72">
        <v>3.14278851E8</v>
      </c>
    </row>
    <row r="3705">
      <c r="B3705" s="72">
        <v>8.2031778E7</v>
      </c>
      <c r="C3705" s="74">
        <v>46226.797137013884</v>
      </c>
      <c r="D3705" s="2" t="s">
        <v>705</v>
      </c>
      <c r="F3705" s="2" t="s">
        <v>3154</v>
      </c>
      <c r="G3705" s="72">
        <v>3.27179825E8</v>
      </c>
    </row>
    <row r="3706">
      <c r="B3706" s="72">
        <v>8.1237124E7</v>
      </c>
      <c r="C3706" s="74">
        <v>46223.426563773144</v>
      </c>
      <c r="D3706" s="2" t="s">
        <v>705</v>
      </c>
      <c r="F3706" s="2" t="s">
        <v>3155</v>
      </c>
      <c r="G3706" s="72">
        <v>3.24851799E8</v>
      </c>
    </row>
    <row r="3707">
      <c r="C3707" s="74">
        <v>46208.95859895833</v>
      </c>
      <c r="D3707" s="2" t="s">
        <v>628</v>
      </c>
      <c r="F3707" s="2" t="s">
        <v>3156</v>
      </c>
      <c r="G3707" s="72">
        <v>3.15160861E8</v>
      </c>
    </row>
    <row r="3708">
      <c r="C3708" s="74">
        <v>46207.9607662037</v>
      </c>
      <c r="D3708" s="2" t="s">
        <v>628</v>
      </c>
      <c r="F3708" s="2" t="s">
        <v>2896</v>
      </c>
      <c r="G3708" s="72">
        <v>3.14484843E8</v>
      </c>
    </row>
    <row r="3709">
      <c r="B3709" s="72">
        <v>7.812564E7</v>
      </c>
      <c r="C3709" s="74">
        <v>46226.62664258102</v>
      </c>
      <c r="D3709" s="2" t="s">
        <v>705</v>
      </c>
      <c r="F3709" s="2" t="s">
        <v>2912</v>
      </c>
      <c r="G3709" s="72">
        <v>3.26998294E8</v>
      </c>
    </row>
    <row r="3710">
      <c r="B3710" s="72">
        <v>8.0681556E7</v>
      </c>
      <c r="C3710" s="74">
        <v>46218.79365413194</v>
      </c>
      <c r="D3710" s="2" t="s">
        <v>653</v>
      </c>
      <c r="F3710" s="2" t="s">
        <v>753</v>
      </c>
      <c r="G3710" s="72">
        <v>3.21612259E8</v>
      </c>
    </row>
    <row r="3711">
      <c r="C3711" s="74">
        <v>46224.54268767362</v>
      </c>
      <c r="D3711" s="2" t="s">
        <v>628</v>
      </c>
      <c r="F3711" s="2" t="s">
        <v>630</v>
      </c>
      <c r="G3711" s="72">
        <v>3.25590688E8</v>
      </c>
    </row>
    <row r="3712">
      <c r="B3712" s="72">
        <v>8.1153322E7</v>
      </c>
      <c r="C3712" s="74">
        <v>46221.45771967593</v>
      </c>
      <c r="D3712" s="2" t="s">
        <v>653</v>
      </c>
      <c r="F3712" s="2" t="s">
        <v>2999</v>
      </c>
      <c r="G3712" s="72">
        <v>3.23409924E8</v>
      </c>
    </row>
    <row r="3713">
      <c r="B3713" s="72">
        <v>8.2617667E7</v>
      </c>
      <c r="C3713" s="74">
        <v>46230.396882974535</v>
      </c>
      <c r="D3713" s="2" t="s">
        <v>667</v>
      </c>
      <c r="E3713" s="2" t="s">
        <v>886</v>
      </c>
      <c r="F3713" s="2" t="s">
        <v>3157</v>
      </c>
      <c r="G3713" s="72">
        <v>3.29736074E8</v>
      </c>
    </row>
    <row r="3714">
      <c r="B3714" s="72">
        <v>8.1697799E7</v>
      </c>
      <c r="C3714" s="74">
        <v>46224.81304057871</v>
      </c>
      <c r="D3714" s="2" t="s">
        <v>705</v>
      </c>
      <c r="F3714" s="2" t="s">
        <v>3158</v>
      </c>
      <c r="G3714" s="72">
        <v>3.25856503E8</v>
      </c>
    </row>
    <row r="3715">
      <c r="B3715" s="72">
        <v>8.1025312E7</v>
      </c>
      <c r="C3715" s="74">
        <v>46221.67296447916</v>
      </c>
      <c r="D3715" s="2" t="s">
        <v>653</v>
      </c>
      <c r="F3715" s="2" t="s">
        <v>3159</v>
      </c>
      <c r="G3715" s="72">
        <v>3.23706127E8</v>
      </c>
    </row>
    <row r="3716">
      <c r="B3716" s="72">
        <v>7.812564E7</v>
      </c>
      <c r="C3716" s="74">
        <v>46227.48369226852</v>
      </c>
      <c r="D3716" s="2" t="s">
        <v>705</v>
      </c>
      <c r="F3716" s="2" t="s">
        <v>2912</v>
      </c>
      <c r="G3716" s="72">
        <v>3.27543842E8</v>
      </c>
    </row>
    <row r="3717">
      <c r="B3717" s="72">
        <v>8.1384214E7</v>
      </c>
      <c r="C3717" s="74">
        <v>46224.961329224534</v>
      </c>
      <c r="D3717" s="2" t="s">
        <v>628</v>
      </c>
      <c r="F3717" s="2" t="s">
        <v>3160</v>
      </c>
      <c r="G3717" s="72">
        <v>3.25990116E8</v>
      </c>
    </row>
    <row r="3718">
      <c r="C3718" s="74">
        <v>46220.96142409722</v>
      </c>
      <c r="D3718" s="2" t="s">
        <v>628</v>
      </c>
      <c r="F3718" s="2" t="s">
        <v>3161</v>
      </c>
      <c r="G3718" s="72">
        <v>3.23248331E8</v>
      </c>
    </row>
    <row r="3719">
      <c r="B3719" s="72">
        <v>8.0652082E7</v>
      </c>
      <c r="C3719" s="74">
        <v>46218.6581274537</v>
      </c>
      <c r="D3719" s="2" t="s">
        <v>653</v>
      </c>
      <c r="F3719" s="2" t="s">
        <v>3162</v>
      </c>
      <c r="G3719" s="72">
        <v>3.21483751E8</v>
      </c>
    </row>
    <row r="3720">
      <c r="C3720" s="74">
        <v>46214.751851863424</v>
      </c>
      <c r="D3720" s="2" t="s">
        <v>628</v>
      </c>
      <c r="F3720" s="2" t="s">
        <v>3163</v>
      </c>
      <c r="G3720" s="72">
        <v>3.18913697E8</v>
      </c>
    </row>
    <row r="3721">
      <c r="C3721" s="74">
        <v>46207.75357446759</v>
      </c>
      <c r="D3721" s="2" t="s">
        <v>628</v>
      </c>
      <c r="F3721" s="2" t="s">
        <v>2077</v>
      </c>
      <c r="G3721" s="72">
        <v>3.14296973E8</v>
      </c>
    </row>
    <row r="3722">
      <c r="C3722" s="74">
        <v>46205.75212820602</v>
      </c>
      <c r="D3722" s="2" t="s">
        <v>628</v>
      </c>
      <c r="F3722" s="2" t="s">
        <v>743</v>
      </c>
      <c r="G3722" s="72">
        <v>3.12824472E8</v>
      </c>
    </row>
    <row r="3723">
      <c r="C3723" s="74">
        <v>46210.96092048611</v>
      </c>
      <c r="D3723" s="2" t="s">
        <v>628</v>
      </c>
      <c r="F3723" s="2" t="s">
        <v>3164</v>
      </c>
      <c r="G3723" s="72">
        <v>3.16371375E8</v>
      </c>
    </row>
    <row r="3724">
      <c r="B3724" s="72">
        <v>8.1220996E7</v>
      </c>
      <c r="C3724" s="74">
        <v>46221.75331796297</v>
      </c>
      <c r="D3724" s="2" t="s">
        <v>653</v>
      </c>
      <c r="F3724" s="2" t="s">
        <v>1224</v>
      </c>
      <c r="G3724" s="72">
        <v>3.23781405E8</v>
      </c>
    </row>
    <row r="3725">
      <c r="B3725" s="72">
        <v>8.1385144E7</v>
      </c>
      <c r="C3725" s="74">
        <v>46223.67544493056</v>
      </c>
      <c r="D3725" s="2" t="s">
        <v>653</v>
      </c>
      <c r="F3725" s="2" t="s">
        <v>3139</v>
      </c>
      <c r="G3725" s="72">
        <v>3.25118662E8</v>
      </c>
    </row>
    <row r="3726">
      <c r="C3726" s="74">
        <v>46206.75340850695</v>
      </c>
      <c r="D3726" s="2" t="s">
        <v>628</v>
      </c>
      <c r="F3726" s="2" t="s">
        <v>1939</v>
      </c>
      <c r="G3726" s="72">
        <v>3.1357087E8</v>
      </c>
    </row>
    <row r="3727">
      <c r="C3727" s="74">
        <v>46227.95887278936</v>
      </c>
      <c r="D3727" s="2" t="s">
        <v>628</v>
      </c>
      <c r="F3727" s="2" t="s">
        <v>3165</v>
      </c>
      <c r="G3727" s="72">
        <v>3.28112887E8</v>
      </c>
    </row>
    <row r="3728">
      <c r="C3728" s="74">
        <v>46234.75436387731</v>
      </c>
      <c r="D3728" s="2" t="s">
        <v>628</v>
      </c>
      <c r="F3728" s="2" t="s">
        <v>3166</v>
      </c>
      <c r="G3728" s="72">
        <v>3.32858759E8</v>
      </c>
    </row>
    <row r="3729">
      <c r="B3729" s="72">
        <v>8.1385158E7</v>
      </c>
      <c r="C3729" s="74">
        <v>46222.76311892361</v>
      </c>
      <c r="D3729" s="2" t="s">
        <v>653</v>
      </c>
      <c r="F3729" s="2" t="s">
        <v>3167</v>
      </c>
      <c r="G3729" s="72">
        <v>3.24558618E8</v>
      </c>
    </row>
    <row r="3730">
      <c r="C3730" s="74">
        <v>46207.75175674769</v>
      </c>
      <c r="D3730" s="2" t="s">
        <v>628</v>
      </c>
      <c r="F3730" s="2" t="s">
        <v>3168</v>
      </c>
      <c r="G3730" s="72">
        <v>3.14283589E8</v>
      </c>
    </row>
    <row r="3731">
      <c r="B3731" s="72">
        <v>8.1385145E7</v>
      </c>
      <c r="C3731" s="74">
        <v>46230.46761710648</v>
      </c>
      <c r="D3731" s="2" t="s">
        <v>653</v>
      </c>
      <c r="F3731" s="2" t="s">
        <v>3169</v>
      </c>
      <c r="G3731" s="72">
        <v>3.29784547E8</v>
      </c>
    </row>
    <row r="3732">
      <c r="B3732" s="72">
        <v>8.3045193E7</v>
      </c>
      <c r="C3732" s="74">
        <v>46232.81651685185</v>
      </c>
      <c r="D3732" s="2" t="s">
        <v>667</v>
      </c>
      <c r="E3732" s="2" t="s">
        <v>1332</v>
      </c>
      <c r="F3732" s="2" t="s">
        <v>3170</v>
      </c>
      <c r="G3732" s="72">
        <v>3.3145325E8</v>
      </c>
    </row>
    <row r="3733">
      <c r="B3733" s="72">
        <v>8.103657E7</v>
      </c>
      <c r="C3733" s="74">
        <v>46220.756420844904</v>
      </c>
      <c r="D3733" s="2" t="s">
        <v>653</v>
      </c>
      <c r="F3733" s="2" t="s">
        <v>3171</v>
      </c>
      <c r="G3733" s="72">
        <v>3.23017146E8</v>
      </c>
    </row>
    <row r="3734">
      <c r="B3734" s="72">
        <v>8.2387386E7</v>
      </c>
      <c r="C3734" s="74">
        <v>46228.79745699074</v>
      </c>
      <c r="D3734" s="2" t="s">
        <v>653</v>
      </c>
      <c r="F3734" s="2" t="s">
        <v>3172</v>
      </c>
      <c r="G3734" s="72">
        <v>3.28702736E8</v>
      </c>
    </row>
    <row r="3735">
      <c r="C3735" s="74">
        <v>46215.95897753473</v>
      </c>
      <c r="D3735" s="2" t="s">
        <v>628</v>
      </c>
      <c r="F3735" s="2" t="s">
        <v>1998</v>
      </c>
      <c r="G3735" s="72">
        <v>3.19855272E8</v>
      </c>
    </row>
    <row r="3736">
      <c r="C3736" s="74">
        <v>46210.96029243055</v>
      </c>
      <c r="D3736" s="2" t="s">
        <v>628</v>
      </c>
      <c r="F3736" s="2" t="s">
        <v>3173</v>
      </c>
      <c r="G3736" s="72">
        <v>3.16369364E8</v>
      </c>
    </row>
    <row r="3737">
      <c r="B3737" s="72">
        <v>8.2369107E7</v>
      </c>
      <c r="C3737" s="74">
        <v>46228.67527206018</v>
      </c>
      <c r="D3737" s="2" t="s">
        <v>653</v>
      </c>
      <c r="F3737" s="2" t="s">
        <v>3046</v>
      </c>
      <c r="G3737" s="72">
        <v>3.28582583E8</v>
      </c>
    </row>
    <row r="3738">
      <c r="C3738" s="74">
        <v>46228.75257542824</v>
      </c>
      <c r="D3738" s="2" t="s">
        <v>628</v>
      </c>
      <c r="F3738" s="2" t="s">
        <v>2682</v>
      </c>
      <c r="G3738" s="72">
        <v>3.28646067E8</v>
      </c>
    </row>
    <row r="3739">
      <c r="B3739" s="72">
        <v>8.0830208E7</v>
      </c>
      <c r="C3739" s="74">
        <v>46230.90302938657</v>
      </c>
      <c r="D3739" s="2" t="s">
        <v>667</v>
      </c>
      <c r="E3739" s="2" t="s">
        <v>886</v>
      </c>
      <c r="F3739" s="2" t="s">
        <v>3174</v>
      </c>
      <c r="G3739" s="72">
        <v>3.30216742E8</v>
      </c>
    </row>
    <row r="3740">
      <c r="B3740" s="72">
        <v>8.1535557E7</v>
      </c>
      <c r="C3740" s="74">
        <v>46227.99252480324</v>
      </c>
      <c r="D3740" s="2" t="s">
        <v>667</v>
      </c>
      <c r="E3740" s="2" t="s">
        <v>703</v>
      </c>
      <c r="F3740" s="2" t="s">
        <v>3175</v>
      </c>
      <c r="G3740" s="72">
        <v>3.28147969E8</v>
      </c>
    </row>
    <row r="3741">
      <c r="B3741" s="72">
        <v>7.812564E7</v>
      </c>
      <c r="C3741" s="74">
        <v>46204.50003841435</v>
      </c>
      <c r="D3741" s="2" t="s">
        <v>705</v>
      </c>
      <c r="F3741" s="2" t="s">
        <v>2912</v>
      </c>
      <c r="G3741" s="72">
        <v>3.11938557E8</v>
      </c>
    </row>
    <row r="3742">
      <c r="B3742" s="72">
        <v>8.1465316E7</v>
      </c>
      <c r="C3742" s="74">
        <v>46223.373860486114</v>
      </c>
      <c r="D3742" s="2" t="s">
        <v>705</v>
      </c>
      <c r="F3742" s="2" t="s">
        <v>3176</v>
      </c>
      <c r="G3742" s="72">
        <v>3.24842752E8</v>
      </c>
    </row>
    <row r="3743">
      <c r="B3743" s="72">
        <v>7.812564E7</v>
      </c>
      <c r="C3743" s="74">
        <v>46204.63651979167</v>
      </c>
      <c r="D3743" s="2" t="s">
        <v>705</v>
      </c>
      <c r="F3743" s="96" t="s">
        <v>3177</v>
      </c>
      <c r="G3743" s="72">
        <v>3.12109688E8</v>
      </c>
    </row>
    <row r="3744">
      <c r="B3744" s="72">
        <v>8.1025312E7</v>
      </c>
      <c r="C3744" s="74">
        <v>46220.75126844908</v>
      </c>
      <c r="D3744" s="2" t="s">
        <v>628</v>
      </c>
      <c r="F3744" s="2" t="s">
        <v>1768</v>
      </c>
      <c r="G3744" s="72">
        <v>3.22992625E8</v>
      </c>
    </row>
    <row r="3745">
      <c r="C3745" s="74">
        <v>46213.75226771991</v>
      </c>
      <c r="D3745" s="2" t="s">
        <v>628</v>
      </c>
      <c r="F3745" s="2" t="s">
        <v>3178</v>
      </c>
      <c r="G3745" s="72">
        <v>3.18172767E8</v>
      </c>
    </row>
    <row r="3746">
      <c r="B3746" s="72">
        <v>8.3411799E7</v>
      </c>
      <c r="C3746" s="74">
        <v>46234.80296490741</v>
      </c>
      <c r="D3746" s="2" t="s">
        <v>653</v>
      </c>
      <c r="F3746" s="2" t="s">
        <v>3054</v>
      </c>
      <c r="G3746" s="72">
        <v>3.32922871E8</v>
      </c>
    </row>
    <row r="3747">
      <c r="B3747" s="72">
        <v>7.812564E7</v>
      </c>
      <c r="C3747" s="74">
        <v>46215.21809311342</v>
      </c>
      <c r="D3747" s="2" t="s">
        <v>705</v>
      </c>
      <c r="F3747" s="2" t="s">
        <v>2912</v>
      </c>
      <c r="G3747" s="72">
        <v>3.1926534E8</v>
      </c>
    </row>
    <row r="3748">
      <c r="C3748" s="74">
        <v>46232.752274328705</v>
      </c>
      <c r="D3748" s="2" t="s">
        <v>628</v>
      </c>
      <c r="F3748" s="2" t="s">
        <v>3179</v>
      </c>
      <c r="G3748" s="72">
        <v>3.31380418E8</v>
      </c>
    </row>
    <row r="3749">
      <c r="B3749" s="72">
        <v>8.0927441E7</v>
      </c>
      <c r="C3749" s="74">
        <v>46219.97704226852</v>
      </c>
      <c r="D3749" s="2" t="s">
        <v>653</v>
      </c>
      <c r="F3749" s="2" t="s">
        <v>3104</v>
      </c>
      <c r="G3749" s="72">
        <v>3.22492478E8</v>
      </c>
    </row>
    <row r="3750">
      <c r="C3750" s="74">
        <v>46221.75272634259</v>
      </c>
      <c r="D3750" s="2" t="s">
        <v>628</v>
      </c>
      <c r="F3750" s="2" t="s">
        <v>764</v>
      </c>
      <c r="G3750" s="72">
        <v>3.23777168E8</v>
      </c>
    </row>
    <row r="3751">
      <c r="B3751" s="72">
        <v>8.3321525E7</v>
      </c>
      <c r="C3751" s="74">
        <v>46234.509095601854</v>
      </c>
      <c r="D3751" s="2" t="s">
        <v>667</v>
      </c>
      <c r="E3751" s="2" t="s">
        <v>1332</v>
      </c>
      <c r="F3751" s="2" t="s">
        <v>3180</v>
      </c>
      <c r="G3751" s="72">
        <v>3.3257319E8</v>
      </c>
    </row>
    <row r="3752">
      <c r="B3752" s="72">
        <v>8.1036622E7</v>
      </c>
      <c r="C3752" s="74">
        <v>46221.67300475694</v>
      </c>
      <c r="D3752" s="2" t="s">
        <v>653</v>
      </c>
      <c r="F3752" s="2" t="s">
        <v>3052</v>
      </c>
      <c r="G3752" s="72">
        <v>3.23706159E8</v>
      </c>
    </row>
    <row r="3753">
      <c r="C3753" s="74">
        <v>46204.753262743056</v>
      </c>
      <c r="D3753" s="2" t="s">
        <v>628</v>
      </c>
      <c r="F3753" s="2" t="s">
        <v>775</v>
      </c>
      <c r="G3753" s="72">
        <v>3.12195023E8</v>
      </c>
    </row>
    <row r="3754">
      <c r="B3754" s="72">
        <v>8.10571E7</v>
      </c>
      <c r="C3754" s="74">
        <v>46221.67298083333</v>
      </c>
      <c r="D3754" s="2" t="s">
        <v>653</v>
      </c>
      <c r="F3754" s="2" t="s">
        <v>869</v>
      </c>
      <c r="G3754" s="72">
        <v>3.23706139E8</v>
      </c>
    </row>
    <row r="3755">
      <c r="B3755" s="72">
        <v>8.1036535E7</v>
      </c>
      <c r="C3755" s="74">
        <v>46222.58475219907</v>
      </c>
      <c r="D3755" s="2" t="s">
        <v>653</v>
      </c>
      <c r="F3755" s="2" t="s">
        <v>3181</v>
      </c>
      <c r="G3755" s="72">
        <v>3.24383817E8</v>
      </c>
    </row>
    <row r="3756">
      <c r="B3756" s="72">
        <v>7.812564E7</v>
      </c>
      <c r="C3756" s="74">
        <v>46204.636512384255</v>
      </c>
      <c r="D3756" s="2" t="s">
        <v>705</v>
      </c>
      <c r="F3756" s="96" t="s">
        <v>3182</v>
      </c>
      <c r="G3756" s="72">
        <v>3.12109683E8</v>
      </c>
    </row>
    <row r="3757">
      <c r="C3757" s="74">
        <v>46211.95965421296</v>
      </c>
      <c r="D3757" s="2" t="s">
        <v>628</v>
      </c>
      <c r="F3757" s="2" t="s">
        <v>1329</v>
      </c>
      <c r="G3757" s="72">
        <v>3.16983644E8</v>
      </c>
    </row>
    <row r="3758">
      <c r="C3758" s="74">
        <v>46232.544358750005</v>
      </c>
      <c r="D3758" s="2" t="s">
        <v>628</v>
      </c>
      <c r="F3758" s="2" t="s">
        <v>630</v>
      </c>
      <c r="G3758" s="72">
        <v>3.3117199E8</v>
      </c>
    </row>
    <row r="3759">
      <c r="C3759" s="74">
        <v>46220.96050321759</v>
      </c>
      <c r="D3759" s="2" t="s">
        <v>628</v>
      </c>
      <c r="F3759" s="2" t="s">
        <v>3183</v>
      </c>
      <c r="G3759" s="72">
        <v>3.23245083E8</v>
      </c>
    </row>
    <row r="3760">
      <c r="B3760" s="72">
        <v>8.1237124E7</v>
      </c>
      <c r="C3760" s="74">
        <v>46223.25720723379</v>
      </c>
      <c r="D3760" s="2" t="s">
        <v>705</v>
      </c>
      <c r="F3760" s="2" t="s">
        <v>3184</v>
      </c>
      <c r="G3760" s="72">
        <v>3.24834979E8</v>
      </c>
    </row>
    <row r="3761">
      <c r="B3761" s="72">
        <v>8.1385148E7</v>
      </c>
      <c r="C3761" s="74">
        <v>46222.763030381946</v>
      </c>
      <c r="D3761" s="2" t="s">
        <v>653</v>
      </c>
      <c r="F3761" s="2" t="s">
        <v>3017</v>
      </c>
      <c r="G3761" s="72">
        <v>3.24558573E8</v>
      </c>
    </row>
    <row r="3762">
      <c r="B3762" s="72">
        <v>8.2388152E7</v>
      </c>
      <c r="C3762" s="74">
        <v>46229.784058923615</v>
      </c>
      <c r="D3762" s="2" t="s">
        <v>705</v>
      </c>
      <c r="F3762" s="2" t="s">
        <v>3185</v>
      </c>
      <c r="G3762" s="72">
        <v>3.29451522E8</v>
      </c>
    </row>
    <row r="3763">
      <c r="B3763" s="72">
        <v>8.2345197E7</v>
      </c>
      <c r="C3763" s="74">
        <v>46228.55059758102</v>
      </c>
      <c r="D3763" s="2" t="s">
        <v>653</v>
      </c>
      <c r="F3763" s="2" t="s">
        <v>3186</v>
      </c>
      <c r="G3763" s="72">
        <v>3.28447949E8</v>
      </c>
    </row>
    <row r="3764">
      <c r="C3764" s="74">
        <v>46205.7523522338</v>
      </c>
      <c r="D3764" s="2" t="s">
        <v>628</v>
      </c>
      <c r="F3764" s="2" t="s">
        <v>3187</v>
      </c>
      <c r="G3764" s="72">
        <v>3.12827321E8</v>
      </c>
    </row>
    <row r="3765">
      <c r="B3765" s="72">
        <v>8.3169903E7</v>
      </c>
      <c r="C3765" s="74">
        <v>46233.6664962963</v>
      </c>
      <c r="D3765" s="2" t="s">
        <v>653</v>
      </c>
      <c r="F3765" s="2" t="s">
        <v>753</v>
      </c>
      <c r="G3765" s="72">
        <v>3.31988418E8</v>
      </c>
    </row>
    <row r="3766">
      <c r="B3766" s="72">
        <v>7.812564E7</v>
      </c>
      <c r="C3766" s="74">
        <v>46214.91030015046</v>
      </c>
      <c r="D3766" s="2" t="s">
        <v>705</v>
      </c>
      <c r="F3766" s="2" t="s">
        <v>2912</v>
      </c>
      <c r="G3766" s="72">
        <v>3.19082005E8</v>
      </c>
    </row>
    <row r="3767">
      <c r="B3767" s="72">
        <v>8.3411712E7</v>
      </c>
      <c r="C3767" s="74">
        <v>46234.8026643287</v>
      </c>
      <c r="D3767" s="2" t="s">
        <v>653</v>
      </c>
      <c r="F3767" s="2" t="s">
        <v>3188</v>
      </c>
      <c r="G3767" s="72">
        <v>3.32922565E8</v>
      </c>
    </row>
    <row r="3768">
      <c r="B3768" s="72">
        <v>8.2369093E7</v>
      </c>
      <c r="C3768" s="74">
        <v>46230.65991826389</v>
      </c>
      <c r="D3768" s="2" t="s">
        <v>653</v>
      </c>
      <c r="F3768" s="2" t="s">
        <v>3189</v>
      </c>
      <c r="G3768" s="72">
        <v>3.29989021E8</v>
      </c>
    </row>
    <row r="3769">
      <c r="B3769" s="72">
        <v>8.0853628E7</v>
      </c>
      <c r="C3769" s="74">
        <v>46220.49191619213</v>
      </c>
      <c r="D3769" s="2" t="s">
        <v>667</v>
      </c>
      <c r="E3769" s="2" t="s">
        <v>829</v>
      </c>
      <c r="F3769" s="2" t="s">
        <v>3190</v>
      </c>
      <c r="G3769" s="72">
        <v>3.22681123E8</v>
      </c>
    </row>
    <row r="3770">
      <c r="C3770" s="74">
        <v>46229.75263447917</v>
      </c>
      <c r="D3770" s="2" t="s">
        <v>628</v>
      </c>
      <c r="F3770" s="2" t="s">
        <v>3191</v>
      </c>
      <c r="G3770" s="72">
        <v>3.29427409E8</v>
      </c>
    </row>
    <row r="3771">
      <c r="C3771" s="74">
        <v>46208.96054619213</v>
      </c>
      <c r="D3771" s="2" t="s">
        <v>628</v>
      </c>
      <c r="F3771" s="2" t="s">
        <v>3192</v>
      </c>
      <c r="G3771" s="72">
        <v>3.15165746E8</v>
      </c>
    </row>
    <row r="3772">
      <c r="B3772" s="72">
        <v>8.3396911E7</v>
      </c>
      <c r="C3772" s="74">
        <v>46234.80289990741</v>
      </c>
      <c r="D3772" s="2" t="s">
        <v>653</v>
      </c>
      <c r="F3772" s="2" t="s">
        <v>3193</v>
      </c>
      <c r="G3772" s="72">
        <v>3.32922799E8</v>
      </c>
    </row>
    <row r="3773">
      <c r="C3773" s="74">
        <v>46206.75300498842</v>
      </c>
      <c r="D3773" s="2" t="s">
        <v>628</v>
      </c>
      <c r="F3773" s="2" t="s">
        <v>3194</v>
      </c>
      <c r="G3773" s="72">
        <v>3.13567669E8</v>
      </c>
    </row>
    <row r="3774">
      <c r="B3774" s="72">
        <v>8.1385145E7</v>
      </c>
      <c r="C3774" s="74">
        <v>46230.467611388885</v>
      </c>
      <c r="D3774" s="2" t="s">
        <v>653</v>
      </c>
      <c r="F3774" s="2" t="s">
        <v>3195</v>
      </c>
      <c r="G3774" s="72">
        <v>3.29784546E8</v>
      </c>
    </row>
    <row r="3775">
      <c r="C3775" s="74">
        <v>46208.96165540509</v>
      </c>
      <c r="D3775" s="2" t="s">
        <v>628</v>
      </c>
      <c r="F3775" s="2" t="s">
        <v>3196</v>
      </c>
      <c r="G3775" s="72">
        <v>3.15169191E8</v>
      </c>
    </row>
    <row r="3776">
      <c r="B3776" s="72">
        <v>8.1976867E7</v>
      </c>
      <c r="C3776" s="74">
        <v>46226.64559741898</v>
      </c>
      <c r="D3776" s="2" t="s">
        <v>628</v>
      </c>
      <c r="F3776" s="2" t="s">
        <v>1473</v>
      </c>
      <c r="G3776" s="72">
        <v>3.27018672E8</v>
      </c>
    </row>
    <row r="3777">
      <c r="B3777" s="72">
        <v>8.1666951E7</v>
      </c>
      <c r="C3777" s="74">
        <v>46230.71429423611</v>
      </c>
      <c r="D3777" s="2" t="s">
        <v>705</v>
      </c>
      <c r="F3777" s="2" t="s">
        <v>3197</v>
      </c>
      <c r="G3777" s="72">
        <v>3.30036479E8</v>
      </c>
    </row>
    <row r="3778">
      <c r="B3778" s="72">
        <v>8.0834997E7</v>
      </c>
      <c r="C3778" s="74">
        <v>46219.75090216435</v>
      </c>
      <c r="D3778" s="2" t="s">
        <v>628</v>
      </c>
      <c r="F3778" s="2" t="s">
        <v>1535</v>
      </c>
      <c r="G3778" s="72">
        <v>3.22233297E8</v>
      </c>
    </row>
    <row r="3779">
      <c r="B3779" s="72">
        <v>7.812564E7</v>
      </c>
      <c r="C3779" s="74">
        <v>46204.44987408565</v>
      </c>
      <c r="D3779" s="2" t="s">
        <v>705</v>
      </c>
      <c r="F3779" s="2" t="s">
        <v>2914</v>
      </c>
      <c r="G3779" s="72">
        <v>3.11894812E8</v>
      </c>
    </row>
    <row r="3780">
      <c r="B3780" s="72">
        <v>8.1522504E7</v>
      </c>
      <c r="C3780" s="74">
        <v>46226.95880530092</v>
      </c>
      <c r="D3780" s="2" t="s">
        <v>628</v>
      </c>
      <c r="F3780" s="2" t="s">
        <v>3198</v>
      </c>
      <c r="G3780" s="72">
        <v>3.27333323E8</v>
      </c>
    </row>
    <row r="3781">
      <c r="B3781" s="72">
        <v>8.3321525E7</v>
      </c>
      <c r="C3781" s="74">
        <v>46234.481820810186</v>
      </c>
      <c r="D3781" s="2" t="s">
        <v>705</v>
      </c>
      <c r="F3781" s="2" t="s">
        <v>3199</v>
      </c>
      <c r="G3781" s="72">
        <v>3.32516591E8</v>
      </c>
    </row>
    <row r="3782">
      <c r="B3782" s="72">
        <v>8.0652077E7</v>
      </c>
      <c r="C3782" s="74">
        <v>46218.65806047454</v>
      </c>
      <c r="D3782" s="2" t="s">
        <v>653</v>
      </c>
      <c r="F3782" s="2" t="s">
        <v>3200</v>
      </c>
      <c r="G3782" s="72">
        <v>3.21483725E8</v>
      </c>
    </row>
    <row r="3783">
      <c r="C3783" s="74">
        <v>46218.959258194445</v>
      </c>
      <c r="D3783" s="2" t="s">
        <v>628</v>
      </c>
      <c r="F3783" s="2" t="s">
        <v>2403</v>
      </c>
      <c r="G3783" s="72">
        <v>3.21766152E8</v>
      </c>
    </row>
    <row r="3784">
      <c r="B3784" s="72">
        <v>8.1036622E7</v>
      </c>
      <c r="C3784" s="74">
        <v>46220.75672578704</v>
      </c>
      <c r="D3784" s="2" t="s">
        <v>653</v>
      </c>
      <c r="F3784" s="2" t="s">
        <v>3201</v>
      </c>
      <c r="G3784" s="72">
        <v>3.23017366E8</v>
      </c>
    </row>
    <row r="3785">
      <c r="B3785" s="72">
        <v>8.1153322E7</v>
      </c>
      <c r="C3785" s="74">
        <v>46221.45772854167</v>
      </c>
      <c r="D3785" s="2" t="s">
        <v>653</v>
      </c>
      <c r="F3785" s="2" t="s">
        <v>3202</v>
      </c>
      <c r="G3785" s="72">
        <v>3.2340993E8</v>
      </c>
    </row>
    <row r="3786">
      <c r="B3786" s="72">
        <v>8.3229564E7</v>
      </c>
      <c r="C3786" s="74">
        <v>46234.46223538194</v>
      </c>
      <c r="D3786" s="2" t="s">
        <v>705</v>
      </c>
      <c r="F3786" s="2" t="s">
        <v>3203</v>
      </c>
      <c r="G3786" s="72">
        <v>3.32504554E8</v>
      </c>
    </row>
    <row r="3787">
      <c r="C3787" s="74">
        <v>46209.75251815972</v>
      </c>
      <c r="D3787" s="2" t="s">
        <v>628</v>
      </c>
      <c r="F3787" s="2" t="s">
        <v>665</v>
      </c>
      <c r="G3787" s="72">
        <v>3.15587803E8</v>
      </c>
    </row>
    <row r="3788">
      <c r="B3788" s="72">
        <v>7.812564E7</v>
      </c>
      <c r="C3788" s="74">
        <v>46215.004510659724</v>
      </c>
      <c r="D3788" s="2" t="s">
        <v>705</v>
      </c>
      <c r="F3788" s="2" t="s">
        <v>2914</v>
      </c>
      <c r="G3788" s="72">
        <v>3.19181566E8</v>
      </c>
    </row>
    <row r="3789">
      <c r="C3789" s="74">
        <v>46213.95961792824</v>
      </c>
      <c r="D3789" s="2" t="s">
        <v>628</v>
      </c>
      <c r="F3789" s="2" t="s">
        <v>1627</v>
      </c>
      <c r="G3789" s="72">
        <v>3.18405261E8</v>
      </c>
    </row>
    <row r="3790">
      <c r="C3790" s="74">
        <v>46226.54368967593</v>
      </c>
      <c r="D3790" s="2" t="s">
        <v>628</v>
      </c>
      <c r="F3790" s="2" t="s">
        <v>630</v>
      </c>
      <c r="G3790" s="72">
        <v>3.26889871E8</v>
      </c>
    </row>
    <row r="3791">
      <c r="B3791" s="72">
        <v>8.2031792E7</v>
      </c>
      <c r="C3791" s="74">
        <v>46226.79721078704</v>
      </c>
      <c r="D3791" s="2" t="s">
        <v>653</v>
      </c>
      <c r="F3791" s="2" t="s">
        <v>3204</v>
      </c>
      <c r="G3791" s="72">
        <v>3.2717988E8</v>
      </c>
    </row>
    <row r="3792">
      <c r="C3792" s="74">
        <v>46211.74307899305</v>
      </c>
      <c r="D3792" s="2" t="s">
        <v>628</v>
      </c>
      <c r="F3792" s="2" t="s">
        <v>2469</v>
      </c>
      <c r="G3792" s="72">
        <v>3.16780046E8</v>
      </c>
    </row>
    <row r="3793">
      <c r="B3793" s="72">
        <v>7.812564E7</v>
      </c>
      <c r="C3793" s="74">
        <v>46204.49893753472</v>
      </c>
      <c r="D3793" s="2" t="s">
        <v>705</v>
      </c>
      <c r="F3793" s="2" t="s">
        <v>2914</v>
      </c>
      <c r="G3793" s="72">
        <v>3.11938162E8</v>
      </c>
    </row>
    <row r="3794">
      <c r="C3794" s="74">
        <v>46208.751920752315</v>
      </c>
      <c r="D3794" s="2" t="s">
        <v>628</v>
      </c>
      <c r="F3794" s="2" t="s">
        <v>3205</v>
      </c>
      <c r="G3794" s="72">
        <v>3.14990824E8</v>
      </c>
    </row>
    <row r="3795">
      <c r="B3795" s="72">
        <v>8.2369093E7</v>
      </c>
      <c r="C3795" s="74">
        <v>46228.67515738426</v>
      </c>
      <c r="D3795" s="2" t="s">
        <v>653</v>
      </c>
      <c r="F3795" s="2" t="s">
        <v>3206</v>
      </c>
      <c r="G3795" s="72">
        <v>3.28582502E8</v>
      </c>
    </row>
    <row r="3796">
      <c r="C3796" s="74">
        <v>46217.95921185185</v>
      </c>
      <c r="D3796" s="2" t="s">
        <v>628</v>
      </c>
      <c r="F3796" s="2" t="s">
        <v>3207</v>
      </c>
      <c r="G3796" s="72">
        <v>3.21110379E8</v>
      </c>
    </row>
    <row r="3797">
      <c r="B3797" s="72">
        <v>8.1522504E7</v>
      </c>
      <c r="C3797" s="74">
        <v>46225.54236208333</v>
      </c>
      <c r="D3797" s="2" t="s">
        <v>628</v>
      </c>
      <c r="F3797" s="2" t="s">
        <v>630</v>
      </c>
      <c r="G3797" s="72">
        <v>3.26214706E8</v>
      </c>
    </row>
    <row r="3798">
      <c r="C3798" s="74">
        <v>46208.961565833335</v>
      </c>
      <c r="D3798" s="2" t="s">
        <v>628</v>
      </c>
      <c r="F3798" s="2" t="s">
        <v>3208</v>
      </c>
      <c r="G3798" s="72">
        <v>3.15168943E8</v>
      </c>
    </row>
    <row r="3799">
      <c r="C3799" s="74">
        <v>46231.545128831014</v>
      </c>
      <c r="D3799" s="2" t="s">
        <v>628</v>
      </c>
      <c r="F3799" s="2" t="s">
        <v>630</v>
      </c>
      <c r="G3799" s="72">
        <v>3.30541191E8</v>
      </c>
    </row>
    <row r="3800">
      <c r="B3800" s="72">
        <v>8.0927458E7</v>
      </c>
      <c r="C3800" s="74">
        <v>46219.977138738424</v>
      </c>
      <c r="D3800" s="2" t="s">
        <v>653</v>
      </c>
      <c r="F3800" s="2" t="s">
        <v>753</v>
      </c>
      <c r="G3800" s="72">
        <v>3.22492532E8</v>
      </c>
    </row>
    <row r="3801">
      <c r="C3801" s="74">
        <v>46214.75200241898</v>
      </c>
      <c r="D3801" s="2" t="s">
        <v>628</v>
      </c>
      <c r="F3801" s="2" t="s">
        <v>893</v>
      </c>
      <c r="G3801" s="72">
        <v>3.18914763E8</v>
      </c>
    </row>
    <row r="3802">
      <c r="B3802" s="72">
        <v>8.2369107E7</v>
      </c>
      <c r="C3802" s="74">
        <v>46228.67526268518</v>
      </c>
      <c r="D3802" s="2" t="s">
        <v>653</v>
      </c>
      <c r="F3802" s="2" t="s">
        <v>1877</v>
      </c>
      <c r="G3802" s="72">
        <v>3.28582573E8</v>
      </c>
    </row>
    <row r="3803">
      <c r="C3803" s="74">
        <v>46212.96096174768</v>
      </c>
      <c r="D3803" s="2" t="s">
        <v>628</v>
      </c>
      <c r="F3803" s="2" t="s">
        <v>867</v>
      </c>
      <c r="G3803" s="72">
        <v>3.17661482E8</v>
      </c>
    </row>
    <row r="3804">
      <c r="C3804" s="74">
        <v>46226.96046206019</v>
      </c>
      <c r="D3804" s="2" t="s">
        <v>628</v>
      </c>
      <c r="F3804" s="2" t="s">
        <v>3209</v>
      </c>
      <c r="G3804" s="72">
        <v>3.27338144E8</v>
      </c>
    </row>
    <row r="3805">
      <c r="B3805" s="72">
        <v>8.341172E7</v>
      </c>
      <c r="C3805" s="74">
        <v>46234.802709131945</v>
      </c>
      <c r="D3805" s="2" t="s">
        <v>653</v>
      </c>
      <c r="F3805" s="2" t="s">
        <v>3210</v>
      </c>
      <c r="G3805" s="72">
        <v>3.32922614E8</v>
      </c>
    </row>
    <row r="3806">
      <c r="B3806" s="72">
        <v>7.812564E7</v>
      </c>
      <c r="C3806" s="74">
        <v>46226.621327430556</v>
      </c>
      <c r="D3806" s="2" t="s">
        <v>705</v>
      </c>
      <c r="F3806" s="2" t="s">
        <v>2912</v>
      </c>
      <c r="G3806" s="72">
        <v>3.26989667E8</v>
      </c>
    </row>
    <row r="3807">
      <c r="C3807" s="74">
        <v>46231.752548993056</v>
      </c>
      <c r="D3807" s="2" t="s">
        <v>628</v>
      </c>
      <c r="F3807" s="2" t="s">
        <v>2713</v>
      </c>
      <c r="G3807" s="72">
        <v>3.307241E8</v>
      </c>
    </row>
    <row r="3808">
      <c r="B3808" s="72">
        <v>8.1025312E7</v>
      </c>
      <c r="C3808" s="74">
        <v>46220.75681146991</v>
      </c>
      <c r="D3808" s="2" t="s">
        <v>705</v>
      </c>
      <c r="F3808" s="2" t="s">
        <v>1392</v>
      </c>
      <c r="G3808" s="72">
        <v>3.23017412E8</v>
      </c>
    </row>
    <row r="3809">
      <c r="B3809" s="72">
        <v>8.1840382E7</v>
      </c>
      <c r="C3809" s="74">
        <v>46230.46765701388</v>
      </c>
      <c r="D3809" s="2" t="s">
        <v>653</v>
      </c>
      <c r="F3809" s="2" t="s">
        <v>3108</v>
      </c>
      <c r="G3809" s="72">
        <v>3.29784559E8</v>
      </c>
    </row>
    <row r="3810">
      <c r="C3810" s="74">
        <v>46226.96101068287</v>
      </c>
      <c r="D3810" s="2" t="s">
        <v>628</v>
      </c>
      <c r="F3810" s="2" t="s">
        <v>3211</v>
      </c>
      <c r="G3810" s="72">
        <v>3.27340246E8</v>
      </c>
    </row>
    <row r="3811">
      <c r="B3811" s="72">
        <v>8.2344871E7</v>
      </c>
      <c r="C3811" s="74">
        <v>46228.54699369213</v>
      </c>
      <c r="D3811" s="2" t="s">
        <v>653</v>
      </c>
      <c r="F3811" s="2" t="s">
        <v>3212</v>
      </c>
      <c r="G3811" s="72">
        <v>3.28445738E8</v>
      </c>
    </row>
    <row r="3812">
      <c r="B3812" s="72">
        <v>8.0830208E7</v>
      </c>
      <c r="C3812" s="74">
        <v>46230.83982688657</v>
      </c>
      <c r="D3812" s="2" t="s">
        <v>705</v>
      </c>
      <c r="F3812" s="2" t="s">
        <v>3213</v>
      </c>
      <c r="G3812" s="72">
        <v>3.30155933E8</v>
      </c>
    </row>
    <row r="3813">
      <c r="B3813" s="72">
        <v>8.1385145E7</v>
      </c>
      <c r="C3813" s="74">
        <v>46222.763009386574</v>
      </c>
      <c r="D3813" s="2" t="s">
        <v>653</v>
      </c>
      <c r="F3813" s="2" t="s">
        <v>3167</v>
      </c>
      <c r="G3813" s="72">
        <v>3.24558563E8</v>
      </c>
    </row>
    <row r="3814">
      <c r="C3814" s="74">
        <v>46231.96086684028</v>
      </c>
      <c r="D3814" s="2" t="s">
        <v>628</v>
      </c>
      <c r="F3814" s="2" t="s">
        <v>2575</v>
      </c>
      <c r="G3814" s="72">
        <v>3.30919033E8</v>
      </c>
    </row>
    <row r="3815">
      <c r="B3815" s="72">
        <v>8.3169903E7</v>
      </c>
      <c r="C3815" s="74">
        <v>46233.66649927083</v>
      </c>
      <c r="D3815" s="2" t="s">
        <v>653</v>
      </c>
      <c r="F3815" s="2" t="s">
        <v>3214</v>
      </c>
      <c r="G3815" s="72">
        <v>3.31988422E8</v>
      </c>
    </row>
    <row r="3816">
      <c r="C3816" s="74">
        <v>46212.96019854167</v>
      </c>
      <c r="D3816" s="2" t="s">
        <v>628</v>
      </c>
      <c r="F3816" s="2" t="s">
        <v>2240</v>
      </c>
      <c r="G3816" s="72">
        <v>3.1765855E8</v>
      </c>
    </row>
    <row r="3817">
      <c r="B3817" s="72">
        <v>8.1465316E7</v>
      </c>
      <c r="C3817" s="74">
        <v>46223.3866853588</v>
      </c>
      <c r="D3817" s="2" t="s">
        <v>653</v>
      </c>
      <c r="F3817" s="2" t="s">
        <v>3215</v>
      </c>
      <c r="G3817" s="72">
        <v>3.24843871E8</v>
      </c>
    </row>
    <row r="3818">
      <c r="C3818" s="74">
        <v>46217.75306452546</v>
      </c>
      <c r="D3818" s="2" t="s">
        <v>628</v>
      </c>
      <c r="F3818" s="2" t="s">
        <v>3216</v>
      </c>
      <c r="G3818" s="72">
        <v>3.20926186E8</v>
      </c>
    </row>
    <row r="3819">
      <c r="B3819" s="72">
        <v>8.1706482E7</v>
      </c>
      <c r="C3819" s="74">
        <v>46228.67502725695</v>
      </c>
      <c r="D3819" s="2" t="s">
        <v>653</v>
      </c>
      <c r="F3819" s="2" t="s">
        <v>3005</v>
      </c>
      <c r="G3819" s="72">
        <v>3.28582401E8</v>
      </c>
    </row>
    <row r="3820">
      <c r="B3820" s="72">
        <v>8.1840382E7</v>
      </c>
      <c r="C3820" s="74">
        <v>46230.467661400464</v>
      </c>
      <c r="D3820" s="2" t="s">
        <v>653</v>
      </c>
      <c r="F3820" s="2" t="s">
        <v>3217</v>
      </c>
      <c r="G3820" s="72">
        <v>3.29784562E8</v>
      </c>
    </row>
    <row r="3821">
      <c r="B3821" s="72">
        <v>8.2822757E7</v>
      </c>
      <c r="C3821" s="74">
        <v>46231.71619245371</v>
      </c>
      <c r="D3821" s="2" t="s">
        <v>667</v>
      </c>
      <c r="E3821" s="2" t="s">
        <v>886</v>
      </c>
      <c r="F3821" s="2" t="s">
        <v>3218</v>
      </c>
      <c r="G3821" s="72">
        <v>3.30696889E8</v>
      </c>
    </row>
    <row r="3822">
      <c r="C3822" s="74">
        <v>46225.543592835646</v>
      </c>
      <c r="D3822" s="2" t="s">
        <v>628</v>
      </c>
      <c r="F3822" s="2" t="s">
        <v>630</v>
      </c>
      <c r="G3822" s="72">
        <v>3.26225485E8</v>
      </c>
    </row>
    <row r="3823">
      <c r="B3823" s="72">
        <v>8.163477E7</v>
      </c>
      <c r="C3823" s="74">
        <v>46226.54426055556</v>
      </c>
      <c r="D3823" s="2" t="s">
        <v>628</v>
      </c>
      <c r="F3823" s="2" t="s">
        <v>630</v>
      </c>
      <c r="G3823" s="72">
        <v>3.26897717E8</v>
      </c>
    </row>
    <row r="3824">
      <c r="B3824" s="72">
        <v>8.2544936E7</v>
      </c>
      <c r="C3824" s="74">
        <v>46231.54241787037</v>
      </c>
      <c r="D3824" s="2" t="s">
        <v>628</v>
      </c>
      <c r="F3824" s="2" t="s">
        <v>630</v>
      </c>
      <c r="G3824" s="72">
        <v>3.30506645E8</v>
      </c>
    </row>
    <row r="3825">
      <c r="C3825" s="74">
        <v>46205.75233386574</v>
      </c>
      <c r="D3825" s="2" t="s">
        <v>628</v>
      </c>
      <c r="F3825" s="2" t="s">
        <v>3219</v>
      </c>
      <c r="G3825" s="72">
        <v>3.12827039E8</v>
      </c>
    </row>
    <row r="3826">
      <c r="B3826" s="72">
        <v>8.2369107E7</v>
      </c>
      <c r="C3826" s="74">
        <v>46229.58812215278</v>
      </c>
      <c r="D3826" s="2" t="s">
        <v>653</v>
      </c>
      <c r="F3826" s="2" t="s">
        <v>3181</v>
      </c>
      <c r="G3826" s="72">
        <v>3.29299503E8</v>
      </c>
    </row>
    <row r="3827">
      <c r="B3827" s="72">
        <v>8.1840382E7</v>
      </c>
      <c r="C3827" s="74">
        <v>46225.75468528935</v>
      </c>
      <c r="D3827" s="2" t="s">
        <v>705</v>
      </c>
      <c r="F3827" s="2" t="s">
        <v>756</v>
      </c>
      <c r="G3827" s="72">
        <v>3.26445928E8</v>
      </c>
    </row>
    <row r="3828">
      <c r="B3828" s="72">
        <v>8.1153322E7</v>
      </c>
      <c r="C3828" s="74">
        <v>46221.45772575232</v>
      </c>
      <c r="D3828" s="2" t="s">
        <v>653</v>
      </c>
      <c r="F3828" s="2" t="s">
        <v>3220</v>
      </c>
      <c r="G3828" s="72">
        <v>3.23409927E8</v>
      </c>
    </row>
    <row r="3829">
      <c r="B3829" s="72">
        <v>8.1385145E7</v>
      </c>
      <c r="C3829" s="74">
        <v>46224.56118222223</v>
      </c>
      <c r="D3829" s="2" t="s">
        <v>653</v>
      </c>
      <c r="F3829" s="2" t="s">
        <v>3221</v>
      </c>
      <c r="G3829" s="72">
        <v>3.25632688E8</v>
      </c>
    </row>
    <row r="3830">
      <c r="B3830" s="72">
        <v>7.812564E7</v>
      </c>
      <c r="C3830" s="74">
        <v>46204.50041501157</v>
      </c>
      <c r="D3830" s="2" t="s">
        <v>705</v>
      </c>
      <c r="F3830" s="2" t="s">
        <v>2914</v>
      </c>
      <c r="G3830" s="72">
        <v>3.11938691E8</v>
      </c>
    </row>
    <row r="3831">
      <c r="B3831" s="72">
        <v>8.1322454E7</v>
      </c>
      <c r="C3831" s="74">
        <v>46222.419163576385</v>
      </c>
      <c r="D3831" s="2" t="s">
        <v>653</v>
      </c>
      <c r="F3831" s="2" t="s">
        <v>3222</v>
      </c>
      <c r="G3831" s="72">
        <v>3.24148303E8</v>
      </c>
    </row>
    <row r="3832">
      <c r="C3832" s="74">
        <v>46209.75107449074</v>
      </c>
      <c r="D3832" s="2" t="s">
        <v>628</v>
      </c>
      <c r="F3832" s="2" t="s">
        <v>1186</v>
      </c>
      <c r="G3832" s="72">
        <v>3.15581805E8</v>
      </c>
    </row>
    <row r="3833">
      <c r="B3833" s="72">
        <v>8.1036622E7</v>
      </c>
      <c r="C3833" s="74">
        <v>46220.81090098379</v>
      </c>
      <c r="D3833" s="2" t="s">
        <v>653</v>
      </c>
      <c r="F3833" s="2" t="s">
        <v>3052</v>
      </c>
      <c r="G3833" s="72">
        <v>3.23079783E8</v>
      </c>
    </row>
    <row r="3834">
      <c r="C3834" s="74">
        <v>46209.960825902774</v>
      </c>
      <c r="D3834" s="2" t="s">
        <v>628</v>
      </c>
      <c r="F3834" s="2" t="s">
        <v>3223</v>
      </c>
      <c r="G3834" s="72">
        <v>3.15781271E8</v>
      </c>
    </row>
    <row r="3835">
      <c r="B3835" s="72">
        <v>8.0853683E7</v>
      </c>
      <c r="C3835" s="74">
        <v>46219.794524490746</v>
      </c>
      <c r="D3835" s="2" t="s">
        <v>705</v>
      </c>
      <c r="F3835" s="2" t="s">
        <v>3224</v>
      </c>
      <c r="G3835" s="72">
        <v>3.22307027E8</v>
      </c>
    </row>
    <row r="3836">
      <c r="C3836" s="74">
        <v>46210.95975472222</v>
      </c>
      <c r="D3836" s="2" t="s">
        <v>628</v>
      </c>
      <c r="F3836" s="2" t="s">
        <v>3225</v>
      </c>
      <c r="G3836" s="72">
        <v>3.16367277E8</v>
      </c>
    </row>
    <row r="3837">
      <c r="C3837" s="74">
        <v>46232.75239172454</v>
      </c>
      <c r="D3837" s="2" t="s">
        <v>628</v>
      </c>
      <c r="F3837" s="2" t="s">
        <v>3226</v>
      </c>
      <c r="G3837" s="72">
        <v>3.31381151E8</v>
      </c>
    </row>
    <row r="3838">
      <c r="C3838" s="74">
        <v>46212.75576767361</v>
      </c>
      <c r="D3838" s="2" t="s">
        <v>628</v>
      </c>
      <c r="F3838" s="2" t="s">
        <v>3227</v>
      </c>
      <c r="G3838" s="72">
        <v>3.17455835E8</v>
      </c>
    </row>
    <row r="3839">
      <c r="B3839" s="72">
        <v>8.1214574E7</v>
      </c>
      <c r="C3839" s="74">
        <v>46221.75598170139</v>
      </c>
      <c r="D3839" s="2" t="s">
        <v>705</v>
      </c>
      <c r="F3839" s="2" t="s">
        <v>3228</v>
      </c>
      <c r="G3839" s="72">
        <v>3.2378621E8</v>
      </c>
    </row>
    <row r="3840">
      <c r="B3840" s="72">
        <v>8.1465518E7</v>
      </c>
      <c r="C3840" s="74">
        <v>46223.386656365736</v>
      </c>
      <c r="D3840" s="2" t="s">
        <v>653</v>
      </c>
      <c r="F3840" s="2" t="s">
        <v>1584</v>
      </c>
      <c r="G3840" s="72">
        <v>3.2484387E8</v>
      </c>
    </row>
    <row r="3841">
      <c r="B3841" s="72">
        <v>8.1036535E7</v>
      </c>
      <c r="C3841" s="74">
        <v>46220.75629118056</v>
      </c>
      <c r="D3841" s="2" t="s">
        <v>705</v>
      </c>
      <c r="F3841" s="2" t="s">
        <v>1277</v>
      </c>
      <c r="G3841" s="72">
        <v>3.23017055E8</v>
      </c>
    </row>
    <row r="3842">
      <c r="B3842" s="72">
        <v>8.1535557E7</v>
      </c>
      <c r="C3842" s="74">
        <v>46228.058282881946</v>
      </c>
      <c r="D3842" s="2" t="s">
        <v>705</v>
      </c>
      <c r="F3842" s="2" t="s">
        <v>3229</v>
      </c>
      <c r="G3842" s="72">
        <v>3.28204878E8</v>
      </c>
    </row>
    <row r="3843">
      <c r="B3843" s="72">
        <v>8.1465518E7</v>
      </c>
      <c r="C3843" s="74">
        <v>46223.386645844905</v>
      </c>
      <c r="D3843" s="2" t="s">
        <v>705</v>
      </c>
      <c r="F3843" s="2" t="s">
        <v>1398</v>
      </c>
      <c r="G3843" s="72">
        <v>3.24843869E8</v>
      </c>
    </row>
    <row r="3844">
      <c r="B3844" s="72">
        <v>7.812564E7</v>
      </c>
      <c r="C3844" s="74">
        <v>46227.476409270836</v>
      </c>
      <c r="D3844" s="2" t="s">
        <v>705</v>
      </c>
      <c r="F3844" s="2" t="s">
        <v>2912</v>
      </c>
      <c r="G3844" s="72">
        <v>3.27541081E8</v>
      </c>
    </row>
    <row r="3845">
      <c r="B3845" s="72">
        <v>8.0652082E7</v>
      </c>
      <c r="C3845" s="74">
        <v>46218.65811962963</v>
      </c>
      <c r="D3845" s="2" t="s">
        <v>653</v>
      </c>
      <c r="F3845" s="2" t="s">
        <v>1877</v>
      </c>
      <c r="G3845" s="72">
        <v>3.21483748E8</v>
      </c>
    </row>
    <row r="3846">
      <c r="C3846" s="74">
        <v>46231.54278778935</v>
      </c>
      <c r="D3846" s="2" t="s">
        <v>628</v>
      </c>
      <c r="F3846" s="2" t="s">
        <v>630</v>
      </c>
      <c r="G3846" s="72">
        <v>3.30509695E8</v>
      </c>
    </row>
    <row r="3847">
      <c r="B3847" s="72">
        <v>8.1153312E7</v>
      </c>
      <c r="C3847" s="74">
        <v>46221.45735226852</v>
      </c>
      <c r="D3847" s="2" t="s">
        <v>653</v>
      </c>
      <c r="F3847" s="2" t="s">
        <v>3230</v>
      </c>
      <c r="G3847" s="72">
        <v>3.23409838E8</v>
      </c>
    </row>
    <row r="3848">
      <c r="B3848" s="72">
        <v>8.2345197E7</v>
      </c>
      <c r="C3848" s="74">
        <v>46232.553157789356</v>
      </c>
      <c r="D3848" s="2" t="s">
        <v>653</v>
      </c>
      <c r="F3848" s="2" t="s">
        <v>3231</v>
      </c>
      <c r="G3848" s="72">
        <v>3.31202525E8</v>
      </c>
    </row>
    <row r="3849">
      <c r="B3849" s="72">
        <v>8.1385145E7</v>
      </c>
      <c r="C3849" s="74">
        <v>46223.67547512731</v>
      </c>
      <c r="D3849" s="2" t="s">
        <v>653</v>
      </c>
      <c r="F3849" s="2" t="s">
        <v>3042</v>
      </c>
      <c r="G3849" s="72">
        <v>3.25118677E8</v>
      </c>
    </row>
    <row r="3850">
      <c r="B3850" s="72">
        <v>8.0917587E7</v>
      </c>
      <c r="C3850" s="74">
        <v>46232.020298564814</v>
      </c>
      <c r="D3850" s="2" t="s">
        <v>653</v>
      </c>
      <c r="F3850" s="2" t="s">
        <v>3061</v>
      </c>
      <c r="G3850" s="72">
        <v>3.30964417E8</v>
      </c>
    </row>
    <row r="3851">
      <c r="C3851" s="74">
        <v>46223.751237268516</v>
      </c>
      <c r="D3851" s="2" t="s">
        <v>628</v>
      </c>
      <c r="F3851" s="2" t="s">
        <v>3232</v>
      </c>
      <c r="G3851" s="72">
        <v>3.25163266E8</v>
      </c>
    </row>
    <row r="3852">
      <c r="C3852" s="74">
        <v>46232.96110163194</v>
      </c>
      <c r="D3852" s="2" t="s">
        <v>628</v>
      </c>
      <c r="F3852" s="2" t="s">
        <v>3233</v>
      </c>
      <c r="G3852" s="72">
        <v>3.31587873E8</v>
      </c>
    </row>
    <row r="3853">
      <c r="B3853" s="72">
        <v>8.0927441E7</v>
      </c>
      <c r="C3853" s="74">
        <v>46219.977036006945</v>
      </c>
      <c r="D3853" s="2" t="s">
        <v>653</v>
      </c>
      <c r="F3853" s="2" t="s">
        <v>753</v>
      </c>
      <c r="G3853" s="72">
        <v>3.22492469E8</v>
      </c>
    </row>
    <row r="3854">
      <c r="B3854" s="72">
        <v>8.1697799E7</v>
      </c>
      <c r="C3854" s="74">
        <v>46225.06560814814</v>
      </c>
      <c r="D3854" s="2" t="s">
        <v>705</v>
      </c>
      <c r="F3854" s="2" t="s">
        <v>3234</v>
      </c>
      <c r="G3854" s="72">
        <v>3.26062436E8</v>
      </c>
    </row>
    <row r="3855">
      <c r="B3855" s="72">
        <v>8.1490702E7</v>
      </c>
      <c r="C3855" s="74">
        <v>46225.971625439815</v>
      </c>
      <c r="D3855" s="2" t="s">
        <v>705</v>
      </c>
      <c r="F3855" s="2" t="s">
        <v>2220</v>
      </c>
      <c r="G3855" s="72">
        <v>3.26643793E8</v>
      </c>
    </row>
    <row r="3856">
      <c r="C3856" s="74">
        <v>46207.96032775463</v>
      </c>
      <c r="D3856" s="2" t="s">
        <v>628</v>
      </c>
      <c r="F3856" s="2" t="s">
        <v>1960</v>
      </c>
      <c r="G3856" s="72">
        <v>3.14481851E8</v>
      </c>
    </row>
    <row r="3857">
      <c r="C3857" s="74">
        <v>46220.95973390046</v>
      </c>
      <c r="D3857" s="2" t="s">
        <v>628</v>
      </c>
      <c r="F3857" s="2" t="s">
        <v>2906</v>
      </c>
      <c r="G3857" s="72">
        <v>3.23242274E8</v>
      </c>
    </row>
    <row r="3858">
      <c r="B3858" s="72">
        <v>8.0652082E7</v>
      </c>
      <c r="C3858" s="74">
        <v>46218.65812982639</v>
      </c>
      <c r="D3858" s="2" t="s">
        <v>653</v>
      </c>
      <c r="F3858" s="2" t="s">
        <v>3235</v>
      </c>
      <c r="G3858" s="72">
        <v>3.21483753E8</v>
      </c>
    </row>
    <row r="3859">
      <c r="C3859" s="74">
        <v>46212.750491875</v>
      </c>
      <c r="D3859" s="2" t="s">
        <v>628</v>
      </c>
      <c r="F3859" s="2" t="s">
        <v>1090</v>
      </c>
      <c r="G3859" s="72">
        <v>3.17425398E8</v>
      </c>
    </row>
    <row r="3860">
      <c r="B3860" s="72">
        <v>7.812564E7</v>
      </c>
      <c r="C3860" s="74">
        <v>46215.89142755787</v>
      </c>
      <c r="D3860" s="2" t="s">
        <v>705</v>
      </c>
      <c r="F3860" s="2" t="s">
        <v>2914</v>
      </c>
      <c r="G3860" s="72">
        <v>3.198047E8</v>
      </c>
    </row>
    <row r="3861">
      <c r="B3861" s="72">
        <v>8.1448216E7</v>
      </c>
      <c r="C3861" s="74">
        <v>46231.54261704861</v>
      </c>
      <c r="D3861" s="2" t="s">
        <v>628</v>
      </c>
      <c r="F3861" s="2" t="s">
        <v>630</v>
      </c>
      <c r="G3861" s="72">
        <v>3.30508132E8</v>
      </c>
    </row>
    <row r="3862">
      <c r="C3862" s="74">
        <v>46208.753439884254</v>
      </c>
      <c r="D3862" s="2" t="s">
        <v>628</v>
      </c>
      <c r="F3862" s="2" t="s">
        <v>924</v>
      </c>
      <c r="G3862" s="72">
        <v>3.15001788E8</v>
      </c>
    </row>
    <row r="3863">
      <c r="C3863" s="74">
        <v>46225.960986342594</v>
      </c>
      <c r="D3863" s="2" t="s">
        <v>628</v>
      </c>
      <c r="F3863" s="2" t="s">
        <v>3236</v>
      </c>
      <c r="G3863" s="72">
        <v>3.26632816E8</v>
      </c>
    </row>
    <row r="3864">
      <c r="B3864" s="72">
        <v>8.1465316E7</v>
      </c>
      <c r="C3864" s="74">
        <v>46224.80278539352</v>
      </c>
      <c r="D3864" s="2" t="s">
        <v>653</v>
      </c>
      <c r="F3864" s="2" t="s">
        <v>3237</v>
      </c>
      <c r="G3864" s="72">
        <v>3.25849734E8</v>
      </c>
    </row>
    <row r="3865">
      <c r="C3865" s="74">
        <v>46219.7521800463</v>
      </c>
      <c r="D3865" s="2" t="s">
        <v>628</v>
      </c>
      <c r="F3865" s="2" t="s">
        <v>2944</v>
      </c>
      <c r="G3865" s="72">
        <v>3.22241355E8</v>
      </c>
    </row>
    <row r="3866">
      <c r="C3866" s="74">
        <v>46207.75189508102</v>
      </c>
      <c r="D3866" s="2" t="s">
        <v>628</v>
      </c>
      <c r="F3866" s="2" t="s">
        <v>1385</v>
      </c>
      <c r="G3866" s="72">
        <v>3.1428476E8</v>
      </c>
    </row>
    <row r="3867">
      <c r="C3867" s="74">
        <v>46208.96014226852</v>
      </c>
      <c r="D3867" s="2" t="s">
        <v>628</v>
      </c>
      <c r="F3867" s="2" t="s">
        <v>3025</v>
      </c>
      <c r="G3867" s="72">
        <v>3.15163744E8</v>
      </c>
    </row>
    <row r="3868">
      <c r="C3868" s="74">
        <v>46229.75369987269</v>
      </c>
      <c r="D3868" s="2" t="s">
        <v>628</v>
      </c>
      <c r="F3868" s="2" t="s">
        <v>3238</v>
      </c>
      <c r="G3868" s="72">
        <v>3.29433731E8</v>
      </c>
    </row>
    <row r="3869">
      <c r="B3869" s="72">
        <v>8.0874965E7</v>
      </c>
      <c r="C3869" s="74">
        <v>46219.8065778125</v>
      </c>
      <c r="D3869" s="2" t="s">
        <v>653</v>
      </c>
      <c r="F3869" s="2" t="s">
        <v>3031</v>
      </c>
      <c r="G3869" s="72">
        <v>3.22327843E8</v>
      </c>
    </row>
    <row r="3870">
      <c r="B3870" s="72">
        <v>8.0744718E7</v>
      </c>
      <c r="C3870" s="74">
        <v>46218.98142416667</v>
      </c>
      <c r="D3870" s="2" t="s">
        <v>653</v>
      </c>
      <c r="F3870" s="2" t="s">
        <v>3239</v>
      </c>
      <c r="G3870" s="72">
        <v>3.21788711E8</v>
      </c>
    </row>
    <row r="3871">
      <c r="C3871" s="74">
        <v>46224.54446365741</v>
      </c>
      <c r="D3871" s="2" t="s">
        <v>628</v>
      </c>
      <c r="F3871" s="2" t="s">
        <v>630</v>
      </c>
      <c r="G3871" s="72">
        <v>3.25614609E8</v>
      </c>
    </row>
    <row r="3872">
      <c r="C3872" s="74">
        <v>46214.96023607639</v>
      </c>
      <c r="D3872" s="2" t="s">
        <v>628</v>
      </c>
      <c r="F3872" s="2" t="s">
        <v>3240</v>
      </c>
      <c r="G3872" s="72">
        <v>3.19134068E8</v>
      </c>
    </row>
    <row r="3873">
      <c r="B3873" s="72">
        <v>8.1220996E7</v>
      </c>
      <c r="C3873" s="74">
        <v>46225.45796716435</v>
      </c>
      <c r="D3873" s="2" t="s">
        <v>653</v>
      </c>
      <c r="F3873" s="2" t="s">
        <v>3241</v>
      </c>
      <c r="G3873" s="72">
        <v>3.2612151E8</v>
      </c>
    </row>
    <row r="3874">
      <c r="C3874" s="74">
        <v>46207.75164341435</v>
      </c>
      <c r="D3874" s="2" t="s">
        <v>628</v>
      </c>
      <c r="F3874" s="2" t="s">
        <v>2417</v>
      </c>
      <c r="G3874" s="72">
        <v>3.14282688E8</v>
      </c>
    </row>
    <row r="3875">
      <c r="B3875" s="72">
        <v>8.1153322E7</v>
      </c>
      <c r="C3875" s="74">
        <v>46221.45773126157</v>
      </c>
      <c r="D3875" s="2" t="s">
        <v>653</v>
      </c>
      <c r="F3875" s="2" t="s">
        <v>3242</v>
      </c>
      <c r="G3875" s="72">
        <v>3.23409931E8</v>
      </c>
    </row>
    <row r="3876">
      <c r="C3876" s="74">
        <v>46231.544932812496</v>
      </c>
      <c r="D3876" s="2" t="s">
        <v>628</v>
      </c>
      <c r="F3876" s="2" t="s">
        <v>630</v>
      </c>
      <c r="G3876" s="72">
        <v>3.30537936E8</v>
      </c>
    </row>
    <row r="3877">
      <c r="B3877" s="72">
        <v>8.1385145E7</v>
      </c>
      <c r="C3877" s="74">
        <v>46223.67547858796</v>
      </c>
      <c r="D3877" s="2" t="s">
        <v>653</v>
      </c>
      <c r="F3877" s="2" t="s">
        <v>3042</v>
      </c>
      <c r="G3877" s="72">
        <v>3.25118679E8</v>
      </c>
    </row>
    <row r="3878">
      <c r="C3878" s="74">
        <v>46204.95982341435</v>
      </c>
      <c r="D3878" s="2" t="s">
        <v>628</v>
      </c>
      <c r="F3878" s="2" t="s">
        <v>3243</v>
      </c>
      <c r="G3878" s="72">
        <v>3.12380238E8</v>
      </c>
    </row>
    <row r="3879">
      <c r="B3879" s="72">
        <v>8.3229564E7</v>
      </c>
      <c r="C3879" s="74">
        <v>46234.4622158912</v>
      </c>
      <c r="D3879" s="2" t="s">
        <v>653</v>
      </c>
      <c r="F3879" s="2" t="s">
        <v>753</v>
      </c>
      <c r="G3879" s="72">
        <v>3.32504309E8</v>
      </c>
    </row>
    <row r="3880">
      <c r="C3880" s="74">
        <v>46207.752583587964</v>
      </c>
      <c r="D3880" s="2" t="s">
        <v>628</v>
      </c>
      <c r="F3880" s="2" t="s">
        <v>3244</v>
      </c>
      <c r="G3880" s="72">
        <v>3.14291277E8</v>
      </c>
    </row>
    <row r="3881">
      <c r="B3881" s="72">
        <v>8.3045193E7</v>
      </c>
      <c r="C3881" s="74">
        <v>46232.815793437505</v>
      </c>
      <c r="D3881" s="2" t="s">
        <v>705</v>
      </c>
      <c r="F3881" s="2" t="s">
        <v>3245</v>
      </c>
      <c r="G3881" s="72">
        <v>3.31452757E8</v>
      </c>
    </row>
    <row r="3882">
      <c r="C3882" s="74">
        <v>46222.751327129634</v>
      </c>
      <c r="D3882" s="2" t="s">
        <v>628</v>
      </c>
      <c r="F3882" s="2" t="s">
        <v>3246</v>
      </c>
      <c r="G3882" s="72">
        <v>3.24535945E8</v>
      </c>
    </row>
    <row r="3883">
      <c r="C3883" s="74">
        <v>46211.75185207176</v>
      </c>
      <c r="D3883" s="2" t="s">
        <v>628</v>
      </c>
      <c r="F3883" s="2" t="s">
        <v>3247</v>
      </c>
      <c r="G3883" s="72">
        <v>3.16789113E8</v>
      </c>
    </row>
    <row r="3884">
      <c r="B3884" s="72">
        <v>8.341174E7</v>
      </c>
      <c r="C3884" s="74">
        <v>46234.802759004626</v>
      </c>
      <c r="D3884" s="2" t="s">
        <v>653</v>
      </c>
      <c r="F3884" s="2" t="s">
        <v>3248</v>
      </c>
      <c r="G3884" s="72">
        <v>3.3292266E8</v>
      </c>
    </row>
    <row r="3885">
      <c r="B3885" s="72">
        <v>8.1684434E7</v>
      </c>
      <c r="C3885" s="74">
        <v>46227.548921875</v>
      </c>
      <c r="D3885" s="2" t="s">
        <v>653</v>
      </c>
      <c r="F3885" s="2" t="s">
        <v>3249</v>
      </c>
      <c r="G3885" s="72">
        <v>3.27663933E8</v>
      </c>
    </row>
    <row r="3886">
      <c r="B3886" s="72">
        <v>7.812564E7</v>
      </c>
      <c r="C3886" s="74">
        <v>46206.98152328704</v>
      </c>
      <c r="D3886" s="2" t="s">
        <v>705</v>
      </c>
      <c r="F3886" s="2" t="s">
        <v>2912</v>
      </c>
      <c r="G3886" s="72">
        <v>3.13820993E8</v>
      </c>
    </row>
    <row r="3887">
      <c r="B3887" s="72">
        <v>8.1859629E7</v>
      </c>
      <c r="C3887" s="74">
        <v>46225.82493478009</v>
      </c>
      <c r="D3887" s="2" t="s">
        <v>705</v>
      </c>
      <c r="F3887" s="2" t="s">
        <v>1392</v>
      </c>
      <c r="G3887" s="72">
        <v>3.26505679E8</v>
      </c>
    </row>
    <row r="3888">
      <c r="C3888" s="74">
        <v>46222.753223437496</v>
      </c>
      <c r="D3888" s="2" t="s">
        <v>628</v>
      </c>
      <c r="F3888" s="2" t="s">
        <v>3250</v>
      </c>
      <c r="G3888" s="72">
        <v>3.24549794E8</v>
      </c>
    </row>
    <row r="3889">
      <c r="B3889" s="72">
        <v>8.1949547E7</v>
      </c>
      <c r="C3889" s="74">
        <v>46226.737325740745</v>
      </c>
      <c r="D3889" s="2" t="s">
        <v>667</v>
      </c>
      <c r="E3889" s="2" t="s">
        <v>829</v>
      </c>
      <c r="F3889" s="2" t="s">
        <v>3251</v>
      </c>
      <c r="G3889" s="72">
        <v>3.270871E8</v>
      </c>
    </row>
    <row r="3890">
      <c r="B3890" s="72">
        <v>8.115331E7</v>
      </c>
      <c r="C3890" s="74">
        <v>46221.45732346065</v>
      </c>
      <c r="D3890" s="2" t="s">
        <v>653</v>
      </c>
      <c r="F3890" s="2" t="s">
        <v>3252</v>
      </c>
      <c r="G3890" s="72">
        <v>3.23409829E8</v>
      </c>
    </row>
    <row r="3891">
      <c r="B3891" s="72">
        <v>8.1713735E7</v>
      </c>
      <c r="C3891" s="74">
        <v>46227.96121702546</v>
      </c>
      <c r="D3891" s="2" t="s">
        <v>628</v>
      </c>
      <c r="F3891" s="2" t="s">
        <v>1998</v>
      </c>
      <c r="G3891" s="72">
        <v>3.28120425E8</v>
      </c>
    </row>
    <row r="3892">
      <c r="B3892" s="72">
        <v>8.0830208E7</v>
      </c>
      <c r="C3892" s="74">
        <v>46230.84304912037</v>
      </c>
      <c r="D3892" s="2" t="s">
        <v>705</v>
      </c>
      <c r="F3892" s="2" t="s">
        <v>3253</v>
      </c>
      <c r="G3892" s="72">
        <v>3.30158472E8</v>
      </c>
    </row>
    <row r="3893">
      <c r="C3893" s="74">
        <v>46232.753566851854</v>
      </c>
      <c r="D3893" s="2" t="s">
        <v>628</v>
      </c>
      <c r="F3893" s="2" t="s">
        <v>1535</v>
      </c>
      <c r="G3893" s="72">
        <v>3.31386303E8</v>
      </c>
    </row>
    <row r="3894">
      <c r="C3894" s="74">
        <v>46231.54409790509</v>
      </c>
      <c r="D3894" s="2" t="s">
        <v>628</v>
      </c>
      <c r="F3894" s="2" t="s">
        <v>630</v>
      </c>
      <c r="G3894" s="72">
        <v>3.30523927E8</v>
      </c>
    </row>
    <row r="3895">
      <c r="C3895" s="74">
        <v>46208.960607650464</v>
      </c>
      <c r="D3895" s="2" t="s">
        <v>628</v>
      </c>
      <c r="F3895" s="2" t="s">
        <v>3254</v>
      </c>
      <c r="G3895" s="72">
        <v>3.15165983E8</v>
      </c>
    </row>
    <row r="3896">
      <c r="C3896" s="74">
        <v>46227.96194355324</v>
      </c>
      <c r="D3896" s="2" t="s">
        <v>628</v>
      </c>
      <c r="F3896" s="2" t="s">
        <v>3165</v>
      </c>
      <c r="G3896" s="72">
        <v>3.28122995E8</v>
      </c>
    </row>
    <row r="3897">
      <c r="C3897" s="74">
        <v>46222.959934328705</v>
      </c>
      <c r="D3897" s="2" t="s">
        <v>628</v>
      </c>
      <c r="F3897" s="2" t="s">
        <v>1375</v>
      </c>
      <c r="G3897" s="72">
        <v>3.24723373E8</v>
      </c>
    </row>
    <row r="3898">
      <c r="B3898" s="72">
        <v>8.0739765E7</v>
      </c>
      <c r="C3898" s="74">
        <v>46218.96121886574</v>
      </c>
      <c r="D3898" s="2" t="s">
        <v>653</v>
      </c>
      <c r="F3898" s="2" t="s">
        <v>2942</v>
      </c>
      <c r="G3898" s="72">
        <v>3.2177291E8</v>
      </c>
    </row>
    <row r="3899">
      <c r="B3899" s="72">
        <v>8.1385148E7</v>
      </c>
      <c r="C3899" s="74">
        <v>46222.76304666667</v>
      </c>
      <c r="D3899" s="2" t="s">
        <v>653</v>
      </c>
      <c r="F3899" s="2" t="s">
        <v>3255</v>
      </c>
      <c r="G3899" s="72">
        <v>3.24558584E8</v>
      </c>
    </row>
    <row r="3900">
      <c r="B3900" s="72">
        <v>8.3396911E7</v>
      </c>
      <c r="C3900" s="74">
        <v>46234.80290164352</v>
      </c>
      <c r="D3900" s="2" t="s">
        <v>653</v>
      </c>
      <c r="F3900" s="2" t="s">
        <v>2969</v>
      </c>
      <c r="G3900" s="72">
        <v>3.329228E8</v>
      </c>
    </row>
    <row r="3901">
      <c r="B3901" s="72">
        <v>7.812564E7</v>
      </c>
      <c r="C3901" s="74">
        <v>46204.49896644676</v>
      </c>
      <c r="D3901" s="2" t="s">
        <v>705</v>
      </c>
      <c r="F3901" s="2" t="s">
        <v>2912</v>
      </c>
      <c r="G3901" s="72">
        <v>3.11938165E8</v>
      </c>
    </row>
    <row r="3902">
      <c r="C3902" s="74">
        <v>46233.75325403935</v>
      </c>
      <c r="D3902" s="2" t="s">
        <v>628</v>
      </c>
      <c r="F3902" s="2" t="s">
        <v>2692</v>
      </c>
      <c r="G3902" s="72">
        <v>3.32077852E8</v>
      </c>
    </row>
    <row r="3903">
      <c r="C3903" s="74">
        <v>46221.008478275464</v>
      </c>
      <c r="D3903" s="2" t="s">
        <v>628</v>
      </c>
      <c r="F3903" s="2" t="s">
        <v>3256</v>
      </c>
      <c r="G3903" s="72">
        <v>3.23291848E8</v>
      </c>
    </row>
    <row r="3904">
      <c r="C3904" s="74">
        <v>46209.752920983796</v>
      </c>
      <c r="D3904" s="2" t="s">
        <v>628</v>
      </c>
      <c r="F3904" s="2" t="s">
        <v>665</v>
      </c>
      <c r="G3904" s="72">
        <v>3.15589504E8</v>
      </c>
    </row>
    <row r="3905">
      <c r="C3905" s="74">
        <v>46215.959696446764</v>
      </c>
      <c r="D3905" s="2" t="s">
        <v>628</v>
      </c>
      <c r="F3905" s="2" t="s">
        <v>3257</v>
      </c>
      <c r="G3905" s="72">
        <v>3.19857093E8</v>
      </c>
    </row>
    <row r="3906">
      <c r="B3906" s="72">
        <v>8.3229564E7</v>
      </c>
      <c r="C3906" s="74">
        <v>46234.46221952546</v>
      </c>
      <c r="D3906" s="2" t="s">
        <v>653</v>
      </c>
      <c r="F3906" s="2" t="s">
        <v>3258</v>
      </c>
      <c r="G3906" s="72">
        <v>3.32504361E8</v>
      </c>
    </row>
    <row r="3907">
      <c r="C3907" s="74">
        <v>46207.75102732639</v>
      </c>
      <c r="D3907" s="2" t="s">
        <v>628</v>
      </c>
      <c r="F3907" s="2" t="s">
        <v>3259</v>
      </c>
      <c r="G3907" s="72">
        <v>3.14279679E8</v>
      </c>
    </row>
    <row r="3908">
      <c r="C3908" s="74">
        <v>46233.75358561343</v>
      </c>
      <c r="D3908" s="2" t="s">
        <v>628</v>
      </c>
      <c r="F3908" s="2" t="s">
        <v>995</v>
      </c>
      <c r="G3908" s="72">
        <v>3.32081283E8</v>
      </c>
    </row>
    <row r="3909">
      <c r="C3909" s="74">
        <v>46212.96001086806</v>
      </c>
      <c r="D3909" s="2" t="s">
        <v>628</v>
      </c>
      <c r="F3909" s="2" t="s">
        <v>666</v>
      </c>
      <c r="G3909" s="72">
        <v>3.17657704E8</v>
      </c>
    </row>
    <row r="3910">
      <c r="B3910" s="72">
        <v>7.812564E7</v>
      </c>
      <c r="C3910" s="74">
        <v>46206.98115361111</v>
      </c>
      <c r="D3910" s="2" t="s">
        <v>705</v>
      </c>
      <c r="F3910" s="2" t="s">
        <v>3260</v>
      </c>
      <c r="G3910" s="72">
        <v>3.13820671E8</v>
      </c>
    </row>
    <row r="3911">
      <c r="B3911" s="72">
        <v>7.812564E7</v>
      </c>
      <c r="C3911" s="74">
        <v>46226.623514074076</v>
      </c>
      <c r="D3911" s="2" t="s">
        <v>705</v>
      </c>
      <c r="F3911" s="2" t="s">
        <v>2914</v>
      </c>
      <c r="G3911" s="72">
        <v>3.26990506E8</v>
      </c>
    </row>
    <row r="3912">
      <c r="B3912" s="72">
        <v>8.1237124E7</v>
      </c>
      <c r="C3912" s="74">
        <v>46223.25925446759</v>
      </c>
      <c r="D3912" s="2" t="s">
        <v>667</v>
      </c>
      <c r="E3912" s="2" t="s">
        <v>1332</v>
      </c>
      <c r="F3912" s="2" t="s">
        <v>3261</v>
      </c>
      <c r="G3912" s="72">
        <v>3.24835083E8</v>
      </c>
    </row>
    <row r="3913">
      <c r="C3913" s="74">
        <v>46230.75219342593</v>
      </c>
      <c r="D3913" s="2" t="s">
        <v>628</v>
      </c>
      <c r="F3913" s="2" t="s">
        <v>1181</v>
      </c>
      <c r="G3913" s="72">
        <v>3.30062431E8</v>
      </c>
    </row>
    <row r="3914">
      <c r="B3914" s="72">
        <v>8.1036535E7</v>
      </c>
      <c r="C3914" s="74">
        <v>46221.67305038194</v>
      </c>
      <c r="D3914" s="2" t="s">
        <v>653</v>
      </c>
      <c r="F3914" s="2" t="s">
        <v>1397</v>
      </c>
      <c r="G3914" s="72">
        <v>3.23706188E8</v>
      </c>
    </row>
    <row r="3915">
      <c r="C3915" s="74">
        <v>46212.96173109954</v>
      </c>
      <c r="D3915" s="2" t="s">
        <v>628</v>
      </c>
      <c r="F3915" s="2" t="s">
        <v>2278</v>
      </c>
      <c r="G3915" s="72">
        <v>3.17664118E8</v>
      </c>
    </row>
    <row r="3916">
      <c r="B3916" s="72">
        <v>7.9877773E7</v>
      </c>
      <c r="C3916" s="74">
        <v>46213.75162790509</v>
      </c>
      <c r="D3916" s="2" t="s">
        <v>628</v>
      </c>
      <c r="F3916" s="2" t="s">
        <v>2514</v>
      </c>
      <c r="G3916" s="72">
        <v>3.18167974E8</v>
      </c>
    </row>
    <row r="3917">
      <c r="B3917" s="72">
        <v>8.212071E7</v>
      </c>
      <c r="C3917" s="74">
        <v>46227.44455940972</v>
      </c>
      <c r="D3917" s="2" t="s">
        <v>705</v>
      </c>
      <c r="F3917" s="2" t="s">
        <v>3262</v>
      </c>
      <c r="G3917" s="72">
        <v>3.27490214E8</v>
      </c>
    </row>
    <row r="3918">
      <c r="C3918" s="74">
        <v>46207.960087245374</v>
      </c>
      <c r="D3918" s="2" t="s">
        <v>628</v>
      </c>
      <c r="F3918" s="2" t="s">
        <v>3263</v>
      </c>
      <c r="G3918" s="72">
        <v>3.14479871E8</v>
      </c>
    </row>
    <row r="3919">
      <c r="C3919" s="74">
        <v>46218.75306844908</v>
      </c>
      <c r="D3919" s="2" t="s">
        <v>628</v>
      </c>
      <c r="F3919" s="2" t="s">
        <v>1299</v>
      </c>
      <c r="G3919" s="72">
        <v>3.21575153E8</v>
      </c>
    </row>
    <row r="3920">
      <c r="B3920" s="72">
        <v>8.3045193E7</v>
      </c>
      <c r="C3920" s="74">
        <v>46233.83553671296</v>
      </c>
      <c r="D3920" s="2" t="s">
        <v>705</v>
      </c>
      <c r="F3920" s="2" t="s">
        <v>3264</v>
      </c>
      <c r="G3920" s="72">
        <v>3.32174529E8</v>
      </c>
    </row>
    <row r="3921">
      <c r="B3921" s="72">
        <v>8.0681556E7</v>
      </c>
      <c r="C3921" s="74">
        <v>46218.79365846065</v>
      </c>
      <c r="D3921" s="2" t="s">
        <v>653</v>
      </c>
      <c r="F3921" s="2" t="s">
        <v>3265</v>
      </c>
      <c r="G3921" s="72">
        <v>3.21612296E8</v>
      </c>
    </row>
    <row r="3922">
      <c r="C3922" s="74">
        <v>46205.75243313657</v>
      </c>
      <c r="D3922" s="2" t="s">
        <v>628</v>
      </c>
      <c r="F3922" s="2" t="s">
        <v>3266</v>
      </c>
      <c r="G3922" s="72">
        <v>3.12828434E8</v>
      </c>
    </row>
    <row r="3923">
      <c r="C3923" s="74">
        <v>46233.95986832176</v>
      </c>
      <c r="D3923" s="2" t="s">
        <v>628</v>
      </c>
      <c r="F3923" s="2" t="s">
        <v>3267</v>
      </c>
      <c r="G3923" s="72">
        <v>3.3230274E8</v>
      </c>
    </row>
    <row r="3924">
      <c r="C3924" s="74">
        <v>46204.959733807875</v>
      </c>
      <c r="D3924" s="2" t="s">
        <v>628</v>
      </c>
      <c r="F3924" s="2" t="s">
        <v>3268</v>
      </c>
      <c r="G3924" s="72">
        <v>3.12379969E8</v>
      </c>
    </row>
    <row r="3925">
      <c r="C3925" s="74">
        <v>46213.96103873843</v>
      </c>
      <c r="D3925" s="2" t="s">
        <v>628</v>
      </c>
      <c r="F3925" s="2" t="s">
        <v>3269</v>
      </c>
      <c r="G3925" s="72">
        <v>3.18410111E8</v>
      </c>
    </row>
    <row r="3926">
      <c r="B3926" s="72">
        <v>8.2031778E7</v>
      </c>
      <c r="C3926" s="74">
        <v>46226.984578460644</v>
      </c>
      <c r="D3926" s="2" t="s">
        <v>667</v>
      </c>
      <c r="E3926" s="2" t="s">
        <v>703</v>
      </c>
      <c r="F3926" s="2" t="s">
        <v>3270</v>
      </c>
      <c r="G3926" s="72">
        <v>3.27360523E8</v>
      </c>
    </row>
    <row r="3927">
      <c r="B3927" s="72">
        <v>8.1036547E7</v>
      </c>
      <c r="C3927" s="74">
        <v>46220.811004918985</v>
      </c>
      <c r="D3927" s="2" t="s">
        <v>653</v>
      </c>
      <c r="F3927" s="2" t="s">
        <v>2980</v>
      </c>
      <c r="G3927" s="72">
        <v>3.23079863E8</v>
      </c>
    </row>
    <row r="3928">
      <c r="C3928" s="74">
        <v>46210.95912005787</v>
      </c>
      <c r="D3928" s="2" t="s">
        <v>628</v>
      </c>
      <c r="F3928" s="2" t="s">
        <v>3271</v>
      </c>
      <c r="G3928" s="72">
        <v>3.16365921E8</v>
      </c>
    </row>
    <row r="3929">
      <c r="C3929" s="74">
        <v>46215.958758043984</v>
      </c>
      <c r="D3929" s="2" t="s">
        <v>628</v>
      </c>
      <c r="F3929" s="2" t="s">
        <v>1089</v>
      </c>
      <c r="G3929" s="72">
        <v>3.19855017E8</v>
      </c>
    </row>
    <row r="3930">
      <c r="C3930" s="74">
        <v>46233.54495667824</v>
      </c>
      <c r="D3930" s="2" t="s">
        <v>628</v>
      </c>
      <c r="F3930" s="2" t="s">
        <v>630</v>
      </c>
      <c r="G3930" s="72">
        <v>3.3185651E8</v>
      </c>
    </row>
    <row r="3931">
      <c r="C3931" s="74">
        <v>46204.96143309028</v>
      </c>
      <c r="D3931" s="2" t="s">
        <v>628</v>
      </c>
      <c r="F3931" s="2" t="s">
        <v>2994</v>
      </c>
      <c r="G3931" s="72">
        <v>3.12386203E8</v>
      </c>
    </row>
    <row r="3932">
      <c r="C3932" s="74">
        <v>46233.96172556713</v>
      </c>
      <c r="D3932" s="2" t="s">
        <v>628</v>
      </c>
      <c r="F3932" s="2" t="s">
        <v>2540</v>
      </c>
      <c r="G3932" s="72">
        <v>3.32310501E8</v>
      </c>
    </row>
    <row r="3933">
      <c r="B3933" s="72">
        <v>7.812564E7</v>
      </c>
      <c r="C3933" s="74">
        <v>46214.46227938657</v>
      </c>
      <c r="D3933" s="2" t="s">
        <v>705</v>
      </c>
      <c r="F3933" s="2" t="s">
        <v>2912</v>
      </c>
      <c r="G3933" s="72">
        <v>3.18614296E8</v>
      </c>
    </row>
    <row r="3934">
      <c r="B3934" s="72">
        <v>8.115331E7</v>
      </c>
      <c r="C3934" s="74">
        <v>46221.4573172338</v>
      </c>
      <c r="D3934" s="2" t="s">
        <v>653</v>
      </c>
      <c r="F3934" s="2" t="s">
        <v>3272</v>
      </c>
      <c r="G3934" s="72">
        <v>3.23409827E8</v>
      </c>
    </row>
    <row r="3935">
      <c r="B3935" s="72">
        <v>8.1385144E7</v>
      </c>
      <c r="C3935" s="74">
        <v>46222.76298435185</v>
      </c>
      <c r="D3935" s="2" t="s">
        <v>653</v>
      </c>
      <c r="F3935" s="2" t="s">
        <v>3273</v>
      </c>
      <c r="G3935" s="72">
        <v>3.24558551E8</v>
      </c>
    </row>
    <row r="3936">
      <c r="B3936" s="72">
        <v>8.0739734E7</v>
      </c>
      <c r="C3936" s="74">
        <v>46218.96113981481</v>
      </c>
      <c r="D3936" s="2" t="s">
        <v>705</v>
      </c>
      <c r="F3936" s="2" t="s">
        <v>722</v>
      </c>
      <c r="G3936" s="72">
        <v>3.2177271E8</v>
      </c>
    </row>
    <row r="3937">
      <c r="B3937" s="72">
        <v>8.1490702E7</v>
      </c>
      <c r="C3937" s="74">
        <v>46225.971651458334</v>
      </c>
      <c r="D3937" s="2" t="s">
        <v>653</v>
      </c>
      <c r="F3937" s="2" t="s">
        <v>3071</v>
      </c>
      <c r="G3937" s="72">
        <v>3.26643816E8</v>
      </c>
    </row>
    <row r="3938">
      <c r="B3938" s="72">
        <v>8.1490702E7</v>
      </c>
      <c r="C3938" s="74">
        <v>46225.97164527778</v>
      </c>
      <c r="D3938" s="2" t="s">
        <v>653</v>
      </c>
      <c r="F3938" s="2" t="s">
        <v>3274</v>
      </c>
      <c r="G3938" s="72">
        <v>3.26643809E8</v>
      </c>
    </row>
    <row r="3939">
      <c r="B3939" s="72">
        <v>8.1153322E7</v>
      </c>
      <c r="C3939" s="74">
        <v>46221.45771649305</v>
      </c>
      <c r="D3939" s="2" t="s">
        <v>653</v>
      </c>
      <c r="F3939" s="2" t="s">
        <v>3275</v>
      </c>
      <c r="G3939" s="72">
        <v>3.23409923E8</v>
      </c>
    </row>
    <row r="3940">
      <c r="C3940" s="74">
        <v>46207.75243949074</v>
      </c>
      <c r="D3940" s="2" t="s">
        <v>628</v>
      </c>
      <c r="F3940" s="2" t="s">
        <v>1579</v>
      </c>
      <c r="G3940" s="72">
        <v>3.14290007E8</v>
      </c>
    </row>
    <row r="3941">
      <c r="B3941" s="72">
        <v>8.1840382E7</v>
      </c>
      <c r="C3941" s="74">
        <v>46230.467665185184</v>
      </c>
      <c r="D3941" s="2" t="s">
        <v>653</v>
      </c>
      <c r="F3941" s="2" t="s">
        <v>3276</v>
      </c>
      <c r="G3941" s="72">
        <v>3.29784564E8</v>
      </c>
    </row>
    <row r="3942">
      <c r="B3942" s="72">
        <v>8.2369107E7</v>
      </c>
      <c r="C3942" s="74">
        <v>46228.675258993055</v>
      </c>
      <c r="D3942" s="2" t="s">
        <v>653</v>
      </c>
      <c r="F3942" s="2" t="s">
        <v>3092</v>
      </c>
      <c r="G3942" s="72">
        <v>3.28582571E8</v>
      </c>
    </row>
    <row r="3943">
      <c r="B3943" s="72">
        <v>8.3045193E7</v>
      </c>
      <c r="C3943" s="74">
        <v>46232.83575637732</v>
      </c>
      <c r="D3943" s="2" t="s">
        <v>705</v>
      </c>
      <c r="F3943" s="2" t="s">
        <v>3277</v>
      </c>
      <c r="G3943" s="72">
        <v>3.31471337E8</v>
      </c>
    </row>
    <row r="3944">
      <c r="B3944" s="72">
        <v>8.1385148E7</v>
      </c>
      <c r="C3944" s="74">
        <v>46222.763034398144</v>
      </c>
      <c r="D3944" s="2" t="s">
        <v>653</v>
      </c>
      <c r="F3944" s="2" t="s">
        <v>3092</v>
      </c>
      <c r="G3944" s="72">
        <v>3.24558575E8</v>
      </c>
    </row>
    <row r="3945">
      <c r="C3945" s="74">
        <v>46222.75197262732</v>
      </c>
      <c r="D3945" s="2" t="s">
        <v>628</v>
      </c>
      <c r="F3945" s="2" t="s">
        <v>3278</v>
      </c>
      <c r="G3945" s="72">
        <v>3.24540405E8</v>
      </c>
    </row>
    <row r="3946">
      <c r="B3946" s="72">
        <v>8.1181289E7</v>
      </c>
      <c r="C3946" s="74">
        <v>46222.72811532408</v>
      </c>
      <c r="D3946" s="2" t="s">
        <v>667</v>
      </c>
      <c r="E3946" s="2" t="s">
        <v>703</v>
      </c>
      <c r="F3946" s="2" t="s">
        <v>3279</v>
      </c>
      <c r="G3946" s="72">
        <v>3.24523221E8</v>
      </c>
    </row>
    <row r="3947">
      <c r="C3947" s="74">
        <v>46231.75037206018</v>
      </c>
      <c r="D3947" s="2" t="s">
        <v>628</v>
      </c>
      <c r="F3947" s="2" t="s">
        <v>681</v>
      </c>
      <c r="G3947" s="72">
        <v>3.30714794E8</v>
      </c>
    </row>
    <row r="3948">
      <c r="B3948" s="72">
        <v>7.812564E7</v>
      </c>
      <c r="C3948" s="74">
        <v>46215.218096111115</v>
      </c>
      <c r="D3948" s="2" t="s">
        <v>705</v>
      </c>
      <c r="F3948" s="2" t="s">
        <v>3280</v>
      </c>
      <c r="G3948" s="72">
        <v>3.19265342E8</v>
      </c>
    </row>
    <row r="3949">
      <c r="C3949" s="74">
        <v>46206.752170312495</v>
      </c>
      <c r="D3949" s="2" t="s">
        <v>628</v>
      </c>
      <c r="F3949" s="2" t="s">
        <v>3281</v>
      </c>
      <c r="G3949" s="72">
        <v>3.1356076E8</v>
      </c>
    </row>
    <row r="3950">
      <c r="B3950" s="72">
        <v>8.2369089E7</v>
      </c>
      <c r="C3950" s="74">
        <v>46228.675097071755</v>
      </c>
      <c r="D3950" s="2" t="s">
        <v>653</v>
      </c>
      <c r="F3950" s="2" t="s">
        <v>3282</v>
      </c>
      <c r="G3950" s="72">
        <v>3.28582442E8</v>
      </c>
    </row>
    <row r="3951">
      <c r="B3951" s="72">
        <v>8.2031778E7</v>
      </c>
      <c r="C3951" s="74">
        <v>46226.79714259259</v>
      </c>
      <c r="D3951" s="2" t="s">
        <v>705</v>
      </c>
      <c r="F3951" s="2" t="s">
        <v>3283</v>
      </c>
      <c r="G3951" s="72">
        <v>3.27179828E8</v>
      </c>
    </row>
    <row r="3952">
      <c r="C3952" s="74">
        <v>46207.96119145834</v>
      </c>
      <c r="D3952" s="2" t="s">
        <v>628</v>
      </c>
      <c r="F3952" s="2" t="s">
        <v>3284</v>
      </c>
      <c r="G3952" s="72">
        <v>3.14487134E8</v>
      </c>
    </row>
    <row r="3953">
      <c r="B3953" s="72">
        <v>8.1840392E7</v>
      </c>
      <c r="C3953" s="74">
        <v>46225.7547175</v>
      </c>
      <c r="D3953" s="2" t="s">
        <v>653</v>
      </c>
      <c r="F3953" s="2" t="s">
        <v>3285</v>
      </c>
      <c r="G3953" s="72">
        <v>3.26445959E8</v>
      </c>
    </row>
    <row r="3954">
      <c r="C3954" s="74">
        <v>46231.54506017361</v>
      </c>
      <c r="D3954" s="2" t="s">
        <v>628</v>
      </c>
      <c r="F3954" s="2" t="s">
        <v>630</v>
      </c>
      <c r="G3954" s="72">
        <v>3.30540196E8</v>
      </c>
    </row>
    <row r="3955">
      <c r="B3955" s="72">
        <v>8.0927455E7</v>
      </c>
      <c r="C3955" s="74">
        <v>46219.97710671296</v>
      </c>
      <c r="D3955" s="2" t="s">
        <v>653</v>
      </c>
      <c r="F3955" s="2" t="s">
        <v>753</v>
      </c>
      <c r="G3955" s="72">
        <v>3.22492514E8</v>
      </c>
    </row>
    <row r="3956">
      <c r="B3956" s="72">
        <v>8.1423571E7</v>
      </c>
      <c r="C3956" s="74">
        <v>46222.90755748843</v>
      </c>
      <c r="D3956" s="2" t="s">
        <v>705</v>
      </c>
      <c r="F3956" s="2" t="s">
        <v>3286</v>
      </c>
      <c r="G3956" s="72">
        <v>3.24681792E8</v>
      </c>
    </row>
    <row r="3957">
      <c r="C3957" s="74">
        <v>46216.751047708334</v>
      </c>
      <c r="D3957" s="2" t="s">
        <v>628</v>
      </c>
      <c r="F3957" s="2" t="s">
        <v>2404</v>
      </c>
      <c r="G3957" s="72">
        <v>3.20286249E8</v>
      </c>
    </row>
    <row r="3958">
      <c r="C3958" s="74">
        <v>46224.751479548606</v>
      </c>
      <c r="D3958" s="2" t="s">
        <v>628</v>
      </c>
      <c r="F3958" s="2" t="s">
        <v>3287</v>
      </c>
      <c r="G3958" s="72">
        <v>3.25790044E8</v>
      </c>
    </row>
    <row r="3959">
      <c r="B3959" s="72">
        <v>8.0652077E7</v>
      </c>
      <c r="C3959" s="74">
        <v>46218.98144600695</v>
      </c>
      <c r="D3959" s="2" t="s">
        <v>653</v>
      </c>
      <c r="F3959" s="2" t="s">
        <v>3288</v>
      </c>
      <c r="G3959" s="72">
        <v>3.2178873E8</v>
      </c>
    </row>
    <row r="3960">
      <c r="B3960" s="72">
        <v>8.0830208E7</v>
      </c>
      <c r="C3960" s="74">
        <v>46230.87998846065</v>
      </c>
      <c r="D3960" s="2" t="s">
        <v>705</v>
      </c>
      <c r="F3960" s="2" t="s">
        <v>3289</v>
      </c>
      <c r="G3960" s="72">
        <v>3.30197917E8</v>
      </c>
    </row>
    <row r="3961">
      <c r="C3961" s="74">
        <v>46211.75376365741</v>
      </c>
      <c r="D3961" s="2" t="s">
        <v>628</v>
      </c>
      <c r="F3961" s="2" t="s">
        <v>2404</v>
      </c>
      <c r="G3961" s="72">
        <v>3.16804352E8</v>
      </c>
    </row>
    <row r="3962">
      <c r="B3962" s="72">
        <v>7.812564E7</v>
      </c>
      <c r="C3962" s="74">
        <v>46204.63651273148</v>
      </c>
      <c r="D3962" s="2" t="s">
        <v>705</v>
      </c>
      <c r="F3962" s="2" t="s">
        <v>3260</v>
      </c>
      <c r="G3962" s="72">
        <v>3.12109684E8</v>
      </c>
    </row>
    <row r="3963">
      <c r="C3963" s="74">
        <v>46204.75260923611</v>
      </c>
      <c r="D3963" s="2" t="s">
        <v>628</v>
      </c>
      <c r="F3963" s="2" t="s">
        <v>3290</v>
      </c>
      <c r="G3963" s="72">
        <v>3.12189591E8</v>
      </c>
    </row>
    <row r="3964">
      <c r="B3964" s="72">
        <v>8.1385158E7</v>
      </c>
      <c r="C3964" s="74">
        <v>46223.67546009259</v>
      </c>
      <c r="D3964" s="2" t="s">
        <v>653</v>
      </c>
      <c r="F3964" s="2" t="s">
        <v>3042</v>
      </c>
      <c r="G3964" s="72">
        <v>3.25118674E8</v>
      </c>
    </row>
    <row r="3965">
      <c r="C3965" s="74">
        <v>46218.959685636575</v>
      </c>
      <c r="D3965" s="2" t="s">
        <v>628</v>
      </c>
      <c r="F3965" s="2" t="s">
        <v>892</v>
      </c>
      <c r="G3965" s="72">
        <v>3.21767221E8</v>
      </c>
    </row>
    <row r="3966">
      <c r="C3966" s="74">
        <v>46207.7517653588</v>
      </c>
      <c r="D3966" s="2" t="s">
        <v>628</v>
      </c>
      <c r="F3966" s="2" t="s">
        <v>3291</v>
      </c>
      <c r="G3966" s="72">
        <v>3.1428365E8</v>
      </c>
    </row>
    <row r="3967">
      <c r="C3967" s="74">
        <v>46205.960099675925</v>
      </c>
      <c r="D3967" s="2" t="s">
        <v>628</v>
      </c>
      <c r="F3967" s="2" t="s">
        <v>3292</v>
      </c>
      <c r="G3967" s="72">
        <v>3.13054543E8</v>
      </c>
    </row>
    <row r="3968">
      <c r="B3968" s="72">
        <v>8.1706482E7</v>
      </c>
      <c r="C3968" s="74">
        <v>46228.67501215277</v>
      </c>
      <c r="D3968" s="2" t="s">
        <v>653</v>
      </c>
      <c r="F3968" s="2" t="s">
        <v>3293</v>
      </c>
      <c r="G3968" s="72">
        <v>3.28582393E8</v>
      </c>
    </row>
    <row r="3969">
      <c r="B3969" s="72">
        <v>8.0927458E7</v>
      </c>
      <c r="C3969" s="74">
        <v>46219.97714108796</v>
      </c>
      <c r="D3969" s="2" t="s">
        <v>653</v>
      </c>
      <c r="F3969" s="2" t="s">
        <v>3294</v>
      </c>
      <c r="G3969" s="72">
        <v>3.22492535E8</v>
      </c>
    </row>
    <row r="3970">
      <c r="C3970" s="74">
        <v>46219.75204518519</v>
      </c>
      <c r="D3970" s="2" t="s">
        <v>628</v>
      </c>
      <c r="F3970" s="2" t="s">
        <v>2592</v>
      </c>
      <c r="G3970" s="72">
        <v>3.22240477E8</v>
      </c>
    </row>
    <row r="3971">
      <c r="B3971" s="72">
        <v>8.1153312E7</v>
      </c>
      <c r="C3971" s="74">
        <v>46221.457349895834</v>
      </c>
      <c r="D3971" s="2" t="s">
        <v>653</v>
      </c>
      <c r="F3971" s="2" t="s">
        <v>3295</v>
      </c>
      <c r="G3971" s="72">
        <v>3.23409837E8</v>
      </c>
    </row>
    <row r="3972">
      <c r="C3972" s="74">
        <v>46214.75152898148</v>
      </c>
      <c r="D3972" s="2" t="s">
        <v>628</v>
      </c>
      <c r="F3972" s="2" t="s">
        <v>2404</v>
      </c>
      <c r="G3972" s="72">
        <v>3.18911699E8</v>
      </c>
    </row>
    <row r="3973">
      <c r="B3973" s="72">
        <v>8.0686703E7</v>
      </c>
      <c r="C3973" s="74">
        <v>46220.65790715278</v>
      </c>
      <c r="D3973" s="2" t="s">
        <v>705</v>
      </c>
      <c r="F3973" s="2" t="s">
        <v>3296</v>
      </c>
      <c r="G3973" s="72">
        <v>3.22910764E8</v>
      </c>
    </row>
    <row r="3974">
      <c r="B3974" s="72">
        <v>8.115331E7</v>
      </c>
      <c r="C3974" s="74">
        <v>46221.45732021991</v>
      </c>
      <c r="D3974" s="2" t="s">
        <v>653</v>
      </c>
      <c r="F3974" s="2" t="s">
        <v>3297</v>
      </c>
      <c r="G3974" s="72">
        <v>3.23409828E8</v>
      </c>
    </row>
    <row r="3975">
      <c r="B3975" s="72">
        <v>8.1025312E7</v>
      </c>
      <c r="C3975" s="74">
        <v>46220.811068518524</v>
      </c>
      <c r="D3975" s="2" t="s">
        <v>653</v>
      </c>
      <c r="F3975" s="2" t="s">
        <v>3159</v>
      </c>
      <c r="G3975" s="72">
        <v>3.23079899E8</v>
      </c>
    </row>
    <row r="3976">
      <c r="B3976" s="72">
        <v>7.812564E7</v>
      </c>
      <c r="C3976" s="74">
        <v>46204.63652295139</v>
      </c>
      <c r="D3976" s="2" t="s">
        <v>705</v>
      </c>
      <c r="F3976" s="2" t="s">
        <v>2912</v>
      </c>
      <c r="G3976" s="72">
        <v>3.12109689E8</v>
      </c>
    </row>
    <row r="3977">
      <c r="B3977" s="72">
        <v>8.2387386E7</v>
      </c>
      <c r="C3977" s="74">
        <v>46228.75354991898</v>
      </c>
      <c r="D3977" s="2" t="s">
        <v>628</v>
      </c>
      <c r="F3977" s="2" t="s">
        <v>1256</v>
      </c>
      <c r="G3977" s="72">
        <v>3.28652711E8</v>
      </c>
    </row>
    <row r="3978">
      <c r="B3978" s="72">
        <v>8.1377746E7</v>
      </c>
      <c r="C3978" s="74">
        <v>46222.76539165509</v>
      </c>
      <c r="D3978" s="2" t="s">
        <v>705</v>
      </c>
      <c r="F3978" s="2" t="s">
        <v>3298</v>
      </c>
      <c r="G3978" s="72">
        <v>3.24559653E8</v>
      </c>
    </row>
    <row r="3979">
      <c r="C3979" s="74">
        <v>46217.75113614583</v>
      </c>
      <c r="D3979" s="2" t="s">
        <v>628</v>
      </c>
      <c r="F3979" s="2" t="s">
        <v>736</v>
      </c>
      <c r="G3979" s="72">
        <v>3.20916749E8</v>
      </c>
    </row>
    <row r="3980">
      <c r="B3980" s="72">
        <v>8.0739765E7</v>
      </c>
      <c r="C3980" s="74">
        <v>46218.96122539352</v>
      </c>
      <c r="D3980" s="2" t="s">
        <v>653</v>
      </c>
      <c r="F3980" s="2" t="s">
        <v>3299</v>
      </c>
      <c r="G3980" s="72">
        <v>3.21772932E8</v>
      </c>
    </row>
    <row r="3981">
      <c r="C3981" s="74">
        <v>46206.75288152778</v>
      </c>
      <c r="D3981" s="2" t="s">
        <v>628</v>
      </c>
      <c r="F3981" s="2" t="s">
        <v>647</v>
      </c>
      <c r="G3981" s="72">
        <v>3.13566533E8</v>
      </c>
    </row>
    <row r="3982">
      <c r="B3982" s="72">
        <v>8.2206478E7</v>
      </c>
      <c r="C3982" s="74">
        <v>46229.96179734953</v>
      </c>
      <c r="D3982" s="2" t="s">
        <v>628</v>
      </c>
      <c r="F3982" s="2" t="s">
        <v>3300</v>
      </c>
      <c r="G3982" s="72">
        <v>3.29615907E8</v>
      </c>
    </row>
    <row r="3983">
      <c r="C3983" s="74">
        <v>46234.544128194444</v>
      </c>
      <c r="D3983" s="2" t="s">
        <v>628</v>
      </c>
      <c r="F3983" s="2" t="s">
        <v>630</v>
      </c>
      <c r="G3983" s="72">
        <v>3.32605346E8</v>
      </c>
    </row>
    <row r="3984">
      <c r="B3984" s="72">
        <v>8.341172E7</v>
      </c>
      <c r="C3984" s="74">
        <v>46234.802706689814</v>
      </c>
      <c r="D3984" s="2" t="s">
        <v>653</v>
      </c>
      <c r="F3984" s="2" t="s">
        <v>3301</v>
      </c>
      <c r="G3984" s="72">
        <v>3.32922609E8</v>
      </c>
    </row>
    <row r="3985">
      <c r="B3985" s="72">
        <v>8.0739765E7</v>
      </c>
      <c r="C3985" s="74">
        <v>46218.96120092593</v>
      </c>
      <c r="D3985" s="2" t="s">
        <v>705</v>
      </c>
      <c r="F3985" s="2" t="s">
        <v>3302</v>
      </c>
      <c r="G3985" s="72">
        <v>3.21772864E8</v>
      </c>
    </row>
    <row r="3986">
      <c r="B3986" s="72">
        <v>8.2747331E7</v>
      </c>
      <c r="C3986" s="74">
        <v>46230.911543263894</v>
      </c>
      <c r="D3986" s="2" t="s">
        <v>705</v>
      </c>
      <c r="F3986" s="2" t="s">
        <v>948</v>
      </c>
      <c r="G3986" s="72">
        <v>3.30223578E8</v>
      </c>
    </row>
    <row r="3987">
      <c r="C3987" s="74">
        <v>46209.95911862269</v>
      </c>
      <c r="D3987" s="2" t="s">
        <v>628</v>
      </c>
      <c r="F3987" s="2" t="s">
        <v>2974</v>
      </c>
      <c r="G3987" s="72">
        <v>3.15776813E8</v>
      </c>
    </row>
    <row r="3988">
      <c r="B3988" s="72">
        <v>8.0744718E7</v>
      </c>
      <c r="C3988" s="74">
        <v>46218.981431990745</v>
      </c>
      <c r="D3988" s="2" t="s">
        <v>653</v>
      </c>
      <c r="F3988" s="2" t="s">
        <v>3303</v>
      </c>
      <c r="G3988" s="72">
        <v>3.21788718E8</v>
      </c>
    </row>
    <row r="3989">
      <c r="C3989" s="74">
        <v>46217.96201609954</v>
      </c>
      <c r="D3989" s="2" t="s">
        <v>628</v>
      </c>
      <c r="F3989" s="2" t="s">
        <v>2053</v>
      </c>
      <c r="G3989" s="72">
        <v>3.21118303E8</v>
      </c>
    </row>
    <row r="3990">
      <c r="C3990" s="74">
        <v>46205.753574999995</v>
      </c>
      <c r="D3990" s="2" t="s">
        <v>628</v>
      </c>
      <c r="F3990" s="2" t="s">
        <v>3168</v>
      </c>
      <c r="G3990" s="72">
        <v>3.12842593E8</v>
      </c>
    </row>
    <row r="3991">
      <c r="B3991" s="72">
        <v>8.0790813E7</v>
      </c>
      <c r="C3991" s="74">
        <v>46219.540060810185</v>
      </c>
      <c r="D3991" s="2" t="s">
        <v>628</v>
      </c>
      <c r="F3991" s="2" t="s">
        <v>1368</v>
      </c>
      <c r="G3991" s="72">
        <v>3.22018337E8</v>
      </c>
    </row>
    <row r="3992">
      <c r="B3992" s="72">
        <v>8.2769518E7</v>
      </c>
      <c r="C3992" s="74">
        <v>46230.996719375005</v>
      </c>
      <c r="D3992" s="2" t="s">
        <v>653</v>
      </c>
      <c r="F3992" s="2" t="s">
        <v>919</v>
      </c>
      <c r="G3992" s="72">
        <v>3.30299726E8</v>
      </c>
    </row>
    <row r="3993">
      <c r="C3993" s="74">
        <v>46233.95959254629</v>
      </c>
      <c r="D3993" s="2" t="s">
        <v>628</v>
      </c>
      <c r="F3993" s="2" t="s">
        <v>680</v>
      </c>
      <c r="G3993" s="72">
        <v>3.32301476E8</v>
      </c>
    </row>
    <row r="3994">
      <c r="C3994" s="74">
        <v>46211.96155703704</v>
      </c>
      <c r="D3994" s="2" t="s">
        <v>628</v>
      </c>
      <c r="F3994" s="2" t="s">
        <v>2078</v>
      </c>
      <c r="G3994" s="72">
        <v>3.16990038E8</v>
      </c>
    </row>
    <row r="3995">
      <c r="C3995" s="74">
        <v>46219.75477366898</v>
      </c>
      <c r="D3995" s="2" t="s">
        <v>628</v>
      </c>
      <c r="F3995" s="2" t="s">
        <v>2703</v>
      </c>
      <c r="G3995" s="72">
        <v>3.22264773E8</v>
      </c>
    </row>
    <row r="3996">
      <c r="B3996" s="72">
        <v>8.2031792E7</v>
      </c>
      <c r="C3996" s="74">
        <v>46227.66630467593</v>
      </c>
      <c r="D3996" s="2" t="s">
        <v>653</v>
      </c>
      <c r="F3996" s="2" t="s">
        <v>3204</v>
      </c>
      <c r="G3996" s="72">
        <v>3.27783596E8</v>
      </c>
    </row>
    <row r="3997">
      <c r="C3997" s="74">
        <v>46229.75372137732</v>
      </c>
      <c r="D3997" s="2" t="s">
        <v>628</v>
      </c>
      <c r="F3997" s="2" t="s">
        <v>645</v>
      </c>
      <c r="G3997" s="72">
        <v>3.29433842E8</v>
      </c>
    </row>
    <row r="3998">
      <c r="B3998" s="72">
        <v>8.1581809E7</v>
      </c>
      <c r="C3998" s="74">
        <v>46223.94954559028</v>
      </c>
      <c r="D3998" s="2" t="s">
        <v>705</v>
      </c>
      <c r="F3998" s="2" t="s">
        <v>3304</v>
      </c>
      <c r="G3998" s="72">
        <v>3.25355172E8</v>
      </c>
    </row>
    <row r="3999">
      <c r="C3999" s="74">
        <v>46210.9608534838</v>
      </c>
      <c r="D3999" s="2" t="s">
        <v>628</v>
      </c>
      <c r="F3999" s="2" t="s">
        <v>3305</v>
      </c>
      <c r="G3999" s="72">
        <v>3.16371194E8</v>
      </c>
    </row>
    <row r="4000">
      <c r="C4000" s="74">
        <v>46207.75219380787</v>
      </c>
      <c r="D4000" s="2" t="s">
        <v>628</v>
      </c>
      <c r="F4000" s="2" t="s">
        <v>3244</v>
      </c>
      <c r="G4000" s="72">
        <v>3.14287483E8</v>
      </c>
    </row>
    <row r="4001">
      <c r="C4001" s="74">
        <v>46210.75277756945</v>
      </c>
      <c r="D4001" s="2" t="s">
        <v>628</v>
      </c>
      <c r="F4001" s="2" t="s">
        <v>3306</v>
      </c>
      <c r="G4001" s="72">
        <v>3.16194757E8</v>
      </c>
    </row>
    <row r="4002">
      <c r="C4002" s="74">
        <v>46212.75175326389</v>
      </c>
      <c r="D4002" s="2" t="s">
        <v>628</v>
      </c>
      <c r="F4002" s="2" t="s">
        <v>3307</v>
      </c>
      <c r="G4002" s="72">
        <v>3.17432398E8</v>
      </c>
    </row>
    <row r="4003">
      <c r="B4003" s="72">
        <v>8.1237124E7</v>
      </c>
      <c r="C4003" s="74">
        <v>46227.00921561343</v>
      </c>
      <c r="D4003" s="2" t="s">
        <v>705</v>
      </c>
      <c r="F4003" s="2" t="s">
        <v>3308</v>
      </c>
      <c r="G4003" s="72">
        <v>3.27383961E8</v>
      </c>
    </row>
    <row r="4004">
      <c r="C4004" s="74">
        <v>46222.75202672454</v>
      </c>
      <c r="D4004" s="2" t="s">
        <v>628</v>
      </c>
      <c r="F4004" s="2" t="s">
        <v>3023</v>
      </c>
      <c r="G4004" s="72">
        <v>3.24540848E8</v>
      </c>
    </row>
    <row r="4005">
      <c r="C4005" s="74">
        <v>46221.751445312504</v>
      </c>
      <c r="D4005" s="2" t="s">
        <v>628</v>
      </c>
      <c r="F4005" s="2" t="s">
        <v>1374</v>
      </c>
      <c r="G4005" s="72">
        <v>3.23768084E8</v>
      </c>
    </row>
    <row r="4006">
      <c r="B4006" s="72">
        <v>8.1490702E7</v>
      </c>
      <c r="C4006" s="74">
        <v>46225.971658379625</v>
      </c>
      <c r="D4006" s="2" t="s">
        <v>653</v>
      </c>
      <c r="F4006" s="2" t="s">
        <v>3309</v>
      </c>
      <c r="G4006" s="72">
        <v>3.2664382E8</v>
      </c>
    </row>
    <row r="4007">
      <c r="B4007" s="72">
        <v>8.1181289E7</v>
      </c>
      <c r="C4007" s="74">
        <v>46227.6471330787</v>
      </c>
      <c r="D4007" s="2" t="s">
        <v>705</v>
      </c>
      <c r="F4007" s="2" t="s">
        <v>2352</v>
      </c>
      <c r="G4007" s="72">
        <v>3.2777413E8</v>
      </c>
    </row>
    <row r="4008">
      <c r="B4008" s="72">
        <v>7.812564E7</v>
      </c>
      <c r="C4008" s="74">
        <v>46206.98068233796</v>
      </c>
      <c r="D4008" s="2" t="s">
        <v>705</v>
      </c>
      <c r="F4008" s="2" t="s">
        <v>3260</v>
      </c>
      <c r="G4008" s="72">
        <v>3.13820354E8</v>
      </c>
    </row>
  </sheetData>
  <hyperlinks>
    <hyperlink r:id="rId2" ref="F2811"/>
    <hyperlink r:id="rId3" ref="F3743"/>
    <hyperlink r:id="rId4" ref="F3756"/>
  </hyperlinks>
  <drawing r:id="rId5"/>
  <legacyDrawing r:id="rId6"/>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0"/>
    <col customWidth="1" min="2" max="2" width="17.38"/>
    <col customWidth="1" min="3" max="3" width="16.75"/>
    <col customWidth="1" min="4" max="4" width="14.75"/>
    <col customWidth="1" min="5" max="5" width="15.0"/>
    <col customWidth="1" min="6" max="6" width="14.75"/>
    <col customWidth="1" min="7" max="7" width="35.75"/>
    <col customWidth="1" min="8" max="8" width="20.75"/>
    <col customWidth="1" min="9" max="9" width="16.0"/>
    <col customWidth="1" min="10" max="10" width="13.75"/>
    <col customWidth="1" min="13" max="13" width="32.75"/>
    <col customWidth="1" min="14" max="16" width="22.38"/>
  </cols>
  <sheetData>
    <row r="1" ht="18.75" customHeight="1">
      <c r="A1" s="27" t="s">
        <v>949</v>
      </c>
      <c r="K1" s="28"/>
      <c r="L1" s="28"/>
      <c r="M1" s="30" t="s">
        <v>950</v>
      </c>
      <c r="Q1" s="28"/>
      <c r="R1" s="28"/>
      <c r="S1" s="28"/>
      <c r="T1" s="28"/>
      <c r="U1" s="28"/>
      <c r="V1" s="28"/>
      <c r="W1" s="28"/>
      <c r="X1" s="28"/>
      <c r="Y1" s="28"/>
      <c r="Z1" s="28"/>
      <c r="AA1" s="28"/>
    </row>
    <row r="2" ht="18.75" customHeight="1">
      <c r="A2" s="31">
        <v>2026.0</v>
      </c>
      <c r="K2" s="28"/>
      <c r="L2" s="28"/>
      <c r="M2" s="75">
        <v>2026.0</v>
      </c>
      <c r="Q2" s="28"/>
      <c r="R2" s="28"/>
      <c r="S2" s="28"/>
      <c r="T2" s="28"/>
      <c r="U2" s="28"/>
      <c r="V2" s="28"/>
      <c r="W2" s="28"/>
      <c r="X2" s="28"/>
      <c r="Y2" s="28"/>
      <c r="Z2" s="28"/>
      <c r="AA2" s="28"/>
    </row>
    <row r="3" ht="18.75" customHeight="1">
      <c r="A3" s="27" t="s">
        <v>321</v>
      </c>
      <c r="C3" s="27" t="s">
        <v>282</v>
      </c>
      <c r="D3" s="27" t="s">
        <v>278</v>
      </c>
      <c r="E3" s="27" t="s">
        <v>279</v>
      </c>
      <c r="G3" s="27" t="s">
        <v>321</v>
      </c>
      <c r="H3" s="27" t="s">
        <v>282</v>
      </c>
      <c r="I3" s="27" t="s">
        <v>278</v>
      </c>
      <c r="J3" s="27" t="s">
        <v>279</v>
      </c>
      <c r="L3" s="28"/>
      <c r="M3" s="33"/>
      <c r="N3" s="33"/>
      <c r="O3" s="33"/>
      <c r="P3" s="33"/>
      <c r="Q3" s="28"/>
      <c r="R3" s="28"/>
      <c r="S3" s="28"/>
      <c r="T3" s="28"/>
      <c r="U3" s="28"/>
      <c r="V3" s="28"/>
      <c r="W3" s="28"/>
      <c r="X3" s="28"/>
      <c r="Y3" s="28"/>
      <c r="Z3" s="28"/>
      <c r="AA3" s="28"/>
    </row>
    <row r="4" ht="18.75" customHeight="1">
      <c r="A4" s="34" t="s">
        <v>140</v>
      </c>
      <c r="C4" s="35"/>
      <c r="D4" s="36">
        <v>5110.5</v>
      </c>
      <c r="E4" s="37"/>
      <c r="G4" s="34" t="s">
        <v>453</v>
      </c>
      <c r="H4" s="38">
        <v>653.0</v>
      </c>
      <c r="I4" s="36">
        <v>-39010.22</v>
      </c>
      <c r="J4" s="36">
        <v>-59.74</v>
      </c>
      <c r="L4" s="28"/>
      <c r="M4" s="33"/>
      <c r="N4" s="33"/>
      <c r="O4" s="33"/>
      <c r="P4" s="33"/>
      <c r="Q4" s="28"/>
      <c r="R4" s="28"/>
      <c r="S4" s="28"/>
      <c r="T4" s="28"/>
      <c r="U4" s="28"/>
      <c r="V4" s="28"/>
      <c r="W4" s="28"/>
      <c r="X4" s="28"/>
      <c r="Y4" s="28"/>
      <c r="Z4" s="28"/>
      <c r="AA4" s="28"/>
    </row>
    <row r="5" ht="18.75" customHeight="1">
      <c r="A5" s="34" t="s">
        <v>228</v>
      </c>
      <c r="C5" s="38">
        <v>70.0</v>
      </c>
      <c r="D5" s="36">
        <v>4050.0</v>
      </c>
      <c r="E5" s="36">
        <v>57.857142857142854</v>
      </c>
      <c r="G5" s="76"/>
      <c r="H5" s="76"/>
      <c r="I5" s="77"/>
      <c r="J5" s="77"/>
      <c r="L5" s="28"/>
      <c r="M5" s="39" t="s">
        <v>340</v>
      </c>
      <c r="N5" s="39" t="s">
        <v>342</v>
      </c>
      <c r="O5" s="39" t="s">
        <v>343</v>
      </c>
      <c r="P5" s="33"/>
      <c r="Q5" s="28"/>
      <c r="R5" s="28"/>
      <c r="S5" s="28"/>
      <c r="T5" s="28"/>
      <c r="U5" s="28"/>
      <c r="V5" s="28"/>
      <c r="W5" s="28"/>
      <c r="X5" s="28"/>
      <c r="Y5" s="28"/>
      <c r="Z5" s="28"/>
      <c r="AA5" s="28"/>
    </row>
    <row r="6" ht="18.75" customHeight="1">
      <c r="A6" s="34" t="s">
        <v>136</v>
      </c>
      <c r="C6" s="35"/>
      <c r="D6" s="36">
        <v>3925.0</v>
      </c>
      <c r="E6" s="37"/>
      <c r="G6" s="76"/>
      <c r="H6" s="76"/>
      <c r="I6" s="77"/>
      <c r="J6" s="77"/>
      <c r="L6" s="28"/>
      <c r="M6" s="39"/>
      <c r="N6" s="39"/>
      <c r="O6" s="40"/>
      <c r="P6" s="33"/>
      <c r="Q6" s="28"/>
      <c r="R6" s="28"/>
      <c r="S6" s="28"/>
      <c r="T6" s="28"/>
      <c r="U6" s="28"/>
      <c r="V6" s="28"/>
      <c r="W6" s="28"/>
      <c r="X6" s="28"/>
      <c r="Y6" s="28"/>
      <c r="Z6" s="28"/>
      <c r="AA6" s="28"/>
    </row>
    <row r="7" ht="18.75" customHeight="1">
      <c r="A7" s="34" t="s">
        <v>426</v>
      </c>
      <c r="C7" s="38">
        <v>12.0</v>
      </c>
      <c r="D7" s="36">
        <v>2030.0</v>
      </c>
      <c r="E7" s="36">
        <v>169.16666666666666</v>
      </c>
      <c r="G7" s="76"/>
      <c r="H7" s="76"/>
      <c r="I7" s="77"/>
      <c r="J7" s="77"/>
      <c r="L7" s="28"/>
      <c r="M7" s="15"/>
      <c r="N7" s="39"/>
      <c r="O7" s="40"/>
      <c r="P7" s="33"/>
      <c r="Q7" s="28"/>
      <c r="R7" s="28"/>
      <c r="S7" s="28"/>
      <c r="T7" s="28"/>
      <c r="U7" s="28"/>
      <c r="V7" s="28"/>
      <c r="W7" s="28"/>
      <c r="X7" s="28"/>
      <c r="Y7" s="28"/>
      <c r="Z7" s="28"/>
      <c r="AA7" s="28"/>
    </row>
    <row r="8" ht="18.75" customHeight="1">
      <c r="A8" s="34" t="s">
        <v>407</v>
      </c>
      <c r="C8" s="38">
        <v>9.0</v>
      </c>
      <c r="D8" s="36">
        <v>1170.0</v>
      </c>
      <c r="E8" s="36">
        <v>130.0</v>
      </c>
      <c r="G8" s="67" t="s">
        <v>376</v>
      </c>
      <c r="H8" s="67" t="s">
        <v>379</v>
      </c>
      <c r="I8" s="78" t="s">
        <v>380</v>
      </c>
      <c r="J8" s="77"/>
      <c r="L8" s="28"/>
      <c r="M8" s="15"/>
      <c r="N8" s="39"/>
      <c r="O8" s="40"/>
      <c r="P8" s="33"/>
      <c r="Q8" s="28"/>
      <c r="R8" s="28"/>
      <c r="S8" s="28"/>
      <c r="T8" s="28"/>
      <c r="U8" s="28"/>
      <c r="V8" s="28"/>
      <c r="W8" s="28"/>
      <c r="X8" s="28"/>
      <c r="Y8" s="28"/>
      <c r="Z8" s="28"/>
      <c r="AA8" s="28"/>
    </row>
    <row r="9" ht="18.75" customHeight="1">
      <c r="A9" s="34" t="s">
        <v>395</v>
      </c>
      <c r="C9" s="38">
        <v>109.0</v>
      </c>
      <c r="D9" s="36">
        <v>875.0</v>
      </c>
      <c r="E9" s="36">
        <v>8.027522935779816</v>
      </c>
      <c r="G9" s="34" t="s">
        <v>39</v>
      </c>
      <c r="H9" s="79">
        <v>16.0</v>
      </c>
      <c r="I9" s="36">
        <v>1150.0</v>
      </c>
      <c r="J9" s="77"/>
      <c r="L9" s="28"/>
      <c r="M9" s="2"/>
      <c r="N9" s="39"/>
      <c r="O9" s="40"/>
      <c r="P9" s="33"/>
      <c r="Q9" s="28"/>
      <c r="R9" s="28"/>
      <c r="S9" s="28"/>
      <c r="T9" s="28"/>
      <c r="U9" s="28"/>
      <c r="V9" s="28"/>
      <c r="W9" s="28"/>
      <c r="X9" s="28"/>
      <c r="Y9" s="28"/>
      <c r="Z9" s="28"/>
      <c r="AA9" s="28"/>
    </row>
    <row r="10" ht="18.75" customHeight="1">
      <c r="A10" s="34" t="s">
        <v>300</v>
      </c>
      <c r="C10" s="38">
        <v>5.0</v>
      </c>
      <c r="D10" s="36">
        <v>500.0</v>
      </c>
      <c r="E10" s="36">
        <v>100.0</v>
      </c>
      <c r="G10" s="34" t="s">
        <v>430</v>
      </c>
      <c r="H10" s="79">
        <v>6.0</v>
      </c>
      <c r="I10" s="36">
        <v>350.0</v>
      </c>
      <c r="J10" s="77"/>
      <c r="L10" s="28"/>
      <c r="M10" s="2"/>
      <c r="N10" s="39"/>
      <c r="O10" s="40"/>
      <c r="P10" s="33"/>
      <c r="Q10" s="28"/>
      <c r="R10" s="28"/>
      <c r="S10" s="28"/>
      <c r="T10" s="28"/>
      <c r="U10" s="28"/>
      <c r="V10" s="28"/>
      <c r="W10" s="28"/>
      <c r="X10" s="28"/>
      <c r="Y10" s="28"/>
      <c r="Z10" s="28"/>
      <c r="AA10" s="28"/>
    </row>
    <row r="11" ht="18.75" customHeight="1">
      <c r="A11" s="34" t="s">
        <v>77</v>
      </c>
      <c r="C11" s="38">
        <v>10.0</v>
      </c>
      <c r="D11" s="36">
        <v>500.0</v>
      </c>
      <c r="E11" s="36">
        <v>50.0</v>
      </c>
      <c r="G11" s="34" t="s">
        <v>237</v>
      </c>
      <c r="H11" s="79">
        <v>65.0</v>
      </c>
      <c r="I11" s="36">
        <v>400.0</v>
      </c>
      <c r="L11" s="28"/>
      <c r="M11" s="39"/>
      <c r="N11" s="39"/>
      <c r="O11" s="40"/>
      <c r="P11" s="33"/>
      <c r="Q11" s="28"/>
      <c r="R11" s="28"/>
      <c r="S11" s="28"/>
      <c r="T11" s="28"/>
      <c r="U11" s="28"/>
      <c r="V11" s="28"/>
      <c r="W11" s="28"/>
      <c r="X11" s="28"/>
      <c r="Y11" s="28"/>
      <c r="Z11" s="28"/>
      <c r="AA11" s="28"/>
    </row>
    <row r="12" ht="18.75" customHeight="1">
      <c r="A12" s="34" t="s">
        <v>88</v>
      </c>
      <c r="C12" s="38">
        <v>4.0</v>
      </c>
      <c r="D12" s="36">
        <v>500.0</v>
      </c>
      <c r="E12" s="36">
        <v>125.0</v>
      </c>
      <c r="G12" s="34" t="s">
        <v>391</v>
      </c>
      <c r="H12" s="79">
        <v>4.0</v>
      </c>
      <c r="I12" s="36">
        <v>0.0</v>
      </c>
      <c r="K12" s="28"/>
      <c r="L12" s="28"/>
      <c r="M12" s="39"/>
      <c r="N12" s="39"/>
      <c r="O12" s="40"/>
      <c r="P12" s="33"/>
      <c r="Q12" s="28"/>
      <c r="R12" s="28"/>
      <c r="S12" s="28"/>
      <c r="T12" s="28"/>
      <c r="U12" s="28"/>
      <c r="V12" s="28"/>
      <c r="W12" s="28"/>
      <c r="X12" s="28"/>
      <c r="Y12" s="28"/>
      <c r="Z12" s="28"/>
      <c r="AA12" s="28"/>
    </row>
    <row r="13" ht="18.75" customHeight="1">
      <c r="A13" s="34" t="s">
        <v>433</v>
      </c>
      <c r="C13" s="38">
        <v>9.0</v>
      </c>
      <c r="D13" s="36">
        <v>415.0</v>
      </c>
      <c r="E13" s="36">
        <v>46.111111111111114</v>
      </c>
      <c r="G13" s="34" t="s">
        <v>209</v>
      </c>
      <c r="H13" s="79">
        <v>3.0</v>
      </c>
      <c r="I13" s="36">
        <v>0.0</v>
      </c>
      <c r="K13" s="28"/>
      <c r="L13" s="28"/>
      <c r="M13" s="39"/>
      <c r="N13" s="39"/>
      <c r="O13" s="40"/>
      <c r="P13" s="33"/>
      <c r="Q13" s="28"/>
      <c r="R13" s="28"/>
      <c r="S13" s="28"/>
      <c r="T13" s="28"/>
      <c r="U13" s="28"/>
      <c r="V13" s="28"/>
      <c r="W13" s="28"/>
      <c r="X13" s="28"/>
      <c r="Y13" s="28"/>
      <c r="Z13" s="28"/>
      <c r="AA13" s="28"/>
    </row>
    <row r="14" ht="18.75" customHeight="1">
      <c r="A14" s="34" t="s">
        <v>437</v>
      </c>
      <c r="C14" s="38">
        <v>8.0</v>
      </c>
      <c r="D14" s="36">
        <v>392.0</v>
      </c>
      <c r="E14" s="36">
        <v>49.0</v>
      </c>
      <c r="G14" s="34" t="s">
        <v>603</v>
      </c>
      <c r="H14" s="79">
        <v>1.0</v>
      </c>
      <c r="I14" s="36">
        <v>0.0</v>
      </c>
      <c r="K14" s="28"/>
      <c r="L14" s="28"/>
      <c r="M14" s="33"/>
      <c r="N14" s="33"/>
      <c r="O14" s="33"/>
      <c r="P14" s="33"/>
      <c r="Q14" s="28"/>
      <c r="R14" s="28"/>
      <c r="S14" s="28"/>
      <c r="T14" s="28"/>
      <c r="U14" s="28"/>
      <c r="V14" s="28"/>
      <c r="W14" s="28"/>
      <c r="X14" s="28"/>
      <c r="Y14" s="28"/>
      <c r="Z14" s="28"/>
      <c r="AA14" s="28"/>
    </row>
    <row r="15" ht="18.75" customHeight="1">
      <c r="A15" s="34" t="s">
        <v>25</v>
      </c>
      <c r="C15" s="38">
        <v>5.0</v>
      </c>
      <c r="D15" s="36">
        <v>350.0</v>
      </c>
      <c r="E15" s="36">
        <v>70.0</v>
      </c>
      <c r="G15" s="34" t="s">
        <v>78</v>
      </c>
      <c r="H15" s="79">
        <v>4.0</v>
      </c>
      <c r="I15" s="36">
        <v>0.0</v>
      </c>
      <c r="K15" s="28"/>
      <c r="L15" s="28"/>
      <c r="M15" s="33"/>
      <c r="N15" s="33"/>
      <c r="O15" s="33"/>
      <c r="P15" s="33"/>
      <c r="Q15" s="28"/>
      <c r="R15" s="28"/>
      <c r="S15" s="28"/>
      <c r="T15" s="28"/>
      <c r="U15" s="28"/>
      <c r="V15" s="28"/>
      <c r="W15" s="28"/>
      <c r="X15" s="28"/>
      <c r="Y15" s="28"/>
      <c r="Z15" s="28"/>
      <c r="AA15" s="28"/>
    </row>
    <row r="16" ht="18.75" customHeight="1">
      <c r="A16" s="34" t="s">
        <v>348</v>
      </c>
      <c r="C16" s="38">
        <v>7.0</v>
      </c>
      <c r="D16" s="36">
        <v>347.95</v>
      </c>
      <c r="E16" s="36">
        <v>49.707142857142856</v>
      </c>
      <c r="G16" s="34" t="s">
        <v>517</v>
      </c>
      <c r="H16" s="79">
        <v>1.0</v>
      </c>
      <c r="I16" s="36">
        <v>100.0</v>
      </c>
      <c r="K16" s="28"/>
      <c r="L16" s="28"/>
      <c r="M16" s="33"/>
      <c r="N16" s="33"/>
      <c r="O16" s="33"/>
      <c r="P16" s="33"/>
      <c r="Q16" s="28"/>
      <c r="R16" s="28"/>
      <c r="S16" s="28"/>
      <c r="T16" s="28"/>
      <c r="U16" s="28"/>
      <c r="V16" s="28"/>
      <c r="W16" s="28"/>
      <c r="X16" s="28"/>
      <c r="Y16" s="28"/>
      <c r="Z16" s="28"/>
      <c r="AA16" s="28"/>
    </row>
    <row r="17" ht="18.75" customHeight="1">
      <c r="A17" s="34" t="s">
        <v>1003</v>
      </c>
      <c r="C17" s="38">
        <v>2.0</v>
      </c>
      <c r="D17" s="36">
        <v>230.0</v>
      </c>
      <c r="E17" s="36">
        <v>115.0</v>
      </c>
      <c r="G17" s="34" t="s">
        <v>116</v>
      </c>
      <c r="H17" s="79">
        <v>2.0</v>
      </c>
      <c r="I17" s="36">
        <v>0.0</v>
      </c>
      <c r="K17" s="28"/>
      <c r="L17" s="28"/>
      <c r="M17" s="33"/>
      <c r="N17" s="33"/>
      <c r="O17" s="33"/>
      <c r="P17" s="33"/>
      <c r="Q17" s="28"/>
      <c r="R17" s="28"/>
      <c r="S17" s="28"/>
      <c r="T17" s="28"/>
      <c r="U17" s="28"/>
      <c r="V17" s="28"/>
      <c r="W17" s="28"/>
      <c r="X17" s="28"/>
      <c r="Y17" s="28"/>
      <c r="Z17" s="28"/>
      <c r="AA17" s="28"/>
    </row>
    <row r="18" ht="18.75" customHeight="1">
      <c r="A18" s="34" t="s">
        <v>19</v>
      </c>
      <c r="C18" s="38">
        <v>4.0</v>
      </c>
      <c r="D18" s="36">
        <v>200.0</v>
      </c>
      <c r="E18" s="36">
        <v>50.0</v>
      </c>
      <c r="G18" s="34" t="s">
        <v>31</v>
      </c>
      <c r="H18" s="79">
        <v>38.0</v>
      </c>
      <c r="I18" s="36">
        <v>0.0</v>
      </c>
      <c r="K18" s="28"/>
      <c r="L18" s="28"/>
      <c r="M18" s="33"/>
      <c r="N18" s="33"/>
      <c r="O18" s="33"/>
      <c r="P18" s="33"/>
      <c r="Q18" s="28"/>
      <c r="R18" s="28"/>
      <c r="S18" s="28"/>
      <c r="T18" s="28"/>
      <c r="U18" s="28"/>
      <c r="V18" s="28"/>
      <c r="W18" s="28"/>
      <c r="X18" s="28"/>
      <c r="Y18" s="28"/>
      <c r="Z18" s="28"/>
      <c r="AA18" s="28"/>
    </row>
    <row r="19" ht="18.75" customHeight="1">
      <c r="A19" s="34" t="s">
        <v>312</v>
      </c>
      <c r="C19" s="38">
        <v>5.0</v>
      </c>
      <c r="D19" s="36">
        <v>190.0</v>
      </c>
      <c r="E19" s="36">
        <v>38.0</v>
      </c>
      <c r="G19" s="34" t="s">
        <v>15</v>
      </c>
      <c r="H19" s="79">
        <v>36.0</v>
      </c>
      <c r="I19" s="36">
        <v>0.0</v>
      </c>
      <c r="K19" s="28"/>
      <c r="L19" s="28"/>
      <c r="M19" s="33"/>
      <c r="N19" s="33"/>
      <c r="O19" s="33"/>
      <c r="P19" s="33"/>
      <c r="Q19" s="28"/>
      <c r="R19" s="28"/>
      <c r="S19" s="28"/>
      <c r="T19" s="28"/>
      <c r="U19" s="28"/>
      <c r="V19" s="28"/>
      <c r="W19" s="28"/>
      <c r="X19" s="28"/>
      <c r="Y19" s="28"/>
      <c r="Z19" s="28"/>
      <c r="AA19" s="28"/>
    </row>
    <row r="20" ht="18.75" customHeight="1">
      <c r="A20" s="34" t="s">
        <v>335</v>
      </c>
      <c r="C20" s="38">
        <v>2.0</v>
      </c>
      <c r="D20" s="36">
        <v>170.0</v>
      </c>
      <c r="E20" s="36">
        <v>85.0</v>
      </c>
      <c r="G20" s="34" t="s">
        <v>375</v>
      </c>
      <c r="H20" s="79">
        <v>2.0</v>
      </c>
      <c r="I20" s="36">
        <v>50.0</v>
      </c>
      <c r="K20" s="28"/>
      <c r="L20" s="28"/>
      <c r="M20" s="33"/>
      <c r="N20" s="33"/>
      <c r="O20" s="33"/>
      <c r="P20" s="33"/>
      <c r="Q20" s="28"/>
      <c r="R20" s="28"/>
      <c r="S20" s="28"/>
      <c r="T20" s="28"/>
      <c r="U20" s="28"/>
      <c r="V20" s="28"/>
      <c r="W20" s="28"/>
      <c r="X20" s="28"/>
      <c r="Y20" s="28"/>
      <c r="Z20" s="28"/>
      <c r="AA20" s="28"/>
    </row>
    <row r="21" ht="18.75" customHeight="1">
      <c r="A21" s="34" t="s">
        <v>28</v>
      </c>
      <c r="C21" s="38">
        <v>3.0</v>
      </c>
      <c r="D21" s="36">
        <v>150.0</v>
      </c>
      <c r="E21" s="36">
        <v>50.0</v>
      </c>
      <c r="G21" s="34" t="s">
        <v>152</v>
      </c>
      <c r="H21" s="79">
        <v>19.0</v>
      </c>
      <c r="I21" s="36">
        <v>0.0</v>
      </c>
      <c r="K21" s="28"/>
      <c r="L21" s="28"/>
      <c r="M21" s="46"/>
      <c r="N21" s="47" t="s">
        <v>419</v>
      </c>
      <c r="O21" s="30" t="s">
        <v>422</v>
      </c>
      <c r="P21" s="30" t="s">
        <v>423</v>
      </c>
      <c r="Q21" s="28"/>
      <c r="R21" s="28"/>
      <c r="S21" s="28"/>
      <c r="T21" s="28"/>
      <c r="U21" s="28"/>
      <c r="V21" s="28"/>
      <c r="W21" s="28"/>
      <c r="X21" s="28"/>
      <c r="Y21" s="28"/>
      <c r="Z21" s="28"/>
      <c r="AA21" s="28"/>
    </row>
    <row r="22" ht="18.75" customHeight="1">
      <c r="A22" s="34" t="s">
        <v>52</v>
      </c>
      <c r="C22" s="38">
        <v>3.0</v>
      </c>
      <c r="D22" s="36">
        <v>150.0</v>
      </c>
      <c r="E22" s="36">
        <v>50.0</v>
      </c>
      <c r="G22" s="34" t="s">
        <v>251</v>
      </c>
      <c r="H22" s="79">
        <v>7.0</v>
      </c>
      <c r="I22" s="36">
        <v>0.0</v>
      </c>
      <c r="K22" s="28"/>
      <c r="L22" s="28"/>
      <c r="M22" s="80" t="s">
        <v>104</v>
      </c>
      <c r="N22" s="81">
        <v>7470.0</v>
      </c>
      <c r="O22" s="81">
        <v>3909.0</v>
      </c>
      <c r="P22" s="82">
        <v>3561.0</v>
      </c>
      <c r="Q22" s="28"/>
      <c r="R22" s="28"/>
      <c r="S22" s="28"/>
      <c r="T22" s="28"/>
      <c r="U22" s="28"/>
      <c r="V22" s="28"/>
      <c r="W22" s="28"/>
      <c r="X22" s="28"/>
      <c r="Y22" s="28"/>
      <c r="Z22" s="28"/>
      <c r="AA22" s="28"/>
    </row>
    <row r="23" ht="18.75" customHeight="1">
      <c r="A23" s="34" t="s">
        <v>290</v>
      </c>
      <c r="C23" s="38">
        <v>3.0</v>
      </c>
      <c r="D23" s="36">
        <v>108.0</v>
      </c>
      <c r="E23" s="36">
        <v>36.0</v>
      </c>
      <c r="G23" s="34" t="s">
        <v>354</v>
      </c>
      <c r="H23" s="79">
        <v>11.0</v>
      </c>
      <c r="I23" s="36">
        <v>0.0</v>
      </c>
      <c r="K23" s="28"/>
      <c r="L23" s="28"/>
      <c r="M23" s="80" t="s">
        <v>436</v>
      </c>
      <c r="N23" s="81">
        <v>475.0</v>
      </c>
      <c r="O23" s="81">
        <v>83.0</v>
      </c>
      <c r="P23" s="82">
        <v>392.0</v>
      </c>
      <c r="Q23" s="28"/>
      <c r="R23" s="28"/>
      <c r="S23" s="28"/>
      <c r="T23" s="28"/>
      <c r="U23" s="28"/>
      <c r="V23" s="28"/>
      <c r="W23" s="28"/>
      <c r="X23" s="28"/>
      <c r="Y23" s="28"/>
      <c r="Z23" s="28"/>
      <c r="AA23" s="28"/>
    </row>
    <row r="24" ht="18.75" customHeight="1">
      <c r="A24" s="34" t="s">
        <v>49</v>
      </c>
      <c r="C24" s="38">
        <v>2.0</v>
      </c>
      <c r="D24" s="36">
        <v>100.0</v>
      </c>
      <c r="E24" s="36">
        <v>50.0</v>
      </c>
      <c r="K24" s="28"/>
      <c r="L24" s="28"/>
      <c r="M24" s="80" t="s">
        <v>448</v>
      </c>
      <c r="N24" s="81">
        <v>340.0</v>
      </c>
      <c r="O24" s="81">
        <v>21.0</v>
      </c>
      <c r="P24" s="82">
        <v>319.0</v>
      </c>
      <c r="Q24" s="28"/>
      <c r="R24" s="28"/>
      <c r="S24" s="28"/>
      <c r="T24" s="28"/>
      <c r="U24" s="28"/>
      <c r="V24" s="28"/>
      <c r="W24" s="28"/>
      <c r="X24" s="28"/>
      <c r="Y24" s="28"/>
      <c r="Z24" s="28"/>
      <c r="AA24" s="28"/>
    </row>
    <row r="25" ht="18.75" customHeight="1">
      <c r="A25" s="34" t="s">
        <v>34</v>
      </c>
      <c r="C25" s="38">
        <v>2.0</v>
      </c>
      <c r="D25" s="36">
        <v>100.0</v>
      </c>
      <c r="E25" s="36">
        <v>50.0</v>
      </c>
      <c r="K25" s="28"/>
      <c r="L25" s="28"/>
      <c r="M25" s="80" t="s">
        <v>456</v>
      </c>
      <c r="N25" s="83">
        <v>0.083</v>
      </c>
      <c r="O25" s="83">
        <v>0.041</v>
      </c>
      <c r="P25" s="84">
        <v>0.042</v>
      </c>
      <c r="Q25" s="28"/>
      <c r="R25" s="28"/>
      <c r="S25" s="28"/>
      <c r="T25" s="28"/>
      <c r="U25" s="28"/>
      <c r="V25" s="28"/>
      <c r="W25" s="28"/>
      <c r="X25" s="28"/>
      <c r="Y25" s="28"/>
      <c r="Z25" s="28"/>
      <c r="AA25" s="28"/>
    </row>
    <row r="26" ht="18.75" customHeight="1">
      <c r="A26" s="34" t="s">
        <v>366</v>
      </c>
      <c r="C26" s="38">
        <v>1.0</v>
      </c>
      <c r="D26" s="36">
        <v>40.0</v>
      </c>
      <c r="E26" s="36">
        <v>40.0</v>
      </c>
      <c r="K26" s="28"/>
      <c r="L26" s="28"/>
      <c r="M26" s="80" t="s">
        <v>118</v>
      </c>
      <c r="N26" s="83">
        <v>0.892</v>
      </c>
      <c r="O26" s="83">
        <v>0.393</v>
      </c>
      <c r="P26" s="85">
        <v>0.499</v>
      </c>
      <c r="Q26" s="28"/>
      <c r="R26" s="28"/>
      <c r="S26" s="28"/>
      <c r="T26" s="28"/>
      <c r="U26" s="28"/>
      <c r="V26" s="28"/>
      <c r="W26" s="28"/>
      <c r="X26" s="28"/>
      <c r="Y26" s="28"/>
      <c r="Z26" s="28"/>
      <c r="AA26" s="28"/>
    </row>
    <row r="27" ht="18.75" customHeight="1">
      <c r="A27" s="34" t="s">
        <v>307</v>
      </c>
      <c r="C27" s="38">
        <v>1.0</v>
      </c>
      <c r="D27" s="36">
        <v>32.0</v>
      </c>
      <c r="E27" s="36">
        <v>32.0</v>
      </c>
      <c r="G27" s="66" t="s">
        <v>451</v>
      </c>
      <c r="H27" s="67" t="s">
        <v>454</v>
      </c>
      <c r="K27" s="28"/>
      <c r="L27" s="28"/>
      <c r="M27" s="80" t="s">
        <v>479</v>
      </c>
      <c r="N27" s="86">
        <v>9.4</v>
      </c>
      <c r="O27" s="86">
        <v>57.9</v>
      </c>
      <c r="P27" s="87">
        <v>-48.5</v>
      </c>
      <c r="Q27" s="28"/>
      <c r="R27" s="28"/>
      <c r="S27" s="28"/>
      <c r="T27" s="28"/>
      <c r="U27" s="28"/>
      <c r="V27" s="28"/>
      <c r="W27" s="28"/>
      <c r="X27" s="28"/>
      <c r="Y27" s="28"/>
      <c r="Z27" s="28"/>
      <c r="AA27" s="28"/>
    </row>
    <row r="28" ht="18.75" customHeight="1">
      <c r="A28" s="34" t="s">
        <v>357</v>
      </c>
      <c r="C28" s="38">
        <v>33.0</v>
      </c>
      <c r="D28" s="36">
        <v>0.0</v>
      </c>
      <c r="E28" s="36">
        <v>0.0</v>
      </c>
      <c r="G28" s="66" t="s">
        <v>465</v>
      </c>
      <c r="H28" s="88">
        <v>139.0</v>
      </c>
      <c r="K28" s="28"/>
      <c r="L28" s="28"/>
      <c r="M28" s="80" t="s">
        <v>499</v>
      </c>
      <c r="N28" s="86">
        <v>1.9</v>
      </c>
      <c r="O28" s="86">
        <v>36.1</v>
      </c>
      <c r="P28" s="89">
        <v>-34.2</v>
      </c>
      <c r="Q28" s="28"/>
      <c r="R28" s="28"/>
      <c r="S28" s="28"/>
      <c r="T28" s="28"/>
      <c r="U28" s="28"/>
      <c r="V28" s="28"/>
      <c r="W28" s="28"/>
      <c r="X28" s="28"/>
      <c r="Y28" s="28"/>
      <c r="Z28" s="28"/>
      <c r="AA28" s="28"/>
    </row>
    <row r="29" ht="18.75" customHeight="1">
      <c r="A29" s="34" t="s">
        <v>439</v>
      </c>
      <c r="C29" s="51">
        <v>309.0</v>
      </c>
      <c r="D29" s="36">
        <v>21635.45</v>
      </c>
      <c r="E29" s="36">
        <v>40.77653721682848</v>
      </c>
      <c r="G29" s="66" t="s">
        <v>478</v>
      </c>
      <c r="H29" s="88">
        <v>76.0</v>
      </c>
      <c r="K29" s="28"/>
      <c r="L29" s="28"/>
      <c r="M29" s="33"/>
      <c r="N29" s="33"/>
      <c r="O29" s="33"/>
      <c r="P29" s="33"/>
      <c r="Q29" s="28"/>
      <c r="R29" s="28"/>
      <c r="S29" s="28"/>
      <c r="T29" s="28"/>
      <c r="U29" s="28"/>
      <c r="V29" s="28"/>
      <c r="W29" s="28"/>
      <c r="X29" s="28"/>
      <c r="Y29" s="28"/>
      <c r="Z29" s="28"/>
      <c r="AA29" s="28"/>
    </row>
    <row r="30" ht="18.75" customHeight="1">
      <c r="A30" s="31" t="s">
        <v>422</v>
      </c>
      <c r="G30" s="76"/>
      <c r="H30" s="76"/>
      <c r="K30" s="28"/>
      <c r="L30" s="28"/>
      <c r="M30" s="68" t="s">
        <v>1</v>
      </c>
      <c r="N30" s="68" t="s">
        <v>510</v>
      </c>
      <c r="O30" s="33"/>
      <c r="P30" s="33"/>
      <c r="Q30" s="28"/>
      <c r="R30" s="28"/>
      <c r="S30" s="28"/>
      <c r="T30" s="28"/>
      <c r="U30" s="28"/>
      <c r="V30" s="28"/>
      <c r="W30" s="28"/>
      <c r="X30" s="28"/>
      <c r="Y30" s="28"/>
      <c r="Z30" s="28"/>
      <c r="AA30" s="28"/>
    </row>
    <row r="31" ht="18.75" customHeight="1">
      <c r="A31" s="27" t="s">
        <v>1047</v>
      </c>
      <c r="C31" s="27" t="s">
        <v>282</v>
      </c>
      <c r="D31" s="27" t="s">
        <v>278</v>
      </c>
      <c r="E31" s="27" t="s">
        <v>1049</v>
      </c>
      <c r="G31" s="76"/>
      <c r="H31" s="90"/>
      <c r="K31" s="28"/>
      <c r="L31" s="28"/>
      <c r="M31" s="91">
        <v>46202.0</v>
      </c>
      <c r="N31" s="92">
        <v>0.07</v>
      </c>
      <c r="O31" s="33"/>
      <c r="P31" s="33"/>
      <c r="Q31" s="28"/>
      <c r="R31" s="28"/>
      <c r="S31" s="28"/>
      <c r="T31" s="28"/>
      <c r="U31" s="28"/>
      <c r="V31" s="28"/>
      <c r="W31" s="28"/>
      <c r="X31" s="28"/>
      <c r="Y31" s="28"/>
      <c r="Z31" s="28"/>
      <c r="AA31" s="28"/>
    </row>
    <row r="32" ht="18.75" customHeight="1">
      <c r="A32" s="34" t="s">
        <v>140</v>
      </c>
      <c r="C32" s="35"/>
      <c r="D32" s="36">
        <v>5860.0</v>
      </c>
      <c r="E32" s="37"/>
      <c r="G32" s="76"/>
      <c r="H32" s="90"/>
      <c r="K32" s="28"/>
      <c r="L32" s="28"/>
      <c r="M32" s="91">
        <v>46209.0</v>
      </c>
      <c r="N32" s="92">
        <v>0.04</v>
      </c>
      <c r="O32" s="33"/>
      <c r="P32" s="33"/>
      <c r="Q32" s="28"/>
      <c r="R32" s="28"/>
      <c r="S32" s="28"/>
      <c r="T32" s="28"/>
      <c r="U32" s="28"/>
      <c r="V32" s="28"/>
      <c r="W32" s="28"/>
      <c r="X32" s="28"/>
      <c r="Y32" s="28"/>
      <c r="Z32" s="28"/>
      <c r="AA32" s="28"/>
    </row>
    <row r="33" ht="18.75" customHeight="1">
      <c r="A33" s="34" t="s">
        <v>136</v>
      </c>
      <c r="C33" s="35"/>
      <c r="D33" s="36">
        <v>4290.0</v>
      </c>
      <c r="E33" s="37"/>
      <c r="G33" s="66" t="s">
        <v>376</v>
      </c>
      <c r="H33" s="67" t="s">
        <v>508</v>
      </c>
      <c r="K33" s="28"/>
      <c r="L33" s="28"/>
      <c r="M33" s="91">
        <v>46216.0</v>
      </c>
      <c r="N33" s="92">
        <v>0.08</v>
      </c>
      <c r="O33" s="33"/>
      <c r="P33" s="33"/>
      <c r="Q33" s="28"/>
      <c r="R33" s="28"/>
      <c r="S33" s="28"/>
      <c r="T33" s="28"/>
      <c r="U33" s="28"/>
      <c r="V33" s="28"/>
      <c r="W33" s="28"/>
      <c r="X33" s="28"/>
      <c r="Y33" s="28"/>
      <c r="Z33" s="28"/>
      <c r="AA33" s="28"/>
    </row>
    <row r="34" ht="18.75" customHeight="1">
      <c r="A34" s="34" t="s">
        <v>228</v>
      </c>
      <c r="C34" s="38">
        <v>54.0</v>
      </c>
      <c r="D34" s="36">
        <v>3900.0</v>
      </c>
      <c r="E34" s="36">
        <v>72.22222222222223</v>
      </c>
      <c r="G34" s="34" t="s">
        <v>513</v>
      </c>
      <c r="H34" s="69">
        <v>1012.0</v>
      </c>
      <c r="K34" s="28"/>
      <c r="L34" s="28"/>
      <c r="M34" s="91">
        <v>46223.0</v>
      </c>
      <c r="N34" s="92">
        <v>0.12</v>
      </c>
      <c r="O34" s="33"/>
      <c r="P34" s="33"/>
      <c r="Q34" s="28"/>
      <c r="R34" s="28"/>
      <c r="S34" s="28"/>
      <c r="T34" s="28"/>
      <c r="U34" s="28"/>
      <c r="V34" s="28"/>
      <c r="W34" s="28"/>
      <c r="X34" s="28"/>
      <c r="Y34" s="28"/>
      <c r="Z34" s="28"/>
      <c r="AA34" s="28"/>
    </row>
    <row r="35" ht="18.75" customHeight="1">
      <c r="A35" s="34" t="s">
        <v>34</v>
      </c>
      <c r="C35" s="38">
        <v>23.0</v>
      </c>
      <c r="D35" s="36">
        <v>2000.0</v>
      </c>
      <c r="E35" s="36">
        <v>86.95652173913044</v>
      </c>
      <c r="G35" s="34" t="s">
        <v>237</v>
      </c>
      <c r="H35" s="69">
        <v>136.0</v>
      </c>
      <c r="K35" s="28"/>
      <c r="L35" s="28"/>
      <c r="M35" s="91">
        <v>46230.0</v>
      </c>
      <c r="N35" s="92">
        <v>0.11</v>
      </c>
      <c r="O35" s="33"/>
      <c r="P35" s="33"/>
      <c r="Q35" s="28"/>
      <c r="R35" s="28"/>
      <c r="S35" s="28"/>
      <c r="T35" s="28"/>
      <c r="U35" s="28"/>
      <c r="V35" s="28"/>
      <c r="W35" s="28"/>
      <c r="X35" s="28"/>
      <c r="Y35" s="28"/>
      <c r="Z35" s="28"/>
      <c r="AA35" s="28"/>
    </row>
    <row r="36" ht="18.75" customHeight="1">
      <c r="A36" s="34" t="s">
        <v>348</v>
      </c>
      <c r="C36" s="38">
        <v>19.0</v>
      </c>
      <c r="D36" s="36">
        <v>912.0</v>
      </c>
      <c r="E36" s="36">
        <v>48.0</v>
      </c>
      <c r="G36" s="34" t="s">
        <v>152</v>
      </c>
      <c r="H36" s="69">
        <v>38.0</v>
      </c>
      <c r="K36" s="28"/>
      <c r="L36" s="28"/>
      <c r="M36" s="70"/>
      <c r="N36" s="40"/>
      <c r="O36" s="33"/>
      <c r="P36" s="33"/>
      <c r="Q36" s="28"/>
      <c r="R36" s="28"/>
      <c r="S36" s="28"/>
      <c r="T36" s="28"/>
      <c r="U36" s="28"/>
      <c r="V36" s="28"/>
      <c r="W36" s="28"/>
      <c r="X36" s="28"/>
      <c r="Y36" s="28"/>
      <c r="Z36" s="28"/>
      <c r="AA36" s="28"/>
    </row>
    <row r="37" ht="18.75" customHeight="1">
      <c r="A37" s="34" t="s">
        <v>395</v>
      </c>
      <c r="C37" s="38">
        <v>46.0</v>
      </c>
      <c r="D37" s="36">
        <v>800.0</v>
      </c>
      <c r="E37" s="36">
        <v>17.391304347826086</v>
      </c>
      <c r="G37" s="34" t="s">
        <v>116</v>
      </c>
      <c r="H37" s="69">
        <v>18.0</v>
      </c>
      <c r="K37" s="28"/>
      <c r="L37" s="28"/>
      <c r="M37" s="70"/>
      <c r="N37" s="40"/>
      <c r="O37" s="33"/>
      <c r="P37" s="33"/>
      <c r="Q37" s="28"/>
      <c r="R37" s="28"/>
      <c r="S37" s="28"/>
      <c r="T37" s="28"/>
      <c r="U37" s="28"/>
      <c r="V37" s="28"/>
      <c r="W37" s="28"/>
      <c r="X37" s="28"/>
      <c r="Y37" s="28"/>
      <c r="Z37" s="28"/>
      <c r="AA37" s="28"/>
    </row>
    <row r="38" ht="18.75" customHeight="1">
      <c r="A38" s="34" t="s">
        <v>25</v>
      </c>
      <c r="C38" s="38">
        <v>10.0</v>
      </c>
      <c r="D38" s="36">
        <v>660.0</v>
      </c>
      <c r="E38" s="36">
        <v>66.0</v>
      </c>
      <c r="G38" s="34" t="s">
        <v>78</v>
      </c>
      <c r="H38" s="69">
        <v>17.0</v>
      </c>
      <c r="K38" s="28"/>
      <c r="L38" s="28"/>
      <c r="M38" s="70"/>
      <c r="N38" s="40"/>
      <c r="O38" s="33"/>
      <c r="P38" s="33"/>
      <c r="Q38" s="28"/>
      <c r="R38" s="28"/>
      <c r="S38" s="28"/>
      <c r="T38" s="28"/>
      <c r="U38" s="28"/>
      <c r="V38" s="28"/>
      <c r="W38" s="28"/>
      <c r="X38" s="28"/>
      <c r="Y38" s="28"/>
      <c r="Z38" s="28"/>
      <c r="AA38" s="28"/>
    </row>
    <row r="39" ht="18.75" customHeight="1">
      <c r="A39" s="34" t="s">
        <v>88</v>
      </c>
      <c r="C39" s="38">
        <v>7.0</v>
      </c>
      <c r="D39" s="36">
        <v>660.0</v>
      </c>
      <c r="E39" s="36">
        <v>94.28571428571429</v>
      </c>
      <c r="G39" s="34" t="s">
        <v>391</v>
      </c>
      <c r="H39" s="69">
        <v>16.0</v>
      </c>
      <c r="K39" s="28"/>
      <c r="L39" s="28"/>
      <c r="M39" s="39" t="s">
        <v>536</v>
      </c>
      <c r="N39" s="39" t="s">
        <v>342</v>
      </c>
      <c r="O39" s="39" t="s">
        <v>343</v>
      </c>
      <c r="P39" s="33"/>
      <c r="Q39" s="28"/>
      <c r="R39" s="28"/>
      <c r="S39" s="28"/>
      <c r="T39" s="28"/>
      <c r="U39" s="28"/>
      <c r="V39" s="28"/>
      <c r="W39" s="28"/>
      <c r="X39" s="28"/>
      <c r="Y39" s="28"/>
      <c r="Z39" s="28"/>
      <c r="AA39" s="28"/>
    </row>
    <row r="40" ht="18.75" customHeight="1">
      <c r="A40" s="34" t="s">
        <v>52</v>
      </c>
      <c r="C40" s="38">
        <v>13.0</v>
      </c>
      <c r="D40" s="36">
        <v>650.0</v>
      </c>
      <c r="E40" s="36">
        <v>50.0</v>
      </c>
      <c r="G40" s="34" t="s">
        <v>15</v>
      </c>
      <c r="H40" s="69">
        <v>13.0</v>
      </c>
      <c r="K40" s="28"/>
      <c r="L40" s="28"/>
      <c r="M40" s="39"/>
      <c r="N40" s="39"/>
      <c r="O40" s="40"/>
      <c r="P40" s="33"/>
      <c r="Q40" s="28"/>
      <c r="R40" s="28"/>
      <c r="S40" s="28"/>
      <c r="T40" s="28"/>
      <c r="U40" s="28"/>
      <c r="V40" s="28"/>
      <c r="W40" s="28"/>
      <c r="X40" s="28"/>
      <c r="Y40" s="28"/>
      <c r="Z40" s="28"/>
      <c r="AA40" s="28"/>
    </row>
    <row r="41" ht="18.75" customHeight="1">
      <c r="A41" s="34" t="s">
        <v>407</v>
      </c>
      <c r="C41" s="38">
        <v>5.0</v>
      </c>
      <c r="D41" s="36">
        <v>500.0</v>
      </c>
      <c r="E41" s="36">
        <v>100.0</v>
      </c>
      <c r="G41" s="34" t="s">
        <v>430</v>
      </c>
      <c r="H41" s="69">
        <v>12.0</v>
      </c>
      <c r="K41" s="28"/>
      <c r="L41" s="28"/>
      <c r="M41" s="39"/>
      <c r="N41" s="39"/>
      <c r="O41" s="40"/>
      <c r="P41" s="33"/>
      <c r="Q41" s="28"/>
      <c r="R41" s="28"/>
      <c r="S41" s="28"/>
      <c r="T41" s="28"/>
      <c r="U41" s="28"/>
      <c r="V41" s="28"/>
      <c r="W41" s="28"/>
      <c r="X41" s="28"/>
      <c r="Y41" s="28"/>
      <c r="Z41" s="28"/>
      <c r="AA41" s="28"/>
    </row>
    <row r="42" ht="18.75" customHeight="1">
      <c r="A42" s="34" t="s">
        <v>77</v>
      </c>
      <c r="C42" s="38">
        <v>7.0</v>
      </c>
      <c r="D42" s="36">
        <v>470.0</v>
      </c>
      <c r="E42" s="36">
        <v>67.14285714285714</v>
      </c>
      <c r="G42" s="34" t="s">
        <v>627</v>
      </c>
      <c r="H42" s="69">
        <v>7.0</v>
      </c>
      <c r="K42" s="28"/>
      <c r="L42" s="28"/>
      <c r="M42" s="39"/>
      <c r="N42" s="39"/>
      <c r="O42" s="40"/>
      <c r="P42" s="33"/>
      <c r="Q42" s="28"/>
      <c r="R42" s="28"/>
      <c r="S42" s="28"/>
      <c r="T42" s="28"/>
      <c r="U42" s="28"/>
      <c r="V42" s="28"/>
      <c r="W42" s="28"/>
      <c r="X42" s="28"/>
      <c r="Y42" s="28"/>
      <c r="Z42" s="28"/>
      <c r="AA42" s="28"/>
    </row>
    <row r="43" ht="18.75" customHeight="1">
      <c r="A43" s="34" t="s">
        <v>49</v>
      </c>
      <c r="C43" s="38">
        <v>8.0</v>
      </c>
      <c r="D43" s="36">
        <v>400.0</v>
      </c>
      <c r="E43" s="36">
        <v>50.0</v>
      </c>
      <c r="G43" s="34" t="s">
        <v>251</v>
      </c>
      <c r="H43" s="69">
        <v>6.0</v>
      </c>
      <c r="K43" s="28"/>
      <c r="L43" s="28"/>
      <c r="M43" s="39"/>
      <c r="N43" s="39"/>
      <c r="O43" s="40"/>
      <c r="P43" s="33"/>
      <c r="Q43" s="28"/>
      <c r="R43" s="28"/>
      <c r="S43" s="28"/>
      <c r="T43" s="28"/>
      <c r="U43" s="28"/>
      <c r="V43" s="28"/>
      <c r="W43" s="28"/>
      <c r="X43" s="28"/>
      <c r="Y43" s="28"/>
      <c r="Z43" s="28"/>
      <c r="AA43" s="28"/>
    </row>
    <row r="44" ht="18.75" customHeight="1">
      <c r="A44" s="34" t="s">
        <v>19</v>
      </c>
      <c r="C44" s="38">
        <v>7.0</v>
      </c>
      <c r="D44" s="36">
        <v>350.0</v>
      </c>
      <c r="E44" s="36">
        <v>50.0</v>
      </c>
      <c r="G44" s="34" t="s">
        <v>354</v>
      </c>
      <c r="H44" s="69">
        <v>1.0</v>
      </c>
      <c r="K44" s="28"/>
      <c r="L44" s="28"/>
      <c r="M44" s="39"/>
      <c r="N44" s="39"/>
      <c r="O44" s="40"/>
      <c r="P44" s="33"/>
      <c r="Q44" s="28"/>
      <c r="R44" s="28"/>
      <c r="S44" s="28"/>
      <c r="T44" s="28"/>
      <c r="U44" s="28"/>
      <c r="V44" s="28"/>
      <c r="W44" s="28"/>
      <c r="X44" s="28"/>
      <c r="Y44" s="28"/>
      <c r="Z44" s="28"/>
      <c r="AA44" s="28"/>
    </row>
    <row r="45" ht="18.75" customHeight="1">
      <c r="A45" s="34" t="s">
        <v>85</v>
      </c>
      <c r="C45" s="38">
        <v>5.0</v>
      </c>
      <c r="D45" s="36">
        <v>300.0</v>
      </c>
      <c r="E45" s="36">
        <v>60.0</v>
      </c>
      <c r="K45" s="28"/>
      <c r="L45" s="28"/>
      <c r="M45" s="33"/>
      <c r="N45" s="33"/>
      <c r="O45" s="33"/>
      <c r="P45" s="33"/>
      <c r="Q45" s="28"/>
      <c r="R45" s="28"/>
      <c r="S45" s="28"/>
      <c r="T45" s="28"/>
      <c r="U45" s="28"/>
      <c r="V45" s="28"/>
      <c r="W45" s="28"/>
      <c r="X45" s="28"/>
      <c r="Y45" s="28"/>
      <c r="Z45" s="28"/>
      <c r="AA45" s="28"/>
    </row>
    <row r="46" ht="18.75" customHeight="1">
      <c r="A46" s="34" t="s">
        <v>521</v>
      </c>
      <c r="C46" s="38">
        <v>21.0</v>
      </c>
      <c r="D46" s="36">
        <v>259.35</v>
      </c>
      <c r="E46" s="36">
        <v>12.350000000000001</v>
      </c>
      <c r="K46" s="28"/>
      <c r="L46" s="28"/>
      <c r="M46" s="33"/>
      <c r="N46" s="33"/>
      <c r="O46" s="33"/>
      <c r="P46" s="33"/>
      <c r="Q46" s="28"/>
      <c r="R46" s="28"/>
      <c r="S46" s="28"/>
      <c r="T46" s="28"/>
      <c r="U46" s="28"/>
      <c r="V46" s="28"/>
      <c r="W46" s="28"/>
      <c r="X46" s="28"/>
      <c r="Y46" s="28"/>
      <c r="Z46" s="28"/>
      <c r="AA46" s="28"/>
    </row>
    <row r="47" ht="18.75" customHeight="1">
      <c r="A47" s="34" t="s">
        <v>41</v>
      </c>
      <c r="C47" s="38">
        <v>3.0</v>
      </c>
      <c r="D47" s="36">
        <v>150.0</v>
      </c>
      <c r="E47" s="36">
        <v>50.0</v>
      </c>
      <c r="K47" s="28"/>
      <c r="L47" s="28"/>
      <c r="M47" s="33"/>
      <c r="N47" s="33"/>
      <c r="O47" s="33"/>
      <c r="P47" s="33"/>
      <c r="Q47" s="28"/>
      <c r="R47" s="28"/>
      <c r="S47" s="28"/>
      <c r="T47" s="28"/>
      <c r="U47" s="28"/>
      <c r="V47" s="28"/>
      <c r="W47" s="28"/>
      <c r="X47" s="28"/>
      <c r="Y47" s="28"/>
      <c r="Z47" s="28"/>
      <c r="AA47" s="28"/>
    </row>
    <row r="48" ht="18.75" customHeight="1">
      <c r="A48" s="34" t="s">
        <v>300</v>
      </c>
      <c r="C48" s="38">
        <v>2.0</v>
      </c>
      <c r="D48" s="36">
        <v>130.0</v>
      </c>
      <c r="E48" s="36">
        <v>65.0</v>
      </c>
      <c r="K48" s="28"/>
      <c r="L48" s="28"/>
      <c r="M48" s="33"/>
      <c r="N48" s="33"/>
      <c r="O48" s="33"/>
      <c r="P48" s="33"/>
      <c r="Q48" s="28"/>
      <c r="R48" s="28"/>
      <c r="S48" s="28"/>
      <c r="T48" s="28"/>
      <c r="U48" s="28"/>
      <c r="V48" s="28"/>
      <c r="W48" s="28"/>
      <c r="X48" s="28"/>
      <c r="Y48" s="28"/>
      <c r="Z48" s="28"/>
      <c r="AA48" s="28"/>
    </row>
    <row r="49" ht="18.75" customHeight="1">
      <c r="A49" s="34" t="s">
        <v>335</v>
      </c>
      <c r="C49" s="38">
        <v>3.0</v>
      </c>
      <c r="D49" s="36">
        <v>85.0</v>
      </c>
      <c r="E49" s="36">
        <v>28.333333333333332</v>
      </c>
      <c r="K49" s="28"/>
      <c r="L49" s="28"/>
      <c r="M49" s="33"/>
      <c r="N49" s="33"/>
      <c r="O49" s="33"/>
      <c r="P49" s="33"/>
      <c r="Q49" s="28"/>
      <c r="R49" s="28"/>
      <c r="S49" s="28"/>
      <c r="T49" s="28"/>
      <c r="U49" s="28"/>
      <c r="V49" s="28"/>
      <c r="W49" s="28"/>
      <c r="X49" s="28"/>
      <c r="Y49" s="28"/>
      <c r="Z49" s="28"/>
      <c r="AA49" s="28"/>
    </row>
    <row r="50" ht="18.75" customHeight="1">
      <c r="A50" s="34" t="s">
        <v>312</v>
      </c>
      <c r="C50" s="38">
        <v>2.0</v>
      </c>
      <c r="D50" s="36">
        <v>72.0</v>
      </c>
      <c r="E50" s="36">
        <v>36.0</v>
      </c>
      <c r="K50" s="28"/>
      <c r="L50" s="28"/>
      <c r="M50" s="33"/>
      <c r="N50" s="33"/>
      <c r="O50" s="33"/>
      <c r="P50" s="33"/>
      <c r="Q50" s="28"/>
      <c r="R50" s="28"/>
      <c r="S50" s="28"/>
      <c r="T50" s="28"/>
      <c r="U50" s="28"/>
      <c r="V50" s="28"/>
      <c r="W50" s="28"/>
      <c r="X50" s="28"/>
      <c r="Y50" s="28"/>
      <c r="Z50" s="28"/>
      <c r="AA50" s="28"/>
    </row>
    <row r="51" ht="18.75" customHeight="1">
      <c r="A51" s="34" t="s">
        <v>439</v>
      </c>
      <c r="C51" s="51">
        <v>235.0</v>
      </c>
      <c r="D51" s="36">
        <v>22448.35</v>
      </c>
      <c r="E51" s="36">
        <v>56.098938415946094</v>
      </c>
      <c r="K51" s="28"/>
      <c r="L51" s="28"/>
      <c r="M51" s="33"/>
      <c r="N51" s="33"/>
      <c r="O51" s="33"/>
      <c r="P51" s="33"/>
      <c r="Q51" s="28"/>
      <c r="R51" s="28"/>
      <c r="S51" s="28"/>
      <c r="T51" s="28"/>
      <c r="U51" s="28"/>
      <c r="V51" s="28"/>
      <c r="W51" s="28"/>
      <c r="X51" s="28"/>
      <c r="Y51" s="28"/>
      <c r="Z51" s="28"/>
      <c r="AA51" s="28"/>
    </row>
    <row r="52" ht="18.75" customHeight="1">
      <c r="A52" s="31" t="s">
        <v>551</v>
      </c>
      <c r="K52" s="28"/>
      <c r="L52" s="28"/>
      <c r="M52" s="33"/>
      <c r="N52" s="33"/>
      <c r="O52" s="33"/>
      <c r="P52" s="33"/>
      <c r="Q52" s="28"/>
      <c r="R52" s="28"/>
      <c r="S52" s="28"/>
      <c r="T52" s="28"/>
      <c r="U52" s="28"/>
      <c r="V52" s="28"/>
      <c r="W52" s="28"/>
      <c r="X52" s="28"/>
      <c r="Y52" s="28"/>
      <c r="Z52" s="28"/>
      <c r="AA52" s="28"/>
    </row>
    <row r="53" ht="18.75" customHeight="1">
      <c r="A53" s="27" t="s">
        <v>321</v>
      </c>
      <c r="B53" s="27" t="s">
        <v>278</v>
      </c>
      <c r="K53" s="28"/>
      <c r="L53" s="28"/>
      <c r="M53" s="33"/>
      <c r="N53" s="33"/>
      <c r="O53" s="33"/>
      <c r="P53" s="33"/>
      <c r="Q53" s="28"/>
      <c r="R53" s="28"/>
      <c r="S53" s="28"/>
      <c r="T53" s="28"/>
      <c r="U53" s="28"/>
      <c r="V53" s="28"/>
      <c r="W53" s="28"/>
      <c r="X53" s="28"/>
      <c r="Y53" s="28"/>
      <c r="Z53" s="28"/>
      <c r="AA53" s="28"/>
    </row>
    <row r="54" ht="18.75" customHeight="1">
      <c r="A54" s="34" t="s">
        <v>140</v>
      </c>
      <c r="B54" s="36">
        <v>-749.5</v>
      </c>
      <c r="K54" s="28"/>
      <c r="L54" s="28"/>
      <c r="M54" s="33"/>
      <c r="N54" s="33"/>
      <c r="O54" s="33"/>
      <c r="P54" s="33"/>
      <c r="Q54" s="28"/>
      <c r="R54" s="28"/>
      <c r="S54" s="28"/>
      <c r="T54" s="28"/>
      <c r="U54" s="28"/>
      <c r="V54" s="28"/>
      <c r="W54" s="28"/>
      <c r="X54" s="28"/>
      <c r="Y54" s="28"/>
      <c r="Z54" s="28"/>
      <c r="AA54" s="28"/>
    </row>
    <row r="55" ht="18.75" customHeight="1">
      <c r="A55" s="34" t="s">
        <v>228</v>
      </c>
      <c r="B55" s="36">
        <v>150.0</v>
      </c>
      <c r="K55" s="28"/>
      <c r="L55" s="28"/>
      <c r="M55" s="33"/>
      <c r="N55" s="33"/>
      <c r="O55" s="33"/>
      <c r="P55" s="33"/>
      <c r="Q55" s="28"/>
      <c r="R55" s="28"/>
      <c r="S55" s="28"/>
      <c r="T55" s="28"/>
      <c r="U55" s="28"/>
      <c r="V55" s="28"/>
      <c r="W55" s="28"/>
      <c r="X55" s="28"/>
      <c r="Y55" s="28"/>
      <c r="Z55" s="28"/>
      <c r="AA55" s="28"/>
    </row>
    <row r="56" ht="18.75" customHeight="1">
      <c r="A56" s="34" t="s">
        <v>136</v>
      </c>
      <c r="B56" s="36">
        <v>-365.0</v>
      </c>
      <c r="K56" s="28"/>
      <c r="L56" s="28"/>
      <c r="M56" s="33"/>
      <c r="N56" s="33"/>
      <c r="O56" s="33"/>
      <c r="P56" s="33"/>
      <c r="Q56" s="28"/>
      <c r="R56" s="28"/>
      <c r="S56" s="28"/>
      <c r="T56" s="28"/>
      <c r="U56" s="28"/>
      <c r="V56" s="28"/>
      <c r="W56" s="28"/>
      <c r="X56" s="28"/>
      <c r="Y56" s="28"/>
      <c r="Z56" s="28"/>
      <c r="AA56" s="28"/>
    </row>
    <row r="57" ht="18.75" customHeight="1">
      <c r="A57" s="34" t="s">
        <v>426</v>
      </c>
      <c r="B57" s="36">
        <v>2030.0</v>
      </c>
      <c r="K57" s="28"/>
      <c r="L57" s="28"/>
      <c r="M57" s="33"/>
      <c r="N57" s="33"/>
      <c r="O57" s="33"/>
      <c r="P57" s="33"/>
      <c r="Q57" s="28"/>
      <c r="R57" s="28"/>
      <c r="S57" s="28"/>
      <c r="T57" s="28"/>
      <c r="U57" s="28"/>
      <c r="V57" s="28"/>
      <c r="W57" s="28"/>
      <c r="X57" s="28"/>
      <c r="Y57" s="28"/>
      <c r="Z57" s="28"/>
      <c r="AA57" s="28"/>
    </row>
    <row r="58" ht="18.75" customHeight="1">
      <c r="A58" s="34" t="s">
        <v>407</v>
      </c>
      <c r="B58" s="36">
        <v>670.0</v>
      </c>
      <c r="K58" s="28"/>
      <c r="L58" s="28"/>
      <c r="M58" s="33"/>
      <c r="N58" s="33"/>
      <c r="O58" s="33"/>
      <c r="P58" s="33"/>
      <c r="Q58" s="28"/>
      <c r="R58" s="28"/>
      <c r="S58" s="28"/>
      <c r="T58" s="28"/>
      <c r="U58" s="28"/>
      <c r="V58" s="28"/>
      <c r="W58" s="28"/>
      <c r="X58" s="28"/>
      <c r="Y58" s="28"/>
      <c r="Z58" s="28"/>
      <c r="AA58" s="28"/>
    </row>
    <row r="59" ht="18.75" customHeight="1">
      <c r="A59" s="34" t="s">
        <v>395</v>
      </c>
      <c r="B59" s="36">
        <v>75.0</v>
      </c>
      <c r="K59" s="28"/>
      <c r="L59" s="28"/>
      <c r="M59" s="33"/>
      <c r="N59" s="33"/>
      <c r="O59" s="33"/>
      <c r="P59" s="33"/>
      <c r="Q59" s="28"/>
      <c r="R59" s="28"/>
      <c r="S59" s="28"/>
      <c r="T59" s="28"/>
      <c r="U59" s="28"/>
      <c r="V59" s="28"/>
      <c r="W59" s="28"/>
      <c r="X59" s="28"/>
      <c r="Y59" s="28"/>
      <c r="Z59" s="28"/>
      <c r="AA59" s="28"/>
    </row>
    <row r="60" ht="18.75" customHeight="1">
      <c r="A60" s="34" t="s">
        <v>300</v>
      </c>
      <c r="B60" s="36">
        <v>370.0</v>
      </c>
      <c r="K60" s="28"/>
      <c r="L60" s="28"/>
      <c r="M60" s="33"/>
      <c r="N60" s="33"/>
      <c r="O60" s="33"/>
      <c r="P60" s="33"/>
      <c r="Q60" s="28"/>
      <c r="R60" s="28"/>
      <c r="S60" s="28"/>
      <c r="T60" s="28"/>
      <c r="U60" s="28"/>
      <c r="V60" s="28"/>
      <c r="W60" s="28"/>
      <c r="X60" s="28"/>
      <c r="Y60" s="28"/>
      <c r="Z60" s="28"/>
      <c r="AA60" s="28"/>
    </row>
    <row r="61" ht="18.75" customHeight="1">
      <c r="A61" s="34" t="s">
        <v>77</v>
      </c>
      <c r="B61" s="36">
        <v>30.0</v>
      </c>
      <c r="K61" s="28"/>
      <c r="L61" s="28"/>
      <c r="M61" s="33"/>
      <c r="N61" s="33"/>
      <c r="O61" s="33"/>
      <c r="P61" s="33"/>
      <c r="Q61" s="28"/>
      <c r="R61" s="28"/>
      <c r="S61" s="28"/>
      <c r="T61" s="28"/>
      <c r="U61" s="28"/>
      <c r="V61" s="28"/>
      <c r="W61" s="28"/>
      <c r="X61" s="28"/>
      <c r="Y61" s="28"/>
      <c r="Z61" s="28"/>
      <c r="AA61" s="28"/>
    </row>
    <row r="62" ht="18.75" customHeight="1">
      <c r="A62" s="34" t="s">
        <v>88</v>
      </c>
      <c r="B62" s="36">
        <v>-160.0</v>
      </c>
      <c r="K62" s="28"/>
      <c r="L62" s="28"/>
      <c r="M62" s="33"/>
      <c r="N62" s="33"/>
      <c r="O62" s="33"/>
      <c r="P62" s="33"/>
      <c r="Q62" s="28"/>
      <c r="R62" s="28"/>
      <c r="S62" s="28"/>
      <c r="T62" s="28"/>
      <c r="U62" s="28"/>
      <c r="V62" s="28"/>
      <c r="W62" s="28"/>
      <c r="X62" s="28"/>
      <c r="Y62" s="28"/>
      <c r="Z62" s="28"/>
      <c r="AA62" s="28"/>
    </row>
    <row r="63" ht="18.75" customHeight="1">
      <c r="A63" s="34" t="s">
        <v>433</v>
      </c>
      <c r="B63" s="36">
        <v>415.0</v>
      </c>
      <c r="K63" s="28"/>
      <c r="L63" s="28"/>
      <c r="M63" s="33"/>
      <c r="N63" s="33"/>
      <c r="O63" s="33"/>
      <c r="P63" s="33"/>
      <c r="Q63" s="28"/>
      <c r="R63" s="28"/>
      <c r="S63" s="28"/>
      <c r="T63" s="28"/>
      <c r="U63" s="28"/>
      <c r="V63" s="28"/>
      <c r="W63" s="28"/>
      <c r="X63" s="28"/>
      <c r="Y63" s="28"/>
      <c r="Z63" s="28"/>
      <c r="AA63" s="28"/>
    </row>
    <row r="64" ht="18.75" customHeight="1">
      <c r="A64" s="34" t="s">
        <v>437</v>
      </c>
      <c r="B64" s="36">
        <v>392.0</v>
      </c>
      <c r="K64" s="28"/>
      <c r="L64" s="28"/>
      <c r="M64" s="33"/>
      <c r="N64" s="33"/>
      <c r="O64" s="33"/>
      <c r="P64" s="33"/>
      <c r="Q64" s="28"/>
      <c r="R64" s="28"/>
      <c r="S64" s="28"/>
      <c r="T64" s="28"/>
      <c r="U64" s="28"/>
      <c r="V64" s="28"/>
      <c r="W64" s="28"/>
      <c r="X64" s="28"/>
      <c r="Y64" s="28"/>
      <c r="Z64" s="28"/>
      <c r="AA64" s="28"/>
    </row>
    <row r="65" ht="18.75" customHeight="1">
      <c r="A65" s="34" t="s">
        <v>25</v>
      </c>
      <c r="B65" s="36">
        <v>-310.0</v>
      </c>
      <c r="K65" s="28"/>
      <c r="L65" s="28"/>
      <c r="M65" s="33"/>
      <c r="N65" s="33"/>
      <c r="O65" s="33"/>
      <c r="P65" s="33"/>
      <c r="Q65" s="28"/>
      <c r="R65" s="28"/>
      <c r="S65" s="28"/>
      <c r="T65" s="28"/>
      <c r="U65" s="28"/>
      <c r="V65" s="28"/>
      <c r="W65" s="28"/>
      <c r="X65" s="28"/>
      <c r="Y65" s="28"/>
      <c r="Z65" s="28"/>
      <c r="AA65" s="28"/>
    </row>
    <row r="66" ht="18.75" customHeight="1">
      <c r="A66" s="34" t="s">
        <v>348</v>
      </c>
      <c r="B66" s="36">
        <v>-564.05</v>
      </c>
      <c r="K66" s="28"/>
      <c r="L66" s="28"/>
      <c r="M66" s="33"/>
      <c r="N66" s="33"/>
      <c r="O66" s="33"/>
      <c r="P66" s="33"/>
      <c r="Q66" s="28"/>
      <c r="R66" s="28"/>
      <c r="S66" s="28"/>
      <c r="T66" s="28"/>
      <c r="U66" s="28"/>
      <c r="V66" s="28"/>
      <c r="W66" s="28"/>
      <c r="X66" s="28"/>
      <c r="Y66" s="28"/>
      <c r="Z66" s="28"/>
      <c r="AA66" s="28"/>
    </row>
    <row r="67" ht="18.75" customHeight="1">
      <c r="A67" s="34" t="s">
        <v>1003</v>
      </c>
      <c r="B67" s="36">
        <v>230.0</v>
      </c>
      <c r="K67" s="28"/>
      <c r="L67" s="28"/>
      <c r="M67" s="33"/>
      <c r="N67" s="33"/>
      <c r="O67" s="33"/>
      <c r="P67" s="33"/>
      <c r="Q67" s="28"/>
      <c r="R67" s="28"/>
      <c r="S67" s="28"/>
      <c r="T67" s="28"/>
      <c r="U67" s="28"/>
      <c r="V67" s="28"/>
      <c r="W67" s="28"/>
      <c r="X67" s="28"/>
      <c r="Y67" s="28"/>
      <c r="Z67" s="28"/>
      <c r="AA67" s="28"/>
    </row>
    <row r="68" ht="18.75" customHeight="1">
      <c r="A68" s="34" t="s">
        <v>19</v>
      </c>
      <c r="B68" s="36">
        <v>-150.0</v>
      </c>
      <c r="K68" s="28"/>
      <c r="L68" s="28"/>
      <c r="M68" s="33"/>
      <c r="N68" s="33"/>
      <c r="O68" s="33"/>
      <c r="P68" s="33"/>
      <c r="Q68" s="28"/>
      <c r="R68" s="28"/>
      <c r="S68" s="28"/>
      <c r="T68" s="28"/>
      <c r="U68" s="28"/>
      <c r="V68" s="28"/>
      <c r="W68" s="28"/>
      <c r="X68" s="28"/>
      <c r="Y68" s="28"/>
      <c r="Z68" s="28"/>
      <c r="AA68" s="28"/>
    </row>
    <row r="69" ht="18.75" customHeight="1">
      <c r="A69" s="34" t="s">
        <v>312</v>
      </c>
      <c r="B69" s="36">
        <v>118.0</v>
      </c>
      <c r="K69" s="28"/>
      <c r="L69" s="28"/>
      <c r="M69" s="33"/>
      <c r="N69" s="33"/>
      <c r="O69" s="33"/>
      <c r="P69" s="33"/>
      <c r="Q69" s="28"/>
      <c r="R69" s="28"/>
      <c r="S69" s="28"/>
      <c r="T69" s="28"/>
      <c r="U69" s="28"/>
      <c r="V69" s="28"/>
      <c r="W69" s="28"/>
      <c r="X69" s="28"/>
      <c r="Y69" s="28"/>
      <c r="Z69" s="28"/>
      <c r="AA69" s="28"/>
    </row>
    <row r="70" ht="18.75" customHeight="1">
      <c r="A70" s="34" t="s">
        <v>335</v>
      </c>
      <c r="B70" s="36">
        <v>85.0</v>
      </c>
      <c r="K70" s="28"/>
      <c r="L70" s="28"/>
      <c r="M70" s="33"/>
      <c r="N70" s="33"/>
      <c r="O70" s="33"/>
      <c r="P70" s="33"/>
      <c r="Q70" s="28"/>
      <c r="R70" s="28"/>
      <c r="S70" s="28"/>
      <c r="T70" s="28"/>
      <c r="U70" s="28"/>
      <c r="V70" s="28"/>
      <c r="W70" s="28"/>
      <c r="X70" s="28"/>
      <c r="Y70" s="28"/>
      <c r="Z70" s="28"/>
      <c r="AA70" s="28"/>
    </row>
    <row r="71" ht="18.75" customHeight="1">
      <c r="A71" s="34" t="s">
        <v>28</v>
      </c>
      <c r="B71" s="36">
        <v>150.0</v>
      </c>
      <c r="K71" s="28"/>
      <c r="L71" s="28"/>
      <c r="M71" s="33"/>
      <c r="N71" s="33"/>
      <c r="O71" s="33"/>
      <c r="P71" s="33"/>
      <c r="Q71" s="28"/>
      <c r="R71" s="28"/>
      <c r="S71" s="28"/>
      <c r="T71" s="28"/>
      <c r="U71" s="28"/>
      <c r="V71" s="28"/>
      <c r="W71" s="28"/>
      <c r="X71" s="28"/>
      <c r="Y71" s="28"/>
      <c r="Z71" s="28"/>
      <c r="AA71" s="28"/>
    </row>
    <row r="72" ht="18.75" customHeight="1">
      <c r="A72" s="34" t="s">
        <v>52</v>
      </c>
      <c r="B72" s="36">
        <v>-500.0</v>
      </c>
      <c r="K72" s="28"/>
      <c r="L72" s="28"/>
      <c r="M72" s="33"/>
      <c r="N72" s="33"/>
      <c r="O72" s="33"/>
      <c r="P72" s="33"/>
      <c r="Q72" s="28"/>
      <c r="R72" s="28"/>
      <c r="S72" s="28"/>
      <c r="T72" s="28"/>
      <c r="U72" s="28"/>
      <c r="V72" s="28"/>
      <c r="W72" s="28"/>
      <c r="X72" s="28"/>
      <c r="Y72" s="28"/>
      <c r="Z72" s="28"/>
      <c r="AA72" s="28"/>
    </row>
    <row r="73" ht="18.75" customHeight="1">
      <c r="A73" s="34" t="s">
        <v>290</v>
      </c>
      <c r="B73" s="36">
        <v>108.0</v>
      </c>
      <c r="K73" s="28"/>
      <c r="L73" s="28"/>
      <c r="M73" s="33"/>
      <c r="N73" s="33"/>
      <c r="O73" s="33"/>
      <c r="P73" s="33"/>
      <c r="Q73" s="28"/>
      <c r="R73" s="28"/>
      <c r="S73" s="28"/>
      <c r="T73" s="28"/>
      <c r="U73" s="28"/>
      <c r="V73" s="28"/>
      <c r="W73" s="28"/>
      <c r="X73" s="28"/>
      <c r="Y73" s="28"/>
      <c r="Z73" s="28"/>
      <c r="AA73" s="28"/>
    </row>
    <row r="74" ht="18.75" customHeight="1">
      <c r="A74" s="34" t="s">
        <v>49</v>
      </c>
      <c r="B74" s="36">
        <v>-300.0</v>
      </c>
      <c r="K74" s="28"/>
      <c r="L74" s="28"/>
      <c r="M74" s="33"/>
      <c r="N74" s="33"/>
      <c r="O74" s="33"/>
      <c r="P74" s="33"/>
      <c r="Q74" s="28"/>
      <c r="R74" s="28"/>
      <c r="S74" s="28"/>
      <c r="T74" s="28"/>
      <c r="U74" s="28"/>
      <c r="V74" s="28"/>
      <c r="W74" s="28"/>
      <c r="X74" s="28"/>
      <c r="Y74" s="28"/>
      <c r="Z74" s="28"/>
      <c r="AA74" s="28"/>
    </row>
    <row r="75" ht="18.75" customHeight="1">
      <c r="A75" s="34" t="s">
        <v>34</v>
      </c>
      <c r="B75" s="36">
        <v>-1900.0</v>
      </c>
      <c r="K75" s="28"/>
      <c r="L75" s="28"/>
      <c r="M75" s="33"/>
      <c r="N75" s="33"/>
      <c r="O75" s="33"/>
      <c r="P75" s="33"/>
      <c r="Q75" s="28"/>
      <c r="R75" s="28"/>
      <c r="S75" s="28"/>
      <c r="T75" s="28"/>
      <c r="U75" s="28"/>
      <c r="V75" s="28"/>
      <c r="W75" s="28"/>
      <c r="X75" s="28"/>
      <c r="Y75" s="28"/>
      <c r="Z75" s="28"/>
      <c r="AA75" s="28"/>
    </row>
    <row r="76" ht="18.75" customHeight="1">
      <c r="A76" s="34" t="s">
        <v>366</v>
      </c>
      <c r="B76" s="36">
        <v>40.0</v>
      </c>
      <c r="K76" s="28"/>
      <c r="L76" s="28"/>
      <c r="M76" s="33"/>
      <c r="N76" s="33"/>
      <c r="O76" s="33"/>
      <c r="P76" s="33"/>
      <c r="Q76" s="28"/>
      <c r="R76" s="28"/>
      <c r="S76" s="28"/>
      <c r="T76" s="28"/>
      <c r="U76" s="28"/>
      <c r="V76" s="28"/>
      <c r="W76" s="28"/>
      <c r="X76" s="28"/>
      <c r="Y76" s="28"/>
      <c r="Z76" s="28"/>
      <c r="AA76" s="28"/>
    </row>
    <row r="77" ht="18.75" customHeight="1">
      <c r="A77" s="34" t="s">
        <v>307</v>
      </c>
      <c r="B77" s="36">
        <v>32.0</v>
      </c>
      <c r="K77" s="28"/>
      <c r="L77" s="28"/>
      <c r="M77" s="33"/>
      <c r="N77" s="33"/>
      <c r="O77" s="33"/>
      <c r="P77" s="33"/>
      <c r="Q77" s="28"/>
      <c r="R77" s="28"/>
      <c r="S77" s="28"/>
      <c r="T77" s="28"/>
      <c r="U77" s="28"/>
      <c r="V77" s="28"/>
      <c r="W77" s="28"/>
      <c r="X77" s="28"/>
      <c r="Y77" s="28"/>
      <c r="Z77" s="28"/>
      <c r="AA77" s="28"/>
    </row>
    <row r="78" ht="18.75" customHeight="1">
      <c r="A78" s="34" t="s">
        <v>357</v>
      </c>
      <c r="B78" s="36">
        <v>0.0</v>
      </c>
      <c r="K78" s="28"/>
      <c r="L78" s="28"/>
      <c r="M78" s="33"/>
      <c r="N78" s="33"/>
      <c r="O78" s="33"/>
      <c r="P78" s="33"/>
      <c r="Q78" s="28"/>
      <c r="R78" s="28"/>
      <c r="S78" s="28"/>
      <c r="T78" s="28"/>
      <c r="U78" s="28"/>
      <c r="V78" s="28"/>
      <c r="W78" s="28"/>
      <c r="X78" s="28"/>
      <c r="Y78" s="28"/>
      <c r="Z78" s="28"/>
      <c r="AA78" s="28"/>
    </row>
    <row r="79" ht="18.75" customHeight="1">
      <c r="A79" s="34" t="s">
        <v>85</v>
      </c>
      <c r="B79" s="36">
        <v>-300.0</v>
      </c>
      <c r="K79" s="28"/>
      <c r="L79" s="28"/>
      <c r="M79" s="33"/>
      <c r="N79" s="33"/>
      <c r="O79" s="33"/>
      <c r="P79" s="33"/>
      <c r="Q79" s="28"/>
      <c r="R79" s="28"/>
      <c r="S79" s="28"/>
      <c r="T79" s="28"/>
      <c r="U79" s="28"/>
      <c r="V79" s="28"/>
      <c r="W79" s="28"/>
      <c r="X79" s="28"/>
      <c r="Y79" s="28"/>
      <c r="Z79" s="28"/>
      <c r="AA79" s="28"/>
    </row>
    <row r="80" ht="18.75" customHeight="1">
      <c r="A80" s="34" t="s">
        <v>521</v>
      </c>
      <c r="B80" s="36">
        <v>-259.35</v>
      </c>
      <c r="K80" s="28"/>
      <c r="L80" s="28"/>
      <c r="M80" s="33"/>
      <c r="N80" s="33"/>
      <c r="O80" s="33"/>
      <c r="P80" s="33"/>
      <c r="Q80" s="28"/>
      <c r="R80" s="28"/>
      <c r="S80" s="28"/>
      <c r="T80" s="28"/>
      <c r="U80" s="28"/>
      <c r="V80" s="28"/>
      <c r="W80" s="28"/>
      <c r="X80" s="28"/>
      <c r="Y80" s="28"/>
      <c r="Z80" s="28"/>
      <c r="AA80" s="28"/>
    </row>
    <row r="81" ht="18.75" customHeight="1">
      <c r="A81" s="34" t="s">
        <v>41</v>
      </c>
      <c r="B81" s="36">
        <v>-150.0</v>
      </c>
      <c r="K81" s="28"/>
      <c r="L81" s="28"/>
      <c r="M81" s="33"/>
      <c r="N81" s="33"/>
      <c r="O81" s="33"/>
      <c r="P81" s="33"/>
      <c r="Q81" s="28"/>
      <c r="R81" s="28"/>
      <c r="S81" s="28"/>
      <c r="T81" s="28"/>
      <c r="U81" s="28"/>
      <c r="V81" s="28"/>
      <c r="W81" s="28"/>
      <c r="X81" s="28"/>
      <c r="Y81" s="28"/>
      <c r="Z81" s="28"/>
      <c r="AA81" s="28"/>
    </row>
    <row r="82" ht="18.75" customHeight="1">
      <c r="A82" s="93" t="s">
        <v>439</v>
      </c>
      <c r="B82" s="94">
        <v>-812.9000000000002</v>
      </c>
      <c r="K82" s="28"/>
      <c r="L82" s="28"/>
      <c r="M82" s="33"/>
      <c r="N82" s="33"/>
      <c r="O82" s="33"/>
      <c r="P82" s="33"/>
      <c r="Q82" s="28"/>
      <c r="R82" s="28"/>
      <c r="S82" s="28"/>
      <c r="T82" s="28"/>
      <c r="U82" s="28"/>
      <c r="V82" s="28"/>
      <c r="W82" s="28"/>
      <c r="X82" s="28"/>
      <c r="Y82" s="28"/>
      <c r="Z82" s="28"/>
      <c r="AA82" s="28"/>
    </row>
    <row r="83" ht="18.75" customHeight="1">
      <c r="K83" s="28"/>
      <c r="L83" s="28"/>
      <c r="M83" s="33"/>
      <c r="N83" s="33"/>
      <c r="O83" s="33"/>
      <c r="P83" s="33"/>
      <c r="Q83" s="28"/>
      <c r="R83" s="28"/>
      <c r="S83" s="28"/>
      <c r="T83" s="28"/>
      <c r="U83" s="28"/>
      <c r="V83" s="28"/>
      <c r="W83" s="28"/>
      <c r="X83" s="28"/>
      <c r="Y83" s="28"/>
      <c r="Z83" s="28"/>
      <c r="AA83" s="28"/>
    </row>
    <row r="84" ht="18.75" customHeight="1">
      <c r="K84" s="28"/>
      <c r="L84" s="28"/>
      <c r="M84" s="33"/>
      <c r="N84" s="33"/>
      <c r="O84" s="33"/>
      <c r="P84" s="33"/>
      <c r="Q84" s="28"/>
      <c r="R84" s="28"/>
      <c r="S84" s="28"/>
      <c r="T84" s="28"/>
      <c r="U84" s="28"/>
      <c r="V84" s="28"/>
      <c r="W84" s="28"/>
      <c r="X84" s="28"/>
      <c r="Y84" s="28"/>
      <c r="Z84" s="28"/>
      <c r="AA84" s="28"/>
    </row>
    <row r="85" ht="18.75" customHeight="1">
      <c r="K85" s="28"/>
      <c r="L85" s="28"/>
      <c r="M85" s="33"/>
      <c r="N85" s="33"/>
      <c r="O85" s="33"/>
      <c r="P85" s="33"/>
      <c r="Q85" s="28"/>
      <c r="R85" s="28"/>
      <c r="S85" s="28"/>
      <c r="T85" s="28"/>
      <c r="U85" s="28"/>
      <c r="V85" s="28"/>
      <c r="W85" s="28"/>
      <c r="X85" s="28"/>
      <c r="Y85" s="28"/>
      <c r="Z85" s="28"/>
      <c r="AA85" s="28"/>
    </row>
    <row r="86" ht="18.75" customHeight="1">
      <c r="A86" s="31">
        <v>2026.0</v>
      </c>
      <c r="K86" s="28"/>
      <c r="L86" s="28"/>
      <c r="M86" s="33"/>
      <c r="N86" s="33"/>
      <c r="O86" s="33"/>
      <c r="P86" s="33"/>
      <c r="Q86" s="28"/>
      <c r="R86" s="28"/>
      <c r="S86" s="28"/>
      <c r="T86" s="28"/>
      <c r="U86" s="28"/>
      <c r="V86" s="28"/>
      <c r="W86" s="28"/>
      <c r="X86" s="28"/>
      <c r="Y86" s="28"/>
      <c r="Z86" s="28"/>
      <c r="AA86" s="28"/>
    </row>
    <row r="87" ht="18.75" customHeight="1">
      <c r="A87" s="27" t="s">
        <v>597</v>
      </c>
      <c r="C87" s="27" t="s">
        <v>282</v>
      </c>
      <c r="D87" s="27" t="s">
        <v>278</v>
      </c>
      <c r="E87" s="27" t="s">
        <v>279</v>
      </c>
      <c r="K87" s="28"/>
      <c r="L87" s="28"/>
      <c r="M87" s="33"/>
      <c r="N87" s="33"/>
      <c r="O87" s="33"/>
      <c r="P87" s="33"/>
      <c r="Q87" s="28"/>
      <c r="R87" s="28"/>
      <c r="S87" s="28"/>
      <c r="T87" s="28"/>
      <c r="U87" s="28"/>
      <c r="V87" s="28"/>
      <c r="W87" s="28"/>
      <c r="X87" s="28"/>
      <c r="Y87" s="28"/>
      <c r="Z87" s="28"/>
      <c r="AA87" s="28"/>
    </row>
    <row r="88" ht="18.75" customHeight="1">
      <c r="A88" s="34" t="s">
        <v>385</v>
      </c>
      <c r="C88" s="38">
        <v>38.0</v>
      </c>
      <c r="D88" s="36">
        <v>2239.0</v>
      </c>
      <c r="E88" s="36">
        <v>58.921052631578945</v>
      </c>
      <c r="K88" s="28"/>
      <c r="L88" s="28"/>
      <c r="M88" s="33"/>
      <c r="N88" s="33"/>
      <c r="O88" s="33"/>
      <c r="P88" s="33"/>
      <c r="Q88" s="28"/>
      <c r="R88" s="28"/>
      <c r="S88" s="28"/>
      <c r="T88" s="28"/>
      <c r="U88" s="28"/>
      <c r="V88" s="28"/>
      <c r="W88" s="28"/>
      <c r="X88" s="28"/>
      <c r="Y88" s="28"/>
      <c r="Z88" s="28"/>
      <c r="AA88" s="28"/>
    </row>
    <row r="89" ht="18.75" customHeight="1">
      <c r="A89" s="34" t="s">
        <v>317</v>
      </c>
      <c r="C89" s="38">
        <v>45.0</v>
      </c>
      <c r="D89" s="36">
        <v>1625.0</v>
      </c>
      <c r="E89" s="36">
        <v>36.111111111111114</v>
      </c>
      <c r="K89" s="28"/>
      <c r="L89" s="28"/>
      <c r="M89" s="33"/>
      <c r="N89" s="33"/>
      <c r="O89" s="33"/>
      <c r="P89" s="33"/>
      <c r="Q89" s="28"/>
      <c r="R89" s="28"/>
      <c r="S89" s="28"/>
      <c r="T89" s="28"/>
      <c r="U89" s="28"/>
      <c r="V89" s="28"/>
      <c r="W89" s="28"/>
      <c r="X89" s="28"/>
      <c r="Y89" s="28"/>
      <c r="Z89" s="28"/>
      <c r="AA89" s="28"/>
    </row>
    <row r="90" ht="18.75" customHeight="1">
      <c r="A90" s="34" t="s">
        <v>378</v>
      </c>
      <c r="C90" s="38">
        <v>31.0</v>
      </c>
      <c r="D90" s="36">
        <v>1015.0</v>
      </c>
      <c r="E90" s="36">
        <v>32.74193548387097</v>
      </c>
      <c r="K90" s="28"/>
      <c r="L90" s="28"/>
      <c r="M90" s="33"/>
      <c r="N90" s="33"/>
      <c r="O90" s="33"/>
      <c r="P90" s="33"/>
      <c r="Q90" s="28"/>
      <c r="R90" s="28"/>
      <c r="S90" s="28"/>
      <c r="T90" s="28"/>
      <c r="U90" s="28"/>
      <c r="V90" s="28"/>
      <c r="W90" s="28"/>
      <c r="X90" s="28"/>
      <c r="Y90" s="28"/>
      <c r="Z90" s="28"/>
      <c r="AA90" s="28"/>
    </row>
    <row r="91" ht="18.75" customHeight="1">
      <c r="A91" s="34" t="s">
        <v>326</v>
      </c>
      <c r="C91" s="38">
        <v>8.0</v>
      </c>
      <c r="D91" s="36">
        <v>300.0</v>
      </c>
      <c r="E91" s="36">
        <v>37.5</v>
      </c>
      <c r="K91" s="28"/>
      <c r="L91" s="28"/>
      <c r="M91" s="33"/>
      <c r="N91" s="33"/>
      <c r="O91" s="33"/>
      <c r="P91" s="33"/>
      <c r="Q91" s="28"/>
      <c r="R91" s="28"/>
      <c r="S91" s="28"/>
      <c r="T91" s="28"/>
      <c r="U91" s="28"/>
      <c r="V91" s="28"/>
      <c r="W91" s="28"/>
      <c r="X91" s="28"/>
      <c r="Y91" s="28"/>
      <c r="Z91" s="28"/>
      <c r="AA91" s="28"/>
    </row>
    <row r="92" ht="18.75" customHeight="1">
      <c r="K92" s="28"/>
      <c r="L92" s="28"/>
      <c r="M92" s="33"/>
      <c r="N92" s="33"/>
      <c r="O92" s="33"/>
      <c r="P92" s="33"/>
      <c r="Q92" s="28"/>
      <c r="R92" s="28"/>
      <c r="S92" s="28"/>
      <c r="T92" s="28"/>
      <c r="U92" s="28"/>
      <c r="V92" s="28"/>
      <c r="W92" s="28"/>
      <c r="X92" s="28"/>
      <c r="Y92" s="28"/>
      <c r="Z92" s="28"/>
      <c r="AA92" s="28"/>
    </row>
    <row r="93" ht="18.75" customHeight="1">
      <c r="K93" s="28"/>
      <c r="L93" s="28"/>
      <c r="M93" s="33"/>
      <c r="N93" s="33"/>
      <c r="O93" s="33"/>
      <c r="P93" s="33"/>
      <c r="Q93" s="28"/>
      <c r="R93" s="28"/>
      <c r="S93" s="28"/>
      <c r="T93" s="28"/>
      <c r="U93" s="28"/>
      <c r="V93" s="28"/>
      <c r="W93" s="28"/>
      <c r="X93" s="28"/>
      <c r="Y93" s="28"/>
      <c r="Z93" s="28"/>
      <c r="AA93" s="28"/>
    </row>
    <row r="94" ht="18.75" customHeight="1">
      <c r="A94" s="31">
        <v>2025.0</v>
      </c>
      <c r="K94" s="28"/>
      <c r="L94" s="28"/>
      <c r="M94" s="33"/>
      <c r="N94" s="33"/>
      <c r="O94" s="33"/>
      <c r="P94" s="33"/>
      <c r="Q94" s="28"/>
      <c r="R94" s="28"/>
      <c r="S94" s="28"/>
      <c r="T94" s="28"/>
      <c r="U94" s="28"/>
      <c r="V94" s="28"/>
      <c r="W94" s="28"/>
      <c r="X94" s="28"/>
      <c r="Y94" s="28"/>
      <c r="Z94" s="28"/>
      <c r="AA94" s="28"/>
    </row>
    <row r="95" ht="18.75" customHeight="1">
      <c r="A95" s="27" t="s">
        <v>597</v>
      </c>
      <c r="C95" s="27" t="s">
        <v>282</v>
      </c>
      <c r="D95" s="27" t="s">
        <v>278</v>
      </c>
      <c r="E95" s="27" t="s">
        <v>279</v>
      </c>
      <c r="K95" s="28"/>
      <c r="L95" s="28"/>
      <c r="M95" s="33"/>
      <c r="N95" s="33"/>
      <c r="O95" s="33"/>
      <c r="P95" s="33"/>
      <c r="Q95" s="28"/>
      <c r="R95" s="28"/>
      <c r="S95" s="28"/>
      <c r="T95" s="28"/>
      <c r="U95" s="28"/>
      <c r="V95" s="28"/>
      <c r="W95" s="28"/>
      <c r="X95" s="28"/>
      <c r="Y95" s="28"/>
      <c r="Z95" s="28"/>
      <c r="AA95" s="28"/>
    </row>
    <row r="96" ht="18.75" customHeight="1">
      <c r="A96" s="34" t="s">
        <v>385</v>
      </c>
      <c r="C96" s="38">
        <v>27.0</v>
      </c>
      <c r="D96" s="36">
        <v>1875.0</v>
      </c>
      <c r="E96" s="36">
        <v>69.44444444444444</v>
      </c>
      <c r="K96" s="28"/>
      <c r="L96" s="28"/>
      <c r="M96" s="33"/>
      <c r="N96" s="33"/>
      <c r="O96" s="33"/>
      <c r="P96" s="33"/>
      <c r="Q96" s="28"/>
      <c r="R96" s="28"/>
      <c r="S96" s="28"/>
      <c r="T96" s="28"/>
      <c r="U96" s="28"/>
      <c r="V96" s="28"/>
      <c r="W96" s="28"/>
      <c r="X96" s="28"/>
      <c r="Y96" s="28"/>
      <c r="Z96" s="28"/>
      <c r="AA96" s="28"/>
    </row>
    <row r="97" ht="18.75" customHeight="1">
      <c r="A97" s="34" t="s">
        <v>317</v>
      </c>
      <c r="C97" s="38">
        <v>57.0</v>
      </c>
      <c r="D97" s="36">
        <v>1425.0</v>
      </c>
      <c r="E97" s="36">
        <v>25.0</v>
      </c>
      <c r="K97" s="28"/>
      <c r="L97" s="28"/>
      <c r="M97" s="33"/>
      <c r="N97" s="33"/>
      <c r="O97" s="33"/>
      <c r="P97" s="33"/>
      <c r="Q97" s="28"/>
      <c r="R97" s="28"/>
      <c r="S97" s="28"/>
      <c r="T97" s="28"/>
      <c r="U97" s="28"/>
      <c r="V97" s="28"/>
      <c r="W97" s="28"/>
      <c r="X97" s="28"/>
      <c r="Y97" s="28"/>
      <c r="Z97" s="28"/>
      <c r="AA97" s="28"/>
    </row>
    <row r="98" ht="18.75" customHeight="1">
      <c r="A98" s="34" t="s">
        <v>378</v>
      </c>
      <c r="C98" s="38">
        <v>34.0</v>
      </c>
      <c r="D98" s="36">
        <v>910.0</v>
      </c>
      <c r="E98" s="36">
        <v>26.764705882352942</v>
      </c>
      <c r="K98" s="28"/>
      <c r="L98" s="28"/>
      <c r="M98" s="33"/>
      <c r="N98" s="33"/>
      <c r="O98" s="33"/>
      <c r="P98" s="33"/>
      <c r="Q98" s="28"/>
      <c r="R98" s="28"/>
      <c r="S98" s="28"/>
      <c r="T98" s="28"/>
      <c r="U98" s="28"/>
      <c r="V98" s="28"/>
      <c r="W98" s="28"/>
      <c r="X98" s="28"/>
      <c r="Y98" s="28"/>
      <c r="Z98" s="28"/>
      <c r="AA98" s="28"/>
    </row>
    <row r="99" ht="18.75" customHeight="1">
      <c r="A99" s="34" t="s">
        <v>326</v>
      </c>
      <c r="C99" s="38">
        <v>14.0</v>
      </c>
      <c r="D99" s="36">
        <v>600.0</v>
      </c>
      <c r="E99" s="36">
        <v>42.857142857142854</v>
      </c>
      <c r="K99" s="28"/>
      <c r="L99" s="28"/>
      <c r="M99" s="33"/>
      <c r="N99" s="33"/>
      <c r="O99" s="33"/>
      <c r="P99" s="33"/>
      <c r="Q99" s="28"/>
      <c r="R99" s="28"/>
      <c r="S99" s="28"/>
      <c r="T99" s="28"/>
      <c r="U99" s="28"/>
      <c r="V99" s="28"/>
      <c r="W99" s="28"/>
      <c r="X99" s="28"/>
      <c r="Y99" s="28"/>
      <c r="Z99" s="28"/>
      <c r="AA99" s="28"/>
    </row>
    <row r="100" ht="18.75" customHeight="1">
      <c r="K100" s="28"/>
      <c r="L100" s="28"/>
      <c r="M100" s="33"/>
      <c r="N100" s="33"/>
      <c r="O100" s="33"/>
      <c r="P100" s="33"/>
      <c r="Q100" s="28"/>
      <c r="R100" s="28"/>
      <c r="S100" s="28"/>
      <c r="T100" s="28"/>
      <c r="U100" s="28"/>
      <c r="V100" s="28"/>
      <c r="W100" s="28"/>
      <c r="X100" s="28"/>
      <c r="Y100" s="28"/>
      <c r="Z100" s="28"/>
      <c r="AA100" s="28"/>
    </row>
    <row r="101" ht="18.75" customHeight="1">
      <c r="K101" s="28"/>
      <c r="L101" s="28"/>
      <c r="M101" s="33"/>
      <c r="N101" s="33"/>
      <c r="O101" s="33"/>
      <c r="P101" s="33"/>
      <c r="Q101" s="28"/>
      <c r="R101" s="28"/>
      <c r="S101" s="28"/>
      <c r="T101" s="28"/>
      <c r="U101" s="28"/>
      <c r="V101" s="28"/>
      <c r="W101" s="28"/>
      <c r="X101" s="28"/>
      <c r="Y101" s="28"/>
      <c r="Z101" s="28"/>
      <c r="AA101" s="28"/>
    </row>
    <row r="102" ht="18.75" customHeight="1">
      <c r="K102" s="28"/>
      <c r="L102" s="28"/>
      <c r="M102" s="33"/>
      <c r="N102" s="33"/>
      <c r="O102" s="33"/>
      <c r="P102" s="33"/>
      <c r="Q102" s="28"/>
      <c r="R102" s="28"/>
      <c r="S102" s="28"/>
      <c r="T102" s="28"/>
      <c r="U102" s="28"/>
      <c r="V102" s="28"/>
      <c r="W102" s="28"/>
      <c r="X102" s="28"/>
      <c r="Y102" s="28"/>
      <c r="Z102" s="28"/>
      <c r="AA102" s="28"/>
    </row>
    <row r="103" ht="18.75" customHeight="1">
      <c r="K103" s="28"/>
      <c r="L103" s="28"/>
      <c r="M103" s="33"/>
      <c r="N103" s="33"/>
      <c r="O103" s="33"/>
      <c r="P103" s="33"/>
      <c r="Q103" s="28"/>
      <c r="R103" s="28"/>
      <c r="S103" s="28"/>
      <c r="T103" s="28"/>
      <c r="U103" s="28"/>
      <c r="V103" s="28"/>
      <c r="W103" s="28"/>
      <c r="X103" s="28"/>
      <c r="Y103" s="28"/>
      <c r="Z103" s="28"/>
      <c r="AA103" s="28"/>
    </row>
    <row r="104" ht="18.75" customHeight="1">
      <c r="K104" s="28"/>
      <c r="L104" s="28"/>
      <c r="M104" s="33"/>
      <c r="N104" s="33"/>
      <c r="O104" s="33"/>
      <c r="P104" s="33"/>
      <c r="Q104" s="28"/>
      <c r="R104" s="28"/>
      <c r="S104" s="28"/>
      <c r="T104" s="28"/>
      <c r="U104" s="28"/>
      <c r="V104" s="28"/>
      <c r="W104" s="28"/>
      <c r="X104" s="28"/>
      <c r="Y104" s="28"/>
      <c r="Z104" s="28"/>
      <c r="AA104" s="28"/>
    </row>
    <row r="105" ht="18.75" customHeight="1">
      <c r="K105" s="28"/>
      <c r="L105" s="28"/>
      <c r="M105" s="33"/>
      <c r="N105" s="33"/>
      <c r="O105" s="33"/>
      <c r="P105" s="33"/>
      <c r="Q105" s="28"/>
      <c r="R105" s="28"/>
      <c r="S105" s="28"/>
      <c r="T105" s="28"/>
      <c r="U105" s="28"/>
      <c r="V105" s="28"/>
      <c r="W105" s="28"/>
      <c r="X105" s="28"/>
      <c r="Y105" s="28"/>
      <c r="Z105" s="28"/>
      <c r="AA105" s="28"/>
    </row>
    <row r="106" ht="18.75" customHeight="1">
      <c r="K106" s="28"/>
      <c r="L106" s="28"/>
      <c r="M106" s="33"/>
      <c r="N106" s="33"/>
      <c r="O106" s="33"/>
      <c r="P106" s="33"/>
      <c r="Q106" s="28"/>
      <c r="R106" s="28"/>
      <c r="S106" s="28"/>
      <c r="T106" s="28"/>
      <c r="U106" s="28"/>
      <c r="V106" s="28"/>
      <c r="W106" s="28"/>
      <c r="X106" s="28"/>
      <c r="Y106" s="28"/>
      <c r="Z106" s="28"/>
      <c r="AA106" s="28"/>
    </row>
    <row r="107" ht="18.75" customHeight="1">
      <c r="K107" s="28"/>
      <c r="L107" s="28"/>
      <c r="M107" s="33"/>
      <c r="N107" s="33"/>
      <c r="O107" s="33"/>
      <c r="P107" s="33"/>
      <c r="Q107" s="28"/>
      <c r="R107" s="28"/>
      <c r="S107" s="28"/>
      <c r="T107" s="28"/>
      <c r="U107" s="28"/>
      <c r="V107" s="28"/>
      <c r="W107" s="28"/>
      <c r="X107" s="28"/>
      <c r="Y107" s="28"/>
      <c r="Z107" s="28"/>
      <c r="AA107" s="28"/>
    </row>
    <row r="108" ht="18.75" customHeight="1">
      <c r="K108" s="28"/>
      <c r="L108" s="28"/>
      <c r="M108" s="33"/>
      <c r="N108" s="33"/>
      <c r="O108" s="33"/>
      <c r="P108" s="33"/>
      <c r="Q108" s="28"/>
      <c r="R108" s="28"/>
      <c r="S108" s="28"/>
      <c r="T108" s="28"/>
      <c r="U108" s="28"/>
      <c r="V108" s="28"/>
      <c r="W108" s="28"/>
      <c r="X108" s="28"/>
      <c r="Y108" s="28"/>
      <c r="Z108" s="28"/>
      <c r="AA108" s="28"/>
    </row>
    <row r="109" ht="18.75" customHeight="1">
      <c r="K109" s="28"/>
      <c r="L109" s="28"/>
      <c r="M109" s="33"/>
      <c r="N109" s="33"/>
      <c r="O109" s="33"/>
      <c r="P109" s="33"/>
      <c r="Q109" s="28"/>
      <c r="R109" s="28"/>
      <c r="S109" s="28"/>
      <c r="T109" s="28"/>
      <c r="U109" s="28"/>
      <c r="V109" s="28"/>
      <c r="W109" s="28"/>
      <c r="X109" s="28"/>
      <c r="Y109" s="28"/>
      <c r="Z109" s="28"/>
      <c r="AA109" s="28"/>
    </row>
    <row r="110" ht="18.75" customHeight="1">
      <c r="K110" s="28"/>
      <c r="L110" s="28"/>
      <c r="M110" s="33"/>
      <c r="N110" s="33"/>
      <c r="O110" s="33"/>
      <c r="P110" s="33"/>
      <c r="Q110" s="28"/>
      <c r="R110" s="28"/>
      <c r="S110" s="28"/>
      <c r="T110" s="28"/>
      <c r="U110" s="28"/>
      <c r="V110" s="28"/>
      <c r="W110" s="28"/>
      <c r="X110" s="28"/>
      <c r="Y110" s="28"/>
      <c r="Z110" s="28"/>
      <c r="AA110" s="28"/>
    </row>
    <row r="111" ht="18.75" customHeight="1">
      <c r="K111" s="28"/>
      <c r="L111" s="28"/>
      <c r="M111" s="33"/>
      <c r="N111" s="33"/>
      <c r="O111" s="33"/>
      <c r="P111" s="33"/>
      <c r="Q111" s="28"/>
      <c r="R111" s="28"/>
      <c r="S111" s="28"/>
      <c r="T111" s="28"/>
      <c r="U111" s="28"/>
      <c r="V111" s="28"/>
      <c r="W111" s="28"/>
      <c r="X111" s="28"/>
      <c r="Y111" s="28"/>
      <c r="Z111" s="28"/>
      <c r="AA111" s="28"/>
    </row>
    <row r="112" ht="18.75" customHeight="1">
      <c r="K112" s="28"/>
      <c r="L112" s="28"/>
      <c r="M112" s="33"/>
      <c r="N112" s="33"/>
      <c r="O112" s="33"/>
      <c r="P112" s="33"/>
      <c r="Q112" s="28"/>
      <c r="R112" s="28"/>
      <c r="S112" s="28"/>
      <c r="T112" s="28"/>
      <c r="U112" s="28"/>
      <c r="V112" s="28"/>
      <c r="W112" s="28"/>
      <c r="X112" s="28"/>
      <c r="Y112" s="28"/>
      <c r="Z112" s="28"/>
      <c r="AA112" s="28"/>
    </row>
    <row r="113" ht="18.75" customHeight="1">
      <c r="K113" s="28"/>
      <c r="L113" s="28"/>
      <c r="M113" s="33"/>
      <c r="N113" s="33"/>
      <c r="O113" s="33"/>
      <c r="P113" s="33"/>
      <c r="Q113" s="28"/>
      <c r="R113" s="28"/>
      <c r="S113" s="28"/>
      <c r="T113" s="28"/>
      <c r="U113" s="28"/>
      <c r="V113" s="28"/>
      <c r="W113" s="28"/>
      <c r="X113" s="28"/>
      <c r="Y113" s="28"/>
      <c r="Z113" s="28"/>
      <c r="AA113" s="28"/>
    </row>
    <row r="114" ht="18.75" customHeight="1">
      <c r="K114" s="28"/>
      <c r="L114" s="28"/>
      <c r="M114" s="33"/>
      <c r="N114" s="33"/>
      <c r="O114" s="33"/>
      <c r="P114" s="33"/>
      <c r="Q114" s="28"/>
      <c r="R114" s="28"/>
      <c r="S114" s="28"/>
      <c r="T114" s="28"/>
      <c r="U114" s="28"/>
      <c r="V114" s="28"/>
      <c r="W114" s="28"/>
      <c r="X114" s="28"/>
      <c r="Y114" s="28"/>
      <c r="Z114" s="28"/>
      <c r="AA114" s="28"/>
    </row>
    <row r="115" ht="18.75" customHeight="1">
      <c r="K115" s="28"/>
      <c r="L115" s="28"/>
      <c r="M115" s="33"/>
      <c r="N115" s="33"/>
      <c r="O115" s="33"/>
      <c r="P115" s="33"/>
      <c r="Q115" s="28"/>
      <c r="R115" s="28"/>
      <c r="S115" s="28"/>
      <c r="T115" s="28"/>
      <c r="U115" s="28"/>
      <c r="V115" s="28"/>
      <c r="W115" s="28"/>
      <c r="X115" s="28"/>
      <c r="Y115" s="28"/>
      <c r="Z115" s="28"/>
      <c r="AA115" s="28"/>
    </row>
    <row r="116" ht="18.75" customHeight="1">
      <c r="K116" s="28"/>
      <c r="L116" s="28"/>
      <c r="M116" s="33"/>
      <c r="N116" s="33"/>
      <c r="O116" s="33"/>
      <c r="P116" s="33"/>
      <c r="Q116" s="28"/>
      <c r="R116" s="28"/>
      <c r="S116" s="28"/>
      <c r="T116" s="28"/>
      <c r="U116" s="28"/>
      <c r="V116" s="28"/>
      <c r="W116" s="28"/>
      <c r="X116" s="28"/>
      <c r="Y116" s="28"/>
      <c r="Z116" s="28"/>
      <c r="AA116" s="28"/>
    </row>
    <row r="117" ht="18.75" customHeight="1">
      <c r="K117" s="28"/>
      <c r="L117" s="28"/>
      <c r="M117" s="33"/>
      <c r="N117" s="33"/>
      <c r="O117" s="33"/>
      <c r="P117" s="33"/>
      <c r="Q117" s="28"/>
      <c r="R117" s="28"/>
      <c r="S117" s="28"/>
      <c r="T117" s="28"/>
      <c r="U117" s="28"/>
      <c r="V117" s="28"/>
      <c r="W117" s="28"/>
      <c r="X117" s="28"/>
      <c r="Y117" s="28"/>
      <c r="Z117" s="28"/>
      <c r="AA117" s="28"/>
    </row>
    <row r="118" ht="18.75" customHeight="1">
      <c r="K118" s="28"/>
      <c r="L118" s="28"/>
      <c r="M118" s="33"/>
      <c r="N118" s="33"/>
      <c r="O118" s="33"/>
      <c r="P118" s="33"/>
      <c r="Q118" s="28"/>
      <c r="R118" s="28"/>
      <c r="S118" s="28"/>
      <c r="T118" s="28"/>
      <c r="U118" s="28"/>
      <c r="V118" s="28"/>
      <c r="W118" s="28"/>
      <c r="X118" s="28"/>
      <c r="Y118" s="28"/>
      <c r="Z118" s="28"/>
      <c r="AA118" s="28"/>
    </row>
    <row r="119" ht="18.75" customHeight="1">
      <c r="K119" s="28"/>
      <c r="L119" s="28"/>
      <c r="M119" s="33"/>
      <c r="N119" s="33"/>
      <c r="O119" s="33"/>
      <c r="P119" s="33"/>
      <c r="Q119" s="28"/>
      <c r="R119" s="28"/>
      <c r="S119" s="28"/>
      <c r="T119" s="28"/>
      <c r="U119" s="28"/>
      <c r="V119" s="28"/>
      <c r="W119" s="28"/>
      <c r="X119" s="28"/>
      <c r="Y119" s="28"/>
      <c r="Z119" s="28"/>
      <c r="AA119" s="28"/>
    </row>
    <row r="120" ht="18.75" customHeight="1">
      <c r="K120" s="28"/>
      <c r="L120" s="28"/>
      <c r="M120" s="33"/>
      <c r="N120" s="33"/>
      <c r="O120" s="33"/>
      <c r="P120" s="33"/>
      <c r="Q120" s="28"/>
      <c r="R120" s="28"/>
      <c r="S120" s="28"/>
      <c r="T120" s="28"/>
      <c r="U120" s="28"/>
      <c r="V120" s="28"/>
      <c r="W120" s="28"/>
      <c r="X120" s="28"/>
      <c r="Y120" s="28"/>
      <c r="Z120" s="28"/>
      <c r="AA120" s="28"/>
    </row>
    <row r="121" ht="18.75" customHeight="1">
      <c r="K121" s="28"/>
      <c r="L121" s="28"/>
      <c r="M121" s="33"/>
      <c r="N121" s="33"/>
      <c r="O121" s="33"/>
      <c r="P121" s="33"/>
      <c r="Q121" s="28"/>
      <c r="R121" s="28"/>
      <c r="S121" s="28"/>
      <c r="T121" s="28"/>
      <c r="U121" s="28"/>
      <c r="V121" s="28"/>
      <c r="W121" s="28"/>
      <c r="X121" s="28"/>
      <c r="Y121" s="28"/>
      <c r="Z121" s="28"/>
      <c r="AA121" s="28"/>
    </row>
    <row r="122" ht="18.75" customHeight="1">
      <c r="K122" s="28"/>
      <c r="L122" s="28"/>
      <c r="M122" s="33"/>
      <c r="N122" s="33"/>
      <c r="O122" s="33"/>
      <c r="P122" s="33"/>
      <c r="Q122" s="28"/>
      <c r="R122" s="28"/>
      <c r="S122" s="28"/>
      <c r="T122" s="28"/>
      <c r="U122" s="28"/>
      <c r="V122" s="28"/>
      <c r="W122" s="28"/>
      <c r="X122" s="28"/>
      <c r="Y122" s="28"/>
      <c r="Z122" s="28"/>
      <c r="AA122" s="28"/>
    </row>
    <row r="123" ht="18.75" customHeight="1">
      <c r="K123" s="28"/>
      <c r="L123" s="28"/>
      <c r="M123" s="33"/>
      <c r="N123" s="33"/>
      <c r="O123" s="33"/>
      <c r="P123" s="33"/>
      <c r="Q123" s="28"/>
      <c r="R123" s="28"/>
      <c r="S123" s="28"/>
      <c r="T123" s="28"/>
      <c r="U123" s="28"/>
      <c r="V123" s="28"/>
      <c r="W123" s="28"/>
      <c r="X123" s="28"/>
      <c r="Y123" s="28"/>
      <c r="Z123" s="28"/>
      <c r="AA123" s="28"/>
    </row>
    <row r="124" ht="18.75" customHeight="1">
      <c r="K124" s="28"/>
      <c r="L124" s="28"/>
      <c r="M124" s="33"/>
      <c r="N124" s="33"/>
      <c r="O124" s="33"/>
      <c r="P124" s="33"/>
      <c r="Q124" s="28"/>
      <c r="R124" s="28"/>
      <c r="S124" s="28"/>
      <c r="T124" s="28"/>
      <c r="U124" s="28"/>
      <c r="V124" s="28"/>
      <c r="W124" s="28"/>
      <c r="X124" s="28"/>
      <c r="Y124" s="28"/>
      <c r="Z124" s="28"/>
      <c r="AA124" s="28"/>
    </row>
    <row r="125" ht="18.75" customHeight="1">
      <c r="K125" s="28"/>
      <c r="L125" s="28"/>
      <c r="M125" s="33"/>
      <c r="N125" s="33"/>
      <c r="O125" s="33"/>
      <c r="P125" s="33"/>
      <c r="Q125" s="28"/>
      <c r="R125" s="28"/>
      <c r="S125" s="28"/>
      <c r="T125" s="28"/>
      <c r="U125" s="28"/>
      <c r="V125" s="28"/>
      <c r="W125" s="28"/>
      <c r="X125" s="28"/>
      <c r="Y125" s="28"/>
      <c r="Z125" s="28"/>
      <c r="AA125" s="28"/>
    </row>
    <row r="126" ht="18.75" customHeight="1">
      <c r="K126" s="28"/>
      <c r="L126" s="28"/>
      <c r="M126" s="33"/>
      <c r="N126" s="33"/>
      <c r="O126" s="33"/>
      <c r="P126" s="33"/>
      <c r="Q126" s="28"/>
      <c r="R126" s="28"/>
      <c r="S126" s="28"/>
      <c r="T126" s="28"/>
      <c r="U126" s="28"/>
      <c r="V126" s="28"/>
      <c r="W126" s="28"/>
      <c r="X126" s="28"/>
      <c r="Y126" s="28"/>
      <c r="Z126" s="28"/>
      <c r="AA126" s="28"/>
    </row>
    <row r="127" ht="18.75" customHeight="1">
      <c r="K127" s="28"/>
      <c r="L127" s="28"/>
      <c r="M127" s="33"/>
      <c r="N127" s="33"/>
      <c r="O127" s="33"/>
      <c r="P127" s="33"/>
      <c r="Q127" s="28"/>
      <c r="R127" s="28"/>
      <c r="S127" s="28"/>
      <c r="T127" s="28"/>
      <c r="U127" s="28"/>
      <c r="V127" s="28"/>
      <c r="W127" s="28"/>
      <c r="X127" s="28"/>
      <c r="Y127" s="28"/>
      <c r="Z127" s="28"/>
      <c r="AA127" s="28"/>
    </row>
    <row r="128" ht="18.75" customHeight="1">
      <c r="K128" s="28"/>
      <c r="L128" s="28"/>
      <c r="M128" s="33"/>
      <c r="N128" s="33"/>
      <c r="O128" s="33"/>
      <c r="P128" s="33"/>
      <c r="Q128" s="28"/>
      <c r="R128" s="28"/>
      <c r="S128" s="28"/>
      <c r="T128" s="28"/>
      <c r="U128" s="28"/>
      <c r="V128" s="28"/>
      <c r="W128" s="28"/>
      <c r="X128" s="28"/>
      <c r="Y128" s="28"/>
      <c r="Z128" s="28"/>
      <c r="AA128" s="28"/>
    </row>
    <row r="129" ht="18.75" customHeight="1">
      <c r="K129" s="28"/>
      <c r="L129" s="28"/>
      <c r="M129" s="33"/>
      <c r="N129" s="33"/>
      <c r="O129" s="33"/>
      <c r="P129" s="33"/>
      <c r="Q129" s="28"/>
      <c r="R129" s="28"/>
      <c r="S129" s="28"/>
      <c r="T129" s="28"/>
      <c r="U129" s="28"/>
      <c r="V129" s="28"/>
      <c r="W129" s="28"/>
      <c r="X129" s="28"/>
      <c r="Y129" s="28"/>
      <c r="Z129" s="28"/>
      <c r="AA129" s="28"/>
    </row>
    <row r="130" ht="18.75" customHeight="1">
      <c r="K130" s="28"/>
      <c r="L130" s="28"/>
      <c r="M130" s="33"/>
      <c r="N130" s="33"/>
      <c r="O130" s="33"/>
      <c r="P130" s="33"/>
      <c r="Q130" s="28"/>
      <c r="R130" s="28"/>
      <c r="S130" s="28"/>
      <c r="T130" s="28"/>
      <c r="U130" s="28"/>
      <c r="V130" s="28"/>
      <c r="W130" s="28"/>
      <c r="X130" s="28"/>
      <c r="Y130" s="28"/>
      <c r="Z130" s="28"/>
      <c r="AA130" s="28"/>
    </row>
    <row r="131" ht="18.75" customHeight="1">
      <c r="K131" s="28"/>
      <c r="L131" s="28"/>
      <c r="M131" s="33"/>
      <c r="N131" s="33"/>
      <c r="O131" s="33"/>
      <c r="P131" s="33"/>
      <c r="Q131" s="28"/>
      <c r="R131" s="28"/>
      <c r="S131" s="28"/>
      <c r="T131" s="28"/>
      <c r="U131" s="28"/>
      <c r="V131" s="28"/>
      <c r="W131" s="28"/>
      <c r="X131" s="28"/>
      <c r="Y131" s="28"/>
      <c r="Z131" s="28"/>
      <c r="AA131" s="28"/>
    </row>
    <row r="132" ht="18.75" customHeight="1">
      <c r="K132" s="28"/>
      <c r="L132" s="28"/>
      <c r="M132" s="33"/>
      <c r="N132" s="33"/>
      <c r="O132" s="33"/>
      <c r="P132" s="33"/>
      <c r="Q132" s="28"/>
      <c r="R132" s="28"/>
      <c r="S132" s="28"/>
      <c r="T132" s="28"/>
      <c r="U132" s="28"/>
      <c r="V132" s="28"/>
      <c r="W132" s="28"/>
      <c r="X132" s="28"/>
      <c r="Y132" s="28"/>
      <c r="Z132" s="28"/>
      <c r="AA132" s="28"/>
    </row>
    <row r="133" ht="18.75" customHeight="1">
      <c r="K133" s="28"/>
      <c r="L133" s="28"/>
      <c r="M133" s="33"/>
      <c r="N133" s="33"/>
      <c r="O133" s="33"/>
      <c r="P133" s="33"/>
      <c r="Q133" s="28"/>
      <c r="R133" s="28"/>
      <c r="S133" s="28"/>
      <c r="T133" s="28"/>
      <c r="U133" s="28"/>
      <c r="V133" s="28"/>
      <c r="W133" s="28"/>
      <c r="X133" s="28"/>
      <c r="Y133" s="28"/>
      <c r="Z133" s="28"/>
      <c r="AA133" s="28"/>
    </row>
    <row r="134" ht="18.75" customHeight="1">
      <c r="K134" s="28"/>
      <c r="L134" s="28"/>
      <c r="M134" s="33"/>
      <c r="N134" s="33"/>
      <c r="O134" s="33"/>
      <c r="P134" s="33"/>
      <c r="Q134" s="28"/>
      <c r="R134" s="28"/>
      <c r="S134" s="28"/>
      <c r="T134" s="28"/>
      <c r="U134" s="28"/>
      <c r="V134" s="28"/>
      <c r="W134" s="28"/>
      <c r="X134" s="28"/>
      <c r="Y134" s="28"/>
      <c r="Z134" s="28"/>
      <c r="AA134" s="28"/>
    </row>
    <row r="135" ht="18.75" customHeight="1">
      <c r="K135" s="28"/>
      <c r="L135" s="28"/>
      <c r="M135" s="33"/>
      <c r="N135" s="33"/>
      <c r="O135" s="33"/>
      <c r="P135" s="33"/>
      <c r="Q135" s="28"/>
      <c r="R135" s="28"/>
      <c r="S135" s="28"/>
      <c r="T135" s="28"/>
      <c r="U135" s="28"/>
      <c r="V135" s="28"/>
      <c r="W135" s="28"/>
      <c r="X135" s="28"/>
      <c r="Y135" s="28"/>
      <c r="Z135" s="28"/>
      <c r="AA135" s="28"/>
    </row>
    <row r="136" ht="18.75" customHeight="1">
      <c r="K136" s="28"/>
      <c r="L136" s="28"/>
      <c r="M136" s="33"/>
      <c r="N136" s="33"/>
      <c r="O136" s="33"/>
      <c r="P136" s="33"/>
      <c r="Q136" s="28"/>
      <c r="R136" s="28"/>
      <c r="S136" s="28"/>
      <c r="T136" s="28"/>
      <c r="U136" s="28"/>
      <c r="V136" s="28"/>
      <c r="W136" s="28"/>
      <c r="X136" s="28"/>
      <c r="Y136" s="28"/>
      <c r="Z136" s="28"/>
      <c r="AA136" s="28"/>
    </row>
    <row r="137" ht="18.75" customHeight="1">
      <c r="K137" s="28"/>
      <c r="L137" s="28"/>
      <c r="M137" s="33"/>
      <c r="N137" s="33"/>
      <c r="O137" s="33"/>
      <c r="P137" s="33"/>
      <c r="Q137" s="28"/>
      <c r="R137" s="28"/>
      <c r="S137" s="28"/>
      <c r="T137" s="28"/>
      <c r="U137" s="28"/>
      <c r="V137" s="28"/>
      <c r="W137" s="28"/>
      <c r="X137" s="28"/>
      <c r="Y137" s="28"/>
      <c r="Z137" s="28"/>
      <c r="AA137" s="28"/>
    </row>
    <row r="138" ht="18.75" customHeight="1">
      <c r="K138" s="28"/>
      <c r="L138" s="28"/>
      <c r="M138" s="33"/>
      <c r="N138" s="33"/>
      <c r="O138" s="33"/>
      <c r="P138" s="33"/>
      <c r="Q138" s="28"/>
      <c r="R138" s="28"/>
      <c r="S138" s="28"/>
      <c r="T138" s="28"/>
      <c r="U138" s="28"/>
      <c r="V138" s="28"/>
      <c r="W138" s="28"/>
      <c r="X138" s="28"/>
      <c r="Y138" s="28"/>
      <c r="Z138" s="28"/>
      <c r="AA138" s="28"/>
    </row>
    <row r="139" ht="18.75" customHeight="1">
      <c r="K139" s="28"/>
      <c r="L139" s="28"/>
      <c r="M139" s="33"/>
      <c r="N139" s="33"/>
      <c r="O139" s="33"/>
      <c r="P139" s="33"/>
      <c r="Q139" s="28"/>
      <c r="R139" s="28"/>
      <c r="S139" s="28"/>
      <c r="T139" s="28"/>
      <c r="U139" s="28"/>
      <c r="V139" s="28"/>
      <c r="W139" s="28"/>
      <c r="X139" s="28"/>
      <c r="Y139" s="28"/>
      <c r="Z139" s="28"/>
      <c r="AA139" s="28"/>
    </row>
    <row r="140" ht="18.75" customHeight="1">
      <c r="K140" s="28"/>
      <c r="L140" s="28"/>
      <c r="M140" s="33"/>
      <c r="N140" s="33"/>
      <c r="O140" s="33"/>
      <c r="P140" s="33"/>
      <c r="Q140" s="28"/>
      <c r="R140" s="28"/>
      <c r="S140" s="28"/>
      <c r="T140" s="28"/>
      <c r="U140" s="28"/>
      <c r="V140" s="28"/>
      <c r="W140" s="28"/>
      <c r="X140" s="28"/>
      <c r="Y140" s="28"/>
      <c r="Z140" s="28"/>
      <c r="AA140" s="28"/>
    </row>
    <row r="141" ht="18.75" customHeight="1">
      <c r="K141" s="28"/>
      <c r="L141" s="28"/>
      <c r="M141" s="33"/>
      <c r="N141" s="33"/>
      <c r="O141" s="33"/>
      <c r="P141" s="33"/>
      <c r="Q141" s="28"/>
      <c r="R141" s="28"/>
      <c r="S141" s="28"/>
      <c r="T141" s="28"/>
      <c r="U141" s="28"/>
      <c r="V141" s="28"/>
      <c r="W141" s="28"/>
      <c r="X141" s="28"/>
      <c r="Y141" s="28"/>
      <c r="Z141" s="28"/>
      <c r="AA141" s="28"/>
    </row>
    <row r="142" ht="18.75" customHeight="1">
      <c r="K142" s="28"/>
      <c r="L142" s="28"/>
      <c r="M142" s="33"/>
      <c r="N142" s="33"/>
      <c r="O142" s="33"/>
      <c r="P142" s="33"/>
      <c r="Q142" s="28"/>
      <c r="R142" s="28"/>
      <c r="S142" s="28"/>
      <c r="T142" s="28"/>
      <c r="U142" s="28"/>
      <c r="V142" s="28"/>
      <c r="W142" s="28"/>
      <c r="X142" s="28"/>
      <c r="Y142" s="28"/>
      <c r="Z142" s="28"/>
      <c r="AA142" s="28"/>
    </row>
    <row r="143" ht="18.75" customHeight="1">
      <c r="K143" s="28"/>
      <c r="L143" s="28"/>
      <c r="M143" s="33"/>
      <c r="N143" s="33"/>
      <c r="O143" s="33"/>
      <c r="P143" s="33"/>
      <c r="Q143" s="28"/>
      <c r="R143" s="28"/>
      <c r="S143" s="28"/>
      <c r="T143" s="28"/>
      <c r="U143" s="28"/>
      <c r="V143" s="28"/>
      <c r="W143" s="28"/>
      <c r="X143" s="28"/>
      <c r="Y143" s="28"/>
      <c r="Z143" s="28"/>
      <c r="AA143" s="28"/>
    </row>
    <row r="144" ht="18.75" customHeight="1">
      <c r="K144" s="28"/>
      <c r="L144" s="28"/>
      <c r="M144" s="33"/>
      <c r="N144" s="33"/>
      <c r="O144" s="33"/>
      <c r="P144" s="33"/>
      <c r="Q144" s="28"/>
      <c r="R144" s="28"/>
      <c r="S144" s="28"/>
      <c r="T144" s="28"/>
      <c r="U144" s="28"/>
      <c r="V144" s="28"/>
      <c r="W144" s="28"/>
      <c r="X144" s="28"/>
      <c r="Y144" s="28"/>
      <c r="Z144" s="28"/>
      <c r="AA144" s="28"/>
    </row>
    <row r="145" ht="18.75" customHeight="1">
      <c r="K145" s="28"/>
      <c r="L145" s="28"/>
      <c r="M145" s="33"/>
      <c r="N145" s="33"/>
      <c r="O145" s="33"/>
      <c r="P145" s="33"/>
      <c r="Q145" s="28"/>
      <c r="R145" s="28"/>
      <c r="S145" s="28"/>
      <c r="T145" s="28"/>
      <c r="U145" s="28"/>
      <c r="V145" s="28"/>
      <c r="W145" s="28"/>
      <c r="X145" s="28"/>
      <c r="Y145" s="28"/>
      <c r="Z145" s="28"/>
      <c r="AA145" s="28"/>
    </row>
    <row r="146" ht="18.75" customHeight="1">
      <c r="K146" s="28"/>
      <c r="L146" s="28"/>
      <c r="M146" s="33"/>
      <c r="N146" s="33"/>
      <c r="O146" s="33"/>
      <c r="P146" s="33"/>
      <c r="Q146" s="28"/>
      <c r="R146" s="28"/>
      <c r="S146" s="28"/>
      <c r="T146" s="28"/>
      <c r="U146" s="28"/>
      <c r="V146" s="28"/>
      <c r="W146" s="28"/>
      <c r="X146" s="28"/>
      <c r="Y146" s="28"/>
      <c r="Z146" s="28"/>
      <c r="AA146" s="28"/>
    </row>
    <row r="147" ht="18.75" customHeight="1">
      <c r="K147" s="28"/>
      <c r="L147" s="28"/>
      <c r="M147" s="33"/>
      <c r="N147" s="33"/>
      <c r="O147" s="33"/>
      <c r="P147" s="33"/>
      <c r="Q147" s="28"/>
      <c r="R147" s="28"/>
      <c r="S147" s="28"/>
      <c r="T147" s="28"/>
      <c r="U147" s="28"/>
      <c r="V147" s="28"/>
      <c r="W147" s="28"/>
      <c r="X147" s="28"/>
      <c r="Y147" s="28"/>
      <c r="Z147" s="28"/>
      <c r="AA147" s="28"/>
    </row>
    <row r="148" ht="18.75" customHeight="1">
      <c r="K148" s="28"/>
      <c r="L148" s="28"/>
      <c r="M148" s="33"/>
      <c r="N148" s="33"/>
      <c r="O148" s="33"/>
      <c r="P148" s="33"/>
      <c r="Q148" s="28"/>
      <c r="R148" s="28"/>
      <c r="S148" s="28"/>
      <c r="T148" s="28"/>
      <c r="U148" s="28"/>
      <c r="V148" s="28"/>
      <c r="W148" s="28"/>
      <c r="X148" s="28"/>
      <c r="Y148" s="28"/>
      <c r="Z148" s="28"/>
      <c r="AA148" s="28"/>
    </row>
    <row r="149" ht="18.75" customHeight="1">
      <c r="K149" s="28"/>
      <c r="L149" s="28"/>
      <c r="M149" s="33"/>
      <c r="N149" s="33"/>
      <c r="O149" s="33"/>
      <c r="P149" s="33"/>
      <c r="Q149" s="28"/>
      <c r="R149" s="28"/>
      <c r="S149" s="28"/>
      <c r="T149" s="28"/>
      <c r="U149" s="28"/>
      <c r="V149" s="28"/>
      <c r="W149" s="28"/>
      <c r="X149" s="28"/>
      <c r="Y149" s="28"/>
      <c r="Z149" s="28"/>
      <c r="AA149" s="28"/>
    </row>
    <row r="150" ht="18.75" customHeight="1">
      <c r="K150" s="28"/>
      <c r="L150" s="28"/>
      <c r="M150" s="33"/>
      <c r="N150" s="33"/>
      <c r="O150" s="33"/>
      <c r="P150" s="33"/>
      <c r="Q150" s="28"/>
      <c r="R150" s="28"/>
      <c r="S150" s="28"/>
      <c r="T150" s="28"/>
      <c r="U150" s="28"/>
      <c r="V150" s="28"/>
      <c r="W150" s="28"/>
      <c r="X150" s="28"/>
      <c r="Y150" s="28"/>
      <c r="Z150" s="28"/>
      <c r="AA150" s="28"/>
    </row>
    <row r="151" ht="18.75" customHeight="1">
      <c r="K151" s="28"/>
      <c r="L151" s="28"/>
      <c r="M151" s="33"/>
      <c r="N151" s="33"/>
      <c r="O151" s="33"/>
      <c r="P151" s="33"/>
      <c r="Q151" s="28"/>
      <c r="R151" s="28"/>
      <c r="S151" s="28"/>
      <c r="T151" s="28"/>
      <c r="U151" s="28"/>
      <c r="V151" s="28"/>
      <c r="W151" s="28"/>
      <c r="X151" s="28"/>
      <c r="Y151" s="28"/>
      <c r="Z151" s="28"/>
      <c r="AA151" s="28"/>
    </row>
    <row r="152" ht="18.75" customHeight="1">
      <c r="K152" s="28"/>
      <c r="L152" s="28"/>
      <c r="M152" s="33"/>
      <c r="N152" s="33"/>
      <c r="O152" s="33"/>
      <c r="P152" s="33"/>
      <c r="Q152" s="28"/>
      <c r="R152" s="28"/>
      <c r="S152" s="28"/>
      <c r="T152" s="28"/>
      <c r="U152" s="28"/>
      <c r="V152" s="28"/>
      <c r="W152" s="28"/>
      <c r="X152" s="28"/>
      <c r="Y152" s="28"/>
      <c r="Z152" s="28"/>
      <c r="AA152" s="28"/>
    </row>
    <row r="153" ht="18.75" customHeight="1">
      <c r="K153" s="28"/>
      <c r="L153" s="28"/>
      <c r="M153" s="33"/>
      <c r="N153" s="33"/>
      <c r="O153" s="33"/>
      <c r="P153" s="33"/>
      <c r="Q153" s="28"/>
      <c r="R153" s="28"/>
      <c r="S153" s="28"/>
      <c r="T153" s="28"/>
      <c r="U153" s="28"/>
      <c r="V153" s="28"/>
      <c r="W153" s="28"/>
      <c r="X153" s="28"/>
      <c r="Y153" s="28"/>
      <c r="Z153" s="28"/>
      <c r="AA153" s="28"/>
    </row>
    <row r="154" ht="18.75" customHeight="1">
      <c r="K154" s="28"/>
      <c r="L154" s="28"/>
      <c r="M154" s="33"/>
      <c r="N154" s="33"/>
      <c r="O154" s="33"/>
      <c r="P154" s="33"/>
      <c r="Q154" s="28"/>
      <c r="R154" s="28"/>
      <c r="S154" s="28"/>
      <c r="T154" s="28"/>
      <c r="U154" s="28"/>
      <c r="V154" s="28"/>
      <c r="W154" s="28"/>
      <c r="X154" s="28"/>
      <c r="Y154" s="28"/>
      <c r="Z154" s="28"/>
      <c r="AA154" s="28"/>
    </row>
    <row r="155" ht="18.75" customHeight="1">
      <c r="K155" s="28"/>
      <c r="L155" s="28"/>
      <c r="M155" s="33"/>
      <c r="N155" s="33"/>
      <c r="O155" s="33"/>
      <c r="P155" s="33"/>
      <c r="Q155" s="28"/>
      <c r="R155" s="28"/>
      <c r="S155" s="28"/>
      <c r="T155" s="28"/>
      <c r="U155" s="28"/>
      <c r="V155" s="28"/>
      <c r="W155" s="28"/>
      <c r="X155" s="28"/>
      <c r="Y155" s="28"/>
      <c r="Z155" s="28"/>
      <c r="AA155" s="28"/>
    </row>
    <row r="156" ht="18.75" customHeight="1">
      <c r="K156" s="28"/>
      <c r="L156" s="28"/>
      <c r="M156" s="33"/>
      <c r="N156" s="33"/>
      <c r="O156" s="33"/>
      <c r="P156" s="33"/>
      <c r="Q156" s="28"/>
      <c r="R156" s="28"/>
      <c r="S156" s="28"/>
      <c r="T156" s="28"/>
      <c r="U156" s="28"/>
      <c r="V156" s="28"/>
      <c r="W156" s="28"/>
      <c r="X156" s="28"/>
      <c r="Y156" s="28"/>
      <c r="Z156" s="28"/>
      <c r="AA156" s="28"/>
    </row>
    <row r="157" ht="18.75" customHeight="1">
      <c r="K157" s="28"/>
      <c r="L157" s="28"/>
      <c r="M157" s="33"/>
      <c r="N157" s="33"/>
      <c r="O157" s="33"/>
      <c r="P157" s="33"/>
      <c r="Q157" s="28"/>
      <c r="R157" s="28"/>
      <c r="S157" s="28"/>
      <c r="T157" s="28"/>
      <c r="U157" s="28"/>
      <c r="V157" s="28"/>
      <c r="W157" s="28"/>
      <c r="X157" s="28"/>
      <c r="Y157" s="28"/>
      <c r="Z157" s="28"/>
      <c r="AA157" s="28"/>
    </row>
    <row r="158" ht="18.75" customHeight="1">
      <c r="K158" s="28"/>
      <c r="L158" s="28"/>
      <c r="M158" s="33"/>
      <c r="N158" s="33"/>
      <c r="O158" s="33"/>
      <c r="P158" s="33"/>
      <c r="Q158" s="28"/>
      <c r="R158" s="28"/>
      <c r="S158" s="28"/>
      <c r="T158" s="28"/>
      <c r="U158" s="28"/>
      <c r="V158" s="28"/>
      <c r="W158" s="28"/>
      <c r="X158" s="28"/>
      <c r="Y158" s="28"/>
      <c r="Z158" s="28"/>
      <c r="AA158" s="28"/>
    </row>
    <row r="159" ht="18.75" customHeight="1">
      <c r="K159" s="28"/>
      <c r="L159" s="28"/>
      <c r="M159" s="33"/>
      <c r="N159" s="33"/>
      <c r="O159" s="33"/>
      <c r="P159" s="33"/>
      <c r="Q159" s="28"/>
      <c r="R159" s="28"/>
      <c r="S159" s="28"/>
      <c r="T159" s="28"/>
      <c r="U159" s="28"/>
      <c r="V159" s="28"/>
      <c r="W159" s="28"/>
      <c r="X159" s="28"/>
      <c r="Y159" s="28"/>
      <c r="Z159" s="28"/>
      <c r="AA159" s="28"/>
    </row>
    <row r="160" ht="18.75" customHeight="1">
      <c r="K160" s="28"/>
      <c r="L160" s="28"/>
      <c r="M160" s="33"/>
      <c r="N160" s="33"/>
      <c r="O160" s="33"/>
      <c r="P160" s="33"/>
      <c r="Q160" s="28"/>
      <c r="R160" s="28"/>
      <c r="S160" s="28"/>
      <c r="T160" s="28"/>
      <c r="U160" s="28"/>
      <c r="V160" s="28"/>
      <c r="W160" s="28"/>
      <c r="X160" s="28"/>
      <c r="Y160" s="28"/>
      <c r="Z160" s="28"/>
      <c r="AA160" s="28"/>
    </row>
    <row r="161" ht="18.75" customHeight="1">
      <c r="K161" s="28"/>
      <c r="L161" s="28"/>
      <c r="M161" s="33"/>
      <c r="N161" s="33"/>
      <c r="O161" s="33"/>
      <c r="P161" s="33"/>
      <c r="Q161" s="28"/>
      <c r="R161" s="28"/>
      <c r="S161" s="28"/>
      <c r="T161" s="28"/>
      <c r="U161" s="28"/>
      <c r="V161" s="28"/>
      <c r="W161" s="28"/>
      <c r="X161" s="28"/>
      <c r="Y161" s="28"/>
      <c r="Z161" s="28"/>
      <c r="AA161" s="28"/>
    </row>
    <row r="162" ht="18.75" customHeight="1">
      <c r="K162" s="28"/>
      <c r="L162" s="28"/>
      <c r="M162" s="33"/>
      <c r="N162" s="33"/>
      <c r="O162" s="33"/>
      <c r="P162" s="33"/>
      <c r="Q162" s="28"/>
      <c r="R162" s="28"/>
      <c r="S162" s="28"/>
      <c r="T162" s="28"/>
      <c r="U162" s="28"/>
      <c r="V162" s="28"/>
      <c r="W162" s="28"/>
      <c r="X162" s="28"/>
      <c r="Y162" s="28"/>
      <c r="Z162" s="28"/>
      <c r="AA162" s="28"/>
    </row>
    <row r="163" ht="18.75" customHeight="1">
      <c r="K163" s="28"/>
      <c r="L163" s="28"/>
      <c r="M163" s="33"/>
      <c r="N163" s="33"/>
      <c r="O163" s="33"/>
      <c r="P163" s="33"/>
      <c r="Q163" s="28"/>
      <c r="R163" s="28"/>
      <c r="S163" s="28"/>
      <c r="T163" s="28"/>
      <c r="U163" s="28"/>
      <c r="V163" s="28"/>
      <c r="W163" s="28"/>
      <c r="X163" s="28"/>
      <c r="Y163" s="28"/>
      <c r="Z163" s="28"/>
      <c r="AA163" s="28"/>
    </row>
    <row r="164" ht="18.75" customHeight="1">
      <c r="K164" s="28"/>
      <c r="L164" s="28"/>
      <c r="M164" s="33"/>
      <c r="N164" s="33"/>
      <c r="O164" s="33"/>
      <c r="P164" s="33"/>
      <c r="Q164" s="28"/>
      <c r="R164" s="28"/>
      <c r="S164" s="28"/>
      <c r="T164" s="28"/>
      <c r="U164" s="28"/>
      <c r="V164" s="28"/>
      <c r="W164" s="28"/>
      <c r="X164" s="28"/>
      <c r="Y164" s="28"/>
      <c r="Z164" s="28"/>
      <c r="AA164" s="28"/>
    </row>
    <row r="165" ht="18.75" customHeight="1">
      <c r="K165" s="28"/>
      <c r="L165" s="28"/>
      <c r="M165" s="33"/>
      <c r="N165" s="33"/>
      <c r="O165" s="33"/>
      <c r="P165" s="33"/>
      <c r="Q165" s="28"/>
      <c r="R165" s="28"/>
      <c r="S165" s="28"/>
      <c r="T165" s="28"/>
      <c r="U165" s="28"/>
      <c r="V165" s="28"/>
      <c r="W165" s="28"/>
      <c r="X165" s="28"/>
      <c r="Y165" s="28"/>
      <c r="Z165" s="28"/>
      <c r="AA165" s="28"/>
    </row>
    <row r="166" ht="18.75" customHeight="1">
      <c r="K166" s="28"/>
      <c r="L166" s="28"/>
      <c r="M166" s="33"/>
      <c r="N166" s="33"/>
      <c r="O166" s="33"/>
      <c r="P166" s="33"/>
      <c r="Q166" s="28"/>
      <c r="R166" s="28"/>
      <c r="S166" s="28"/>
      <c r="T166" s="28"/>
      <c r="U166" s="28"/>
      <c r="V166" s="28"/>
      <c r="W166" s="28"/>
      <c r="X166" s="28"/>
      <c r="Y166" s="28"/>
      <c r="Z166" s="28"/>
      <c r="AA166" s="28"/>
    </row>
    <row r="167" ht="18.75" customHeight="1">
      <c r="K167" s="28"/>
      <c r="L167" s="28"/>
      <c r="M167" s="33"/>
      <c r="N167" s="33"/>
      <c r="O167" s="33"/>
      <c r="P167" s="33"/>
      <c r="Q167" s="28"/>
      <c r="R167" s="28"/>
      <c r="S167" s="28"/>
      <c r="T167" s="28"/>
      <c r="U167" s="28"/>
      <c r="V167" s="28"/>
      <c r="W167" s="28"/>
      <c r="X167" s="28"/>
      <c r="Y167" s="28"/>
      <c r="Z167" s="28"/>
      <c r="AA167" s="28"/>
    </row>
    <row r="168" ht="18.75" customHeight="1">
      <c r="K168" s="28"/>
      <c r="L168" s="28"/>
      <c r="M168" s="33"/>
      <c r="N168" s="33"/>
      <c r="O168" s="33"/>
      <c r="P168" s="33"/>
      <c r="Q168" s="28"/>
      <c r="R168" s="28"/>
      <c r="S168" s="28"/>
      <c r="T168" s="28"/>
      <c r="U168" s="28"/>
      <c r="V168" s="28"/>
      <c r="W168" s="28"/>
      <c r="X168" s="28"/>
      <c r="Y168" s="28"/>
      <c r="Z168" s="28"/>
      <c r="AA168" s="28"/>
    </row>
    <row r="169" ht="18.75" customHeight="1">
      <c r="K169" s="28"/>
      <c r="L169" s="28"/>
      <c r="M169" s="33"/>
      <c r="N169" s="33"/>
      <c r="O169" s="33"/>
      <c r="P169" s="33"/>
      <c r="Q169" s="28"/>
      <c r="R169" s="28"/>
      <c r="S169" s="28"/>
      <c r="T169" s="28"/>
      <c r="U169" s="28"/>
      <c r="V169" s="28"/>
      <c r="W169" s="28"/>
      <c r="X169" s="28"/>
      <c r="Y169" s="28"/>
      <c r="Z169" s="28"/>
      <c r="AA169" s="28"/>
    </row>
    <row r="170" ht="18.75" customHeight="1">
      <c r="K170" s="28"/>
      <c r="L170" s="28"/>
      <c r="M170" s="33"/>
      <c r="N170" s="33"/>
      <c r="O170" s="33"/>
      <c r="P170" s="33"/>
      <c r="Q170" s="28"/>
      <c r="R170" s="28"/>
      <c r="S170" s="28"/>
      <c r="T170" s="28"/>
      <c r="U170" s="28"/>
      <c r="V170" s="28"/>
      <c r="W170" s="28"/>
      <c r="X170" s="28"/>
      <c r="Y170" s="28"/>
      <c r="Z170" s="28"/>
      <c r="AA170" s="28"/>
    </row>
    <row r="171" ht="18.75" customHeight="1">
      <c r="K171" s="28"/>
      <c r="L171" s="28"/>
      <c r="M171" s="33"/>
      <c r="N171" s="33"/>
      <c r="O171" s="33"/>
      <c r="P171" s="33"/>
      <c r="Q171" s="28"/>
      <c r="R171" s="28"/>
      <c r="S171" s="28"/>
      <c r="T171" s="28"/>
      <c r="U171" s="28"/>
      <c r="V171" s="28"/>
      <c r="W171" s="28"/>
      <c r="X171" s="28"/>
      <c r="Y171" s="28"/>
      <c r="Z171" s="28"/>
      <c r="AA171" s="28"/>
    </row>
    <row r="172" ht="18.75" customHeight="1">
      <c r="K172" s="28"/>
      <c r="L172" s="28"/>
      <c r="M172" s="33"/>
      <c r="N172" s="33"/>
      <c r="O172" s="33"/>
      <c r="P172" s="33"/>
      <c r="Q172" s="28"/>
      <c r="R172" s="28"/>
      <c r="S172" s="28"/>
      <c r="T172" s="28"/>
      <c r="U172" s="28"/>
      <c r="V172" s="28"/>
      <c r="W172" s="28"/>
      <c r="X172" s="28"/>
      <c r="Y172" s="28"/>
      <c r="Z172" s="28"/>
      <c r="AA172" s="28"/>
    </row>
    <row r="173" ht="18.75" customHeight="1">
      <c r="K173" s="28"/>
      <c r="L173" s="28"/>
      <c r="M173" s="33"/>
      <c r="N173" s="33"/>
      <c r="O173" s="33"/>
      <c r="P173" s="33"/>
      <c r="Q173" s="28"/>
      <c r="R173" s="28"/>
      <c r="S173" s="28"/>
      <c r="T173" s="28"/>
      <c r="U173" s="28"/>
      <c r="V173" s="28"/>
      <c r="W173" s="28"/>
      <c r="X173" s="28"/>
      <c r="Y173" s="28"/>
      <c r="Z173" s="28"/>
      <c r="AA173" s="28"/>
    </row>
    <row r="174" ht="18.75" customHeight="1">
      <c r="K174" s="28"/>
      <c r="L174" s="28"/>
      <c r="M174" s="33"/>
      <c r="N174" s="33"/>
      <c r="O174" s="33"/>
      <c r="P174" s="33"/>
      <c r="Q174" s="28"/>
      <c r="R174" s="28"/>
      <c r="S174" s="28"/>
      <c r="T174" s="28"/>
      <c r="U174" s="28"/>
      <c r="V174" s="28"/>
      <c r="W174" s="28"/>
      <c r="X174" s="28"/>
      <c r="Y174" s="28"/>
      <c r="Z174" s="28"/>
      <c r="AA174" s="28"/>
    </row>
    <row r="175" ht="18.75" customHeight="1">
      <c r="K175" s="28"/>
      <c r="L175" s="28"/>
      <c r="M175" s="33"/>
      <c r="N175" s="33"/>
      <c r="O175" s="33"/>
      <c r="P175" s="33"/>
      <c r="Q175" s="28"/>
      <c r="R175" s="28"/>
      <c r="S175" s="28"/>
      <c r="T175" s="28"/>
      <c r="U175" s="28"/>
      <c r="V175" s="28"/>
      <c r="W175" s="28"/>
      <c r="X175" s="28"/>
      <c r="Y175" s="28"/>
      <c r="Z175" s="28"/>
      <c r="AA175" s="28"/>
    </row>
    <row r="176" ht="18.75" customHeight="1">
      <c r="K176" s="28"/>
      <c r="L176" s="28"/>
      <c r="M176" s="33"/>
      <c r="N176" s="33"/>
      <c r="O176" s="33"/>
      <c r="P176" s="33"/>
      <c r="Q176" s="28"/>
      <c r="R176" s="28"/>
      <c r="S176" s="28"/>
      <c r="T176" s="28"/>
      <c r="U176" s="28"/>
      <c r="V176" s="28"/>
      <c r="W176" s="28"/>
      <c r="X176" s="28"/>
      <c r="Y176" s="28"/>
      <c r="Z176" s="28"/>
      <c r="AA176" s="28"/>
    </row>
    <row r="177" ht="18.75" customHeight="1">
      <c r="K177" s="28"/>
      <c r="L177" s="28"/>
      <c r="M177" s="33"/>
      <c r="N177" s="33"/>
      <c r="O177" s="33"/>
      <c r="P177" s="33"/>
      <c r="Q177" s="28"/>
      <c r="R177" s="28"/>
      <c r="S177" s="28"/>
      <c r="T177" s="28"/>
      <c r="U177" s="28"/>
      <c r="V177" s="28"/>
      <c r="W177" s="28"/>
      <c r="X177" s="28"/>
      <c r="Y177" s="28"/>
      <c r="Z177" s="28"/>
      <c r="AA177" s="28"/>
    </row>
    <row r="178" ht="18.75" customHeight="1">
      <c r="K178" s="28"/>
      <c r="L178" s="28"/>
      <c r="M178" s="33"/>
      <c r="N178" s="33"/>
      <c r="O178" s="33"/>
      <c r="P178" s="33"/>
      <c r="Q178" s="28"/>
      <c r="R178" s="28"/>
      <c r="S178" s="28"/>
      <c r="T178" s="28"/>
      <c r="U178" s="28"/>
      <c r="V178" s="28"/>
      <c r="W178" s="28"/>
      <c r="X178" s="28"/>
      <c r="Y178" s="28"/>
      <c r="Z178" s="28"/>
      <c r="AA178" s="28"/>
    </row>
    <row r="179" ht="18.75" customHeight="1">
      <c r="K179" s="28"/>
      <c r="L179" s="28"/>
      <c r="M179" s="33"/>
      <c r="N179" s="33"/>
      <c r="O179" s="33"/>
      <c r="P179" s="33"/>
      <c r="Q179" s="28"/>
      <c r="R179" s="28"/>
      <c r="S179" s="28"/>
      <c r="T179" s="28"/>
      <c r="U179" s="28"/>
      <c r="V179" s="28"/>
      <c r="W179" s="28"/>
      <c r="X179" s="28"/>
      <c r="Y179" s="28"/>
      <c r="Z179" s="28"/>
      <c r="AA179" s="28"/>
    </row>
    <row r="180" ht="18.75" customHeight="1">
      <c r="K180" s="28"/>
      <c r="L180" s="28"/>
      <c r="M180" s="33"/>
      <c r="N180" s="33"/>
      <c r="O180" s="33"/>
      <c r="P180" s="33"/>
      <c r="Q180" s="28"/>
      <c r="R180" s="28"/>
      <c r="S180" s="28"/>
      <c r="T180" s="28"/>
      <c r="U180" s="28"/>
      <c r="V180" s="28"/>
      <c r="W180" s="28"/>
      <c r="X180" s="28"/>
      <c r="Y180" s="28"/>
      <c r="Z180" s="28"/>
      <c r="AA180" s="28"/>
    </row>
    <row r="181" ht="18.75" customHeight="1">
      <c r="K181" s="28"/>
      <c r="L181" s="28"/>
      <c r="M181" s="33"/>
      <c r="N181" s="33"/>
      <c r="O181" s="33"/>
      <c r="P181" s="33"/>
      <c r="Q181" s="28"/>
      <c r="R181" s="28"/>
      <c r="S181" s="28"/>
      <c r="T181" s="28"/>
      <c r="U181" s="28"/>
      <c r="V181" s="28"/>
      <c r="W181" s="28"/>
      <c r="X181" s="28"/>
      <c r="Y181" s="28"/>
      <c r="Z181" s="28"/>
      <c r="AA181" s="28"/>
    </row>
    <row r="182" ht="18.75" customHeight="1">
      <c r="K182" s="28"/>
      <c r="L182" s="28"/>
      <c r="M182" s="33"/>
      <c r="N182" s="33"/>
      <c r="O182" s="33"/>
      <c r="P182" s="33"/>
      <c r="Q182" s="28"/>
      <c r="R182" s="28"/>
      <c r="S182" s="28"/>
      <c r="T182" s="28"/>
      <c r="U182" s="28"/>
      <c r="V182" s="28"/>
      <c r="W182" s="28"/>
      <c r="X182" s="28"/>
      <c r="Y182" s="28"/>
      <c r="Z182" s="28"/>
      <c r="AA182" s="28"/>
    </row>
    <row r="183" ht="18.75" customHeight="1">
      <c r="K183" s="28"/>
      <c r="L183" s="28"/>
      <c r="M183" s="33"/>
      <c r="N183" s="33"/>
      <c r="O183" s="33"/>
      <c r="P183" s="33"/>
      <c r="Q183" s="28"/>
      <c r="R183" s="28"/>
      <c r="S183" s="28"/>
      <c r="T183" s="28"/>
      <c r="U183" s="28"/>
      <c r="V183" s="28"/>
      <c r="W183" s="28"/>
      <c r="X183" s="28"/>
      <c r="Y183" s="28"/>
      <c r="Z183" s="28"/>
      <c r="AA183" s="28"/>
    </row>
    <row r="184" ht="18.75" customHeight="1">
      <c r="K184" s="28"/>
      <c r="L184" s="28"/>
      <c r="M184" s="33"/>
      <c r="N184" s="33"/>
      <c r="O184" s="33"/>
      <c r="P184" s="33"/>
      <c r="Q184" s="28"/>
      <c r="R184" s="28"/>
      <c r="S184" s="28"/>
      <c r="T184" s="28"/>
      <c r="U184" s="28"/>
      <c r="V184" s="28"/>
      <c r="W184" s="28"/>
      <c r="X184" s="28"/>
      <c r="Y184" s="28"/>
      <c r="Z184" s="28"/>
      <c r="AA184" s="28"/>
    </row>
    <row r="185" ht="18.75" customHeight="1">
      <c r="K185" s="28"/>
      <c r="L185" s="28"/>
      <c r="M185" s="33"/>
      <c r="N185" s="33"/>
      <c r="O185" s="33"/>
      <c r="P185" s="33"/>
      <c r="Q185" s="28"/>
      <c r="R185" s="28"/>
      <c r="S185" s="28"/>
      <c r="T185" s="28"/>
      <c r="U185" s="28"/>
      <c r="V185" s="28"/>
      <c r="W185" s="28"/>
      <c r="X185" s="28"/>
      <c r="Y185" s="28"/>
      <c r="Z185" s="28"/>
      <c r="AA185" s="28"/>
    </row>
    <row r="186" ht="18.75" customHeight="1">
      <c r="K186" s="28"/>
      <c r="L186" s="28"/>
      <c r="M186" s="33"/>
      <c r="N186" s="33"/>
      <c r="O186" s="33"/>
      <c r="P186" s="33"/>
      <c r="Q186" s="28"/>
      <c r="R186" s="28"/>
      <c r="S186" s="28"/>
      <c r="T186" s="28"/>
      <c r="U186" s="28"/>
      <c r="V186" s="28"/>
      <c r="W186" s="28"/>
      <c r="X186" s="28"/>
      <c r="Y186" s="28"/>
      <c r="Z186" s="28"/>
      <c r="AA186" s="28"/>
    </row>
    <row r="187" ht="18.75" customHeight="1">
      <c r="K187" s="28"/>
      <c r="L187" s="28"/>
      <c r="M187" s="33"/>
      <c r="N187" s="33"/>
      <c r="O187" s="33"/>
      <c r="P187" s="33"/>
      <c r="Q187" s="28"/>
      <c r="R187" s="28"/>
      <c r="S187" s="28"/>
      <c r="T187" s="28"/>
      <c r="U187" s="28"/>
      <c r="V187" s="28"/>
      <c r="W187" s="28"/>
      <c r="X187" s="28"/>
      <c r="Y187" s="28"/>
      <c r="Z187" s="28"/>
      <c r="AA187" s="28"/>
    </row>
    <row r="188" ht="18.75" customHeight="1">
      <c r="K188" s="28"/>
      <c r="L188" s="28"/>
      <c r="M188" s="33"/>
      <c r="N188" s="33"/>
      <c r="O188" s="33"/>
      <c r="P188" s="33"/>
      <c r="Q188" s="28"/>
      <c r="R188" s="28"/>
      <c r="S188" s="28"/>
      <c r="T188" s="28"/>
      <c r="U188" s="28"/>
      <c r="V188" s="28"/>
      <c r="W188" s="28"/>
      <c r="X188" s="28"/>
      <c r="Y188" s="28"/>
      <c r="Z188" s="28"/>
      <c r="AA188" s="28"/>
    </row>
    <row r="189" ht="18.75" customHeight="1">
      <c r="K189" s="28"/>
      <c r="L189" s="28"/>
      <c r="M189" s="33"/>
      <c r="N189" s="33"/>
      <c r="O189" s="33"/>
      <c r="P189" s="33"/>
      <c r="Q189" s="28"/>
      <c r="R189" s="28"/>
      <c r="S189" s="28"/>
      <c r="T189" s="28"/>
      <c r="U189" s="28"/>
      <c r="V189" s="28"/>
      <c r="W189" s="28"/>
      <c r="X189" s="28"/>
      <c r="Y189" s="28"/>
      <c r="Z189" s="28"/>
      <c r="AA189" s="28"/>
    </row>
    <row r="190" ht="18.75" customHeight="1">
      <c r="K190" s="28"/>
      <c r="L190" s="28"/>
      <c r="M190" s="33"/>
      <c r="N190" s="33"/>
      <c r="O190" s="33"/>
      <c r="P190" s="33"/>
      <c r="Q190" s="28"/>
      <c r="R190" s="28"/>
      <c r="S190" s="28"/>
      <c r="T190" s="28"/>
      <c r="U190" s="28"/>
      <c r="V190" s="28"/>
      <c r="W190" s="28"/>
      <c r="X190" s="28"/>
      <c r="Y190" s="28"/>
      <c r="Z190" s="28"/>
      <c r="AA190" s="28"/>
    </row>
    <row r="191" ht="18.75" customHeight="1">
      <c r="K191" s="28"/>
      <c r="L191" s="28"/>
      <c r="M191" s="33"/>
      <c r="N191" s="33"/>
      <c r="O191" s="33"/>
      <c r="P191" s="33"/>
      <c r="Q191" s="28"/>
      <c r="R191" s="28"/>
      <c r="S191" s="28"/>
      <c r="T191" s="28"/>
      <c r="U191" s="28"/>
      <c r="V191" s="28"/>
      <c r="W191" s="28"/>
      <c r="X191" s="28"/>
      <c r="Y191" s="28"/>
      <c r="Z191" s="28"/>
      <c r="AA191" s="28"/>
    </row>
    <row r="192" ht="18.75" customHeight="1">
      <c r="K192" s="28"/>
      <c r="L192" s="28"/>
      <c r="M192" s="33"/>
      <c r="N192" s="33"/>
      <c r="O192" s="33"/>
      <c r="P192" s="33"/>
      <c r="Q192" s="28"/>
      <c r="R192" s="28"/>
      <c r="S192" s="28"/>
      <c r="T192" s="28"/>
      <c r="U192" s="28"/>
      <c r="V192" s="28"/>
      <c r="W192" s="28"/>
      <c r="X192" s="28"/>
      <c r="Y192" s="28"/>
      <c r="Z192" s="28"/>
      <c r="AA192" s="28"/>
    </row>
    <row r="193" ht="18.75" customHeight="1">
      <c r="K193" s="28"/>
      <c r="L193" s="28"/>
      <c r="M193" s="33"/>
      <c r="N193" s="33"/>
      <c r="O193" s="33"/>
      <c r="P193" s="33"/>
      <c r="Q193" s="28"/>
      <c r="R193" s="28"/>
      <c r="S193" s="28"/>
      <c r="T193" s="28"/>
      <c r="U193" s="28"/>
      <c r="V193" s="28"/>
      <c r="W193" s="28"/>
      <c r="X193" s="28"/>
      <c r="Y193" s="28"/>
      <c r="Z193" s="28"/>
      <c r="AA193" s="28"/>
    </row>
    <row r="194" ht="18.75" customHeight="1">
      <c r="K194" s="28"/>
      <c r="L194" s="28"/>
      <c r="M194" s="33"/>
      <c r="N194" s="33"/>
      <c r="O194" s="33"/>
      <c r="P194" s="33"/>
      <c r="Q194" s="28"/>
      <c r="R194" s="28"/>
      <c r="S194" s="28"/>
      <c r="T194" s="28"/>
      <c r="U194" s="28"/>
      <c r="V194" s="28"/>
      <c r="W194" s="28"/>
      <c r="X194" s="28"/>
      <c r="Y194" s="28"/>
      <c r="Z194" s="28"/>
      <c r="AA194" s="28"/>
    </row>
    <row r="195" ht="18.75" customHeight="1">
      <c r="K195" s="28"/>
      <c r="L195" s="28"/>
      <c r="M195" s="33"/>
      <c r="N195" s="33"/>
      <c r="O195" s="33"/>
      <c r="P195" s="33"/>
      <c r="Q195" s="28"/>
      <c r="R195" s="28"/>
      <c r="S195" s="28"/>
      <c r="T195" s="28"/>
      <c r="U195" s="28"/>
      <c r="V195" s="28"/>
      <c r="W195" s="28"/>
      <c r="X195" s="28"/>
      <c r="Y195" s="28"/>
      <c r="Z195" s="28"/>
      <c r="AA195" s="28"/>
    </row>
    <row r="196" ht="18.75" customHeight="1">
      <c r="K196" s="28"/>
      <c r="L196" s="28"/>
      <c r="M196" s="33"/>
      <c r="N196" s="33"/>
      <c r="O196" s="33"/>
      <c r="P196" s="33"/>
      <c r="Q196" s="28"/>
      <c r="R196" s="28"/>
      <c r="S196" s="28"/>
      <c r="T196" s="28"/>
      <c r="U196" s="28"/>
      <c r="V196" s="28"/>
      <c r="W196" s="28"/>
      <c r="X196" s="28"/>
      <c r="Y196" s="28"/>
      <c r="Z196" s="28"/>
      <c r="AA196" s="28"/>
    </row>
    <row r="197" ht="18.75" customHeight="1">
      <c r="K197" s="28"/>
      <c r="L197" s="28"/>
      <c r="M197" s="33"/>
      <c r="N197" s="33"/>
      <c r="O197" s="33"/>
      <c r="P197" s="33"/>
      <c r="Q197" s="28"/>
      <c r="R197" s="28"/>
      <c r="S197" s="28"/>
      <c r="T197" s="28"/>
      <c r="U197" s="28"/>
      <c r="V197" s="28"/>
      <c r="W197" s="28"/>
      <c r="X197" s="28"/>
      <c r="Y197" s="28"/>
      <c r="Z197" s="28"/>
      <c r="AA197" s="28"/>
    </row>
    <row r="198" ht="18.75" customHeight="1">
      <c r="K198" s="28"/>
      <c r="L198" s="28"/>
      <c r="M198" s="33"/>
      <c r="N198" s="33"/>
      <c r="O198" s="33"/>
      <c r="P198" s="33"/>
      <c r="Q198" s="28"/>
      <c r="R198" s="28"/>
      <c r="S198" s="28"/>
      <c r="T198" s="28"/>
      <c r="U198" s="28"/>
      <c r="V198" s="28"/>
      <c r="W198" s="28"/>
      <c r="X198" s="28"/>
      <c r="Y198" s="28"/>
      <c r="Z198" s="28"/>
      <c r="AA198" s="28"/>
    </row>
    <row r="199" ht="18.75" customHeight="1">
      <c r="K199" s="28"/>
      <c r="L199" s="28"/>
      <c r="M199" s="33"/>
      <c r="N199" s="33"/>
      <c r="O199" s="33"/>
      <c r="P199" s="33"/>
      <c r="Q199" s="28"/>
      <c r="R199" s="28"/>
      <c r="S199" s="28"/>
      <c r="T199" s="28"/>
      <c r="U199" s="28"/>
      <c r="V199" s="28"/>
      <c r="W199" s="28"/>
      <c r="X199" s="28"/>
      <c r="Y199" s="28"/>
      <c r="Z199" s="28"/>
      <c r="AA199" s="28"/>
    </row>
    <row r="200" ht="18.75" customHeight="1">
      <c r="K200" s="28"/>
      <c r="L200" s="28"/>
      <c r="M200" s="33"/>
      <c r="N200" s="33"/>
      <c r="O200" s="33"/>
      <c r="P200" s="33"/>
      <c r="Q200" s="28"/>
      <c r="R200" s="28"/>
      <c r="S200" s="28"/>
      <c r="T200" s="28"/>
      <c r="U200" s="28"/>
      <c r="V200" s="28"/>
      <c r="W200" s="28"/>
      <c r="X200" s="28"/>
      <c r="Y200" s="28"/>
      <c r="Z200" s="28"/>
      <c r="AA200" s="28"/>
    </row>
    <row r="201" ht="18.75" customHeight="1">
      <c r="K201" s="28"/>
      <c r="L201" s="28"/>
      <c r="M201" s="33"/>
      <c r="N201" s="33"/>
      <c r="O201" s="33"/>
      <c r="P201" s="33"/>
      <c r="Q201" s="28"/>
      <c r="R201" s="28"/>
      <c r="S201" s="28"/>
      <c r="T201" s="28"/>
      <c r="U201" s="28"/>
      <c r="V201" s="28"/>
      <c r="W201" s="28"/>
      <c r="X201" s="28"/>
      <c r="Y201" s="28"/>
      <c r="Z201" s="28"/>
      <c r="AA201" s="28"/>
    </row>
    <row r="202" ht="18.75" customHeight="1">
      <c r="K202" s="28"/>
      <c r="L202" s="28"/>
      <c r="M202" s="33"/>
      <c r="N202" s="33"/>
      <c r="O202" s="33"/>
      <c r="P202" s="33"/>
      <c r="Q202" s="28"/>
      <c r="R202" s="28"/>
      <c r="S202" s="28"/>
      <c r="T202" s="28"/>
      <c r="U202" s="28"/>
      <c r="V202" s="28"/>
      <c r="W202" s="28"/>
      <c r="X202" s="28"/>
      <c r="Y202" s="28"/>
      <c r="Z202" s="28"/>
      <c r="AA202" s="28"/>
    </row>
    <row r="203" ht="18.75" customHeight="1">
      <c r="K203" s="28"/>
      <c r="L203" s="28"/>
      <c r="M203" s="33"/>
      <c r="N203" s="33"/>
      <c r="O203" s="33"/>
      <c r="P203" s="33"/>
      <c r="Q203" s="28"/>
      <c r="R203" s="28"/>
      <c r="S203" s="28"/>
      <c r="T203" s="28"/>
      <c r="U203" s="28"/>
      <c r="V203" s="28"/>
      <c r="W203" s="28"/>
      <c r="X203" s="28"/>
      <c r="Y203" s="28"/>
      <c r="Z203" s="28"/>
      <c r="AA203" s="28"/>
    </row>
    <row r="204" ht="18.75" customHeight="1">
      <c r="K204" s="28"/>
      <c r="L204" s="28"/>
      <c r="M204" s="33"/>
      <c r="N204" s="33"/>
      <c r="O204" s="33"/>
      <c r="P204" s="33"/>
      <c r="Q204" s="28"/>
      <c r="R204" s="28"/>
      <c r="S204" s="28"/>
      <c r="T204" s="28"/>
      <c r="U204" s="28"/>
      <c r="V204" s="28"/>
      <c r="W204" s="28"/>
      <c r="X204" s="28"/>
      <c r="Y204" s="28"/>
      <c r="Z204" s="28"/>
      <c r="AA204" s="28"/>
    </row>
    <row r="205" ht="18.75" customHeight="1">
      <c r="K205" s="28"/>
      <c r="L205" s="28"/>
      <c r="M205" s="33"/>
      <c r="N205" s="33"/>
      <c r="O205" s="33"/>
      <c r="P205" s="33"/>
      <c r="Q205" s="28"/>
      <c r="R205" s="28"/>
      <c r="S205" s="28"/>
      <c r="T205" s="28"/>
      <c r="U205" s="28"/>
      <c r="V205" s="28"/>
      <c r="W205" s="28"/>
      <c r="X205" s="28"/>
      <c r="Y205" s="28"/>
      <c r="Z205" s="28"/>
      <c r="AA205" s="28"/>
    </row>
    <row r="206" ht="18.75" customHeight="1">
      <c r="K206" s="28"/>
      <c r="L206" s="28"/>
      <c r="M206" s="33"/>
      <c r="N206" s="33"/>
      <c r="O206" s="33"/>
      <c r="P206" s="33"/>
      <c r="Q206" s="28"/>
      <c r="R206" s="28"/>
      <c r="S206" s="28"/>
      <c r="T206" s="28"/>
      <c r="U206" s="28"/>
      <c r="V206" s="28"/>
      <c r="W206" s="28"/>
      <c r="X206" s="28"/>
      <c r="Y206" s="28"/>
      <c r="Z206" s="28"/>
      <c r="AA206" s="28"/>
    </row>
    <row r="207" ht="18.75" customHeight="1">
      <c r="K207" s="28"/>
      <c r="L207" s="28"/>
      <c r="M207" s="33"/>
      <c r="N207" s="33"/>
      <c r="O207" s="33"/>
      <c r="P207" s="33"/>
      <c r="Q207" s="28"/>
      <c r="R207" s="28"/>
      <c r="S207" s="28"/>
      <c r="T207" s="28"/>
      <c r="U207" s="28"/>
      <c r="V207" s="28"/>
      <c r="W207" s="28"/>
      <c r="X207" s="28"/>
      <c r="Y207" s="28"/>
      <c r="Z207" s="28"/>
      <c r="AA207" s="28"/>
    </row>
    <row r="208" ht="18.75" customHeight="1">
      <c r="K208" s="28"/>
      <c r="L208" s="28"/>
      <c r="M208" s="33"/>
      <c r="N208" s="33"/>
      <c r="O208" s="33"/>
      <c r="P208" s="33"/>
      <c r="Q208" s="28"/>
      <c r="R208" s="28"/>
      <c r="S208" s="28"/>
      <c r="T208" s="28"/>
      <c r="U208" s="28"/>
      <c r="V208" s="28"/>
      <c r="W208" s="28"/>
      <c r="X208" s="28"/>
      <c r="Y208" s="28"/>
      <c r="Z208" s="28"/>
      <c r="AA208" s="28"/>
    </row>
    <row r="209" ht="18.75" customHeight="1">
      <c r="K209" s="28"/>
      <c r="L209" s="28"/>
      <c r="M209" s="33"/>
      <c r="N209" s="33"/>
      <c r="O209" s="33"/>
      <c r="P209" s="33"/>
      <c r="Q209" s="28"/>
      <c r="R209" s="28"/>
      <c r="S209" s="28"/>
      <c r="T209" s="28"/>
      <c r="U209" s="28"/>
      <c r="V209" s="28"/>
      <c r="W209" s="28"/>
      <c r="X209" s="28"/>
      <c r="Y209" s="28"/>
      <c r="Z209" s="28"/>
      <c r="AA209" s="28"/>
    </row>
    <row r="210" ht="18.75" customHeight="1">
      <c r="K210" s="28"/>
      <c r="L210" s="28"/>
      <c r="M210" s="33"/>
      <c r="N210" s="33"/>
      <c r="O210" s="33"/>
      <c r="P210" s="33"/>
      <c r="Q210" s="28"/>
      <c r="R210" s="28"/>
      <c r="S210" s="28"/>
      <c r="T210" s="28"/>
      <c r="U210" s="28"/>
      <c r="V210" s="28"/>
      <c r="W210" s="28"/>
      <c r="X210" s="28"/>
      <c r="Y210" s="28"/>
      <c r="Z210" s="28"/>
      <c r="AA210" s="28"/>
    </row>
    <row r="211" ht="18.75" customHeight="1">
      <c r="K211" s="28"/>
      <c r="L211" s="28"/>
      <c r="M211" s="33"/>
      <c r="N211" s="33"/>
      <c r="O211" s="33"/>
      <c r="P211" s="33"/>
      <c r="Q211" s="28"/>
      <c r="R211" s="28"/>
      <c r="S211" s="28"/>
      <c r="T211" s="28"/>
      <c r="U211" s="28"/>
      <c r="V211" s="28"/>
      <c r="W211" s="28"/>
      <c r="X211" s="28"/>
      <c r="Y211" s="28"/>
      <c r="Z211" s="28"/>
      <c r="AA211" s="28"/>
    </row>
    <row r="212" ht="18.75" customHeight="1">
      <c r="K212" s="28"/>
      <c r="L212" s="28"/>
      <c r="M212" s="33"/>
      <c r="N212" s="33"/>
      <c r="O212" s="33"/>
      <c r="P212" s="33"/>
      <c r="Q212" s="28"/>
      <c r="R212" s="28"/>
      <c r="S212" s="28"/>
      <c r="T212" s="28"/>
      <c r="U212" s="28"/>
      <c r="V212" s="28"/>
      <c r="W212" s="28"/>
      <c r="X212" s="28"/>
      <c r="Y212" s="28"/>
      <c r="Z212" s="28"/>
      <c r="AA212" s="28"/>
    </row>
    <row r="213" ht="18.75" customHeight="1">
      <c r="K213" s="28"/>
      <c r="L213" s="28"/>
      <c r="M213" s="33"/>
      <c r="N213" s="33"/>
      <c r="O213" s="33"/>
      <c r="P213" s="33"/>
      <c r="Q213" s="28"/>
      <c r="R213" s="28"/>
      <c r="S213" s="28"/>
      <c r="T213" s="28"/>
      <c r="U213" s="28"/>
      <c r="V213" s="28"/>
      <c r="W213" s="28"/>
      <c r="X213" s="28"/>
      <c r="Y213" s="28"/>
      <c r="Z213" s="28"/>
      <c r="AA213" s="28"/>
    </row>
    <row r="214" ht="18.75" customHeight="1">
      <c r="K214" s="28"/>
      <c r="L214" s="28"/>
      <c r="M214" s="33"/>
      <c r="N214" s="33"/>
      <c r="O214" s="33"/>
      <c r="P214" s="33"/>
      <c r="Q214" s="28"/>
      <c r="R214" s="28"/>
      <c r="S214" s="28"/>
      <c r="T214" s="28"/>
      <c r="U214" s="28"/>
      <c r="V214" s="28"/>
      <c r="W214" s="28"/>
      <c r="X214" s="28"/>
      <c r="Y214" s="28"/>
      <c r="Z214" s="28"/>
      <c r="AA214" s="28"/>
    </row>
    <row r="215" ht="18.75" customHeight="1">
      <c r="K215" s="28"/>
      <c r="L215" s="28"/>
      <c r="M215" s="33"/>
      <c r="N215" s="33"/>
      <c r="O215" s="33"/>
      <c r="P215" s="33"/>
      <c r="Q215" s="28"/>
      <c r="R215" s="28"/>
      <c r="S215" s="28"/>
      <c r="T215" s="28"/>
      <c r="U215" s="28"/>
      <c r="V215" s="28"/>
      <c r="W215" s="28"/>
      <c r="X215" s="28"/>
      <c r="Y215" s="28"/>
      <c r="Z215" s="28"/>
      <c r="AA215" s="28"/>
    </row>
    <row r="216" ht="18.75" customHeight="1">
      <c r="K216" s="28"/>
      <c r="L216" s="28"/>
      <c r="M216" s="33"/>
      <c r="N216" s="33"/>
      <c r="O216" s="33"/>
      <c r="P216" s="33"/>
      <c r="Q216" s="28"/>
      <c r="R216" s="28"/>
      <c r="S216" s="28"/>
      <c r="T216" s="28"/>
      <c r="U216" s="28"/>
      <c r="V216" s="28"/>
      <c r="W216" s="28"/>
      <c r="X216" s="28"/>
      <c r="Y216" s="28"/>
      <c r="Z216" s="28"/>
      <c r="AA216" s="28"/>
    </row>
    <row r="217" ht="18.75" customHeight="1">
      <c r="K217" s="28"/>
      <c r="L217" s="28"/>
      <c r="M217" s="33"/>
      <c r="N217" s="33"/>
      <c r="O217" s="33"/>
      <c r="P217" s="33"/>
      <c r="Q217" s="28"/>
      <c r="R217" s="28"/>
      <c r="S217" s="28"/>
      <c r="T217" s="28"/>
      <c r="U217" s="28"/>
      <c r="V217" s="28"/>
      <c r="W217" s="28"/>
      <c r="X217" s="28"/>
      <c r="Y217" s="28"/>
      <c r="Z217" s="28"/>
      <c r="AA217" s="28"/>
    </row>
    <row r="218" ht="18.75" customHeight="1">
      <c r="K218" s="28"/>
      <c r="L218" s="28"/>
      <c r="M218" s="33"/>
      <c r="N218" s="33"/>
      <c r="O218" s="33"/>
      <c r="P218" s="33"/>
      <c r="Q218" s="28"/>
      <c r="R218" s="28"/>
      <c r="S218" s="28"/>
      <c r="T218" s="28"/>
      <c r="U218" s="28"/>
      <c r="V218" s="28"/>
      <c r="W218" s="28"/>
      <c r="X218" s="28"/>
      <c r="Y218" s="28"/>
      <c r="Z218" s="28"/>
      <c r="AA218" s="28"/>
    </row>
    <row r="219" ht="18.75" customHeight="1">
      <c r="K219" s="28"/>
      <c r="L219" s="28"/>
      <c r="M219" s="33"/>
      <c r="N219" s="33"/>
      <c r="O219" s="33"/>
      <c r="P219" s="33"/>
      <c r="Q219" s="28"/>
      <c r="R219" s="28"/>
      <c r="S219" s="28"/>
      <c r="T219" s="28"/>
      <c r="U219" s="28"/>
      <c r="V219" s="28"/>
      <c r="W219" s="28"/>
      <c r="X219" s="28"/>
      <c r="Y219" s="28"/>
      <c r="Z219" s="28"/>
      <c r="AA219" s="28"/>
    </row>
    <row r="220" ht="18.75" customHeight="1">
      <c r="K220" s="28"/>
      <c r="L220" s="28"/>
      <c r="M220" s="33"/>
      <c r="N220" s="33"/>
      <c r="O220" s="33"/>
      <c r="P220" s="33"/>
      <c r="Q220" s="28"/>
      <c r="R220" s="28"/>
      <c r="S220" s="28"/>
      <c r="T220" s="28"/>
      <c r="U220" s="28"/>
      <c r="V220" s="28"/>
      <c r="W220" s="28"/>
      <c r="X220" s="28"/>
      <c r="Y220" s="28"/>
      <c r="Z220" s="28"/>
      <c r="AA220" s="28"/>
    </row>
    <row r="221" ht="18.75" customHeight="1">
      <c r="K221" s="28"/>
      <c r="L221" s="28"/>
      <c r="M221" s="33"/>
      <c r="N221" s="33"/>
      <c r="O221" s="33"/>
      <c r="P221" s="33"/>
      <c r="Q221" s="28"/>
      <c r="R221" s="28"/>
      <c r="S221" s="28"/>
      <c r="T221" s="28"/>
      <c r="U221" s="28"/>
      <c r="V221" s="28"/>
      <c r="W221" s="28"/>
      <c r="X221" s="28"/>
      <c r="Y221" s="28"/>
      <c r="Z221" s="28"/>
      <c r="AA221" s="28"/>
    </row>
    <row r="222" ht="18.75" customHeight="1">
      <c r="K222" s="28"/>
      <c r="L222" s="28"/>
      <c r="M222" s="33"/>
      <c r="N222" s="33"/>
      <c r="O222" s="33"/>
      <c r="P222" s="33"/>
      <c r="Q222" s="28"/>
      <c r="R222" s="28"/>
      <c r="S222" s="28"/>
      <c r="T222" s="28"/>
      <c r="U222" s="28"/>
      <c r="V222" s="28"/>
      <c r="W222" s="28"/>
      <c r="X222" s="28"/>
      <c r="Y222" s="28"/>
      <c r="Z222" s="28"/>
      <c r="AA222" s="28"/>
    </row>
    <row r="223" ht="18.75" customHeight="1">
      <c r="K223" s="28"/>
      <c r="L223" s="28"/>
      <c r="M223" s="33"/>
      <c r="N223" s="33"/>
      <c r="O223" s="33"/>
      <c r="P223" s="33"/>
      <c r="Q223" s="28"/>
      <c r="R223" s="28"/>
      <c r="S223" s="28"/>
      <c r="T223" s="28"/>
      <c r="U223" s="28"/>
      <c r="V223" s="28"/>
      <c r="W223" s="28"/>
      <c r="X223" s="28"/>
      <c r="Y223" s="28"/>
      <c r="Z223" s="28"/>
      <c r="AA223" s="28"/>
    </row>
    <row r="224" ht="18.75" customHeight="1">
      <c r="K224" s="28"/>
      <c r="L224" s="28"/>
      <c r="M224" s="33"/>
      <c r="N224" s="33"/>
      <c r="O224" s="33"/>
      <c r="P224" s="33"/>
      <c r="Q224" s="28"/>
      <c r="R224" s="28"/>
      <c r="S224" s="28"/>
      <c r="T224" s="28"/>
      <c r="U224" s="28"/>
      <c r="V224" s="28"/>
      <c r="W224" s="28"/>
      <c r="X224" s="28"/>
      <c r="Y224" s="28"/>
      <c r="Z224" s="28"/>
      <c r="AA224" s="28"/>
    </row>
    <row r="225" ht="18.75" customHeight="1">
      <c r="K225" s="28"/>
      <c r="L225" s="28"/>
      <c r="M225" s="33"/>
      <c r="N225" s="33"/>
      <c r="O225" s="33"/>
      <c r="P225" s="33"/>
      <c r="Q225" s="28"/>
      <c r="R225" s="28"/>
      <c r="S225" s="28"/>
      <c r="T225" s="28"/>
      <c r="U225" s="28"/>
      <c r="V225" s="28"/>
      <c r="W225" s="28"/>
      <c r="X225" s="28"/>
      <c r="Y225" s="28"/>
      <c r="Z225" s="28"/>
      <c r="AA225" s="28"/>
    </row>
    <row r="226" ht="18.75" customHeight="1">
      <c r="K226" s="28"/>
      <c r="L226" s="28"/>
      <c r="M226" s="33"/>
      <c r="N226" s="33"/>
      <c r="O226" s="33"/>
      <c r="P226" s="33"/>
      <c r="Q226" s="28"/>
      <c r="R226" s="28"/>
      <c r="S226" s="28"/>
      <c r="T226" s="28"/>
      <c r="U226" s="28"/>
      <c r="V226" s="28"/>
      <c r="W226" s="28"/>
      <c r="X226" s="28"/>
      <c r="Y226" s="28"/>
      <c r="Z226" s="28"/>
      <c r="AA226" s="28"/>
    </row>
    <row r="227" ht="18.75" customHeight="1">
      <c r="K227" s="28"/>
      <c r="L227" s="28"/>
      <c r="M227" s="33"/>
      <c r="N227" s="33"/>
      <c r="O227" s="33"/>
      <c r="P227" s="33"/>
      <c r="Q227" s="28"/>
      <c r="R227" s="28"/>
      <c r="S227" s="28"/>
      <c r="T227" s="28"/>
      <c r="U227" s="28"/>
      <c r="V227" s="28"/>
      <c r="W227" s="28"/>
      <c r="X227" s="28"/>
      <c r="Y227" s="28"/>
      <c r="Z227" s="28"/>
      <c r="AA227" s="28"/>
    </row>
    <row r="228" ht="18.75" customHeight="1">
      <c r="K228" s="28"/>
      <c r="L228" s="28"/>
      <c r="M228" s="33"/>
      <c r="N228" s="33"/>
      <c r="O228" s="33"/>
      <c r="P228" s="33"/>
      <c r="Q228" s="28"/>
      <c r="R228" s="28"/>
      <c r="S228" s="28"/>
      <c r="T228" s="28"/>
      <c r="U228" s="28"/>
      <c r="V228" s="28"/>
      <c r="W228" s="28"/>
      <c r="X228" s="28"/>
      <c r="Y228" s="28"/>
      <c r="Z228" s="28"/>
      <c r="AA228" s="28"/>
    </row>
    <row r="229" ht="18.75" customHeight="1">
      <c r="K229" s="28"/>
      <c r="L229" s="28"/>
      <c r="M229" s="33"/>
      <c r="N229" s="33"/>
      <c r="O229" s="33"/>
      <c r="P229" s="33"/>
      <c r="Q229" s="28"/>
      <c r="R229" s="28"/>
      <c r="S229" s="28"/>
      <c r="T229" s="28"/>
      <c r="U229" s="28"/>
      <c r="V229" s="28"/>
      <c r="W229" s="28"/>
      <c r="X229" s="28"/>
      <c r="Y229" s="28"/>
      <c r="Z229" s="28"/>
      <c r="AA229" s="28"/>
    </row>
    <row r="230" ht="18.75" customHeight="1">
      <c r="K230" s="28"/>
      <c r="L230" s="28"/>
      <c r="M230" s="33"/>
      <c r="N230" s="33"/>
      <c r="O230" s="33"/>
      <c r="P230" s="33"/>
      <c r="Q230" s="28"/>
      <c r="R230" s="28"/>
      <c r="S230" s="28"/>
      <c r="T230" s="28"/>
      <c r="U230" s="28"/>
      <c r="V230" s="28"/>
      <c r="W230" s="28"/>
      <c r="X230" s="28"/>
      <c r="Y230" s="28"/>
      <c r="Z230" s="28"/>
      <c r="AA230" s="28"/>
    </row>
    <row r="231" ht="18.75" customHeight="1">
      <c r="K231" s="28"/>
      <c r="L231" s="28"/>
      <c r="M231" s="33"/>
      <c r="N231" s="33"/>
      <c r="O231" s="33"/>
      <c r="P231" s="33"/>
      <c r="Q231" s="28"/>
      <c r="R231" s="28"/>
      <c r="S231" s="28"/>
      <c r="T231" s="28"/>
      <c r="U231" s="28"/>
      <c r="V231" s="28"/>
      <c r="W231" s="28"/>
      <c r="X231" s="28"/>
      <c r="Y231" s="28"/>
      <c r="Z231" s="28"/>
      <c r="AA231" s="28"/>
    </row>
    <row r="232" ht="18.75" customHeight="1">
      <c r="K232" s="28"/>
      <c r="L232" s="28"/>
      <c r="M232" s="33"/>
      <c r="N232" s="33"/>
      <c r="O232" s="33"/>
      <c r="P232" s="33"/>
      <c r="Q232" s="28"/>
      <c r="R232" s="28"/>
      <c r="S232" s="28"/>
      <c r="T232" s="28"/>
      <c r="U232" s="28"/>
      <c r="V232" s="28"/>
      <c r="W232" s="28"/>
      <c r="X232" s="28"/>
      <c r="Y232" s="28"/>
      <c r="Z232" s="28"/>
      <c r="AA232" s="28"/>
    </row>
    <row r="233" ht="18.75" customHeight="1">
      <c r="K233" s="28"/>
      <c r="L233" s="28"/>
      <c r="M233" s="33"/>
      <c r="N233" s="33"/>
      <c r="O233" s="33"/>
      <c r="P233" s="33"/>
      <c r="Q233" s="28"/>
      <c r="R233" s="28"/>
      <c r="S233" s="28"/>
      <c r="T233" s="28"/>
      <c r="U233" s="28"/>
      <c r="V233" s="28"/>
      <c r="W233" s="28"/>
      <c r="X233" s="28"/>
      <c r="Y233" s="28"/>
      <c r="Z233" s="28"/>
      <c r="AA233" s="28"/>
    </row>
    <row r="234" ht="18.75" customHeight="1">
      <c r="K234" s="28"/>
      <c r="L234" s="28"/>
      <c r="M234" s="33"/>
      <c r="N234" s="33"/>
      <c r="O234" s="33"/>
      <c r="P234" s="33"/>
      <c r="Q234" s="28"/>
      <c r="R234" s="28"/>
      <c r="S234" s="28"/>
      <c r="T234" s="28"/>
      <c r="U234" s="28"/>
      <c r="V234" s="28"/>
      <c r="W234" s="28"/>
      <c r="X234" s="28"/>
      <c r="Y234" s="28"/>
      <c r="Z234" s="28"/>
      <c r="AA234" s="28"/>
    </row>
    <row r="235" ht="18.75" customHeight="1">
      <c r="K235" s="28"/>
      <c r="L235" s="28"/>
      <c r="M235" s="33"/>
      <c r="N235" s="33"/>
      <c r="O235" s="33"/>
      <c r="P235" s="33"/>
      <c r="Q235" s="28"/>
      <c r="R235" s="28"/>
      <c r="S235" s="28"/>
      <c r="T235" s="28"/>
      <c r="U235" s="28"/>
      <c r="V235" s="28"/>
      <c r="W235" s="28"/>
      <c r="X235" s="28"/>
      <c r="Y235" s="28"/>
      <c r="Z235" s="28"/>
      <c r="AA235" s="28"/>
    </row>
    <row r="236" ht="18.75" customHeight="1">
      <c r="K236" s="28"/>
      <c r="L236" s="28"/>
      <c r="M236" s="33"/>
      <c r="N236" s="33"/>
      <c r="O236" s="33"/>
      <c r="P236" s="33"/>
      <c r="Q236" s="28"/>
      <c r="R236" s="28"/>
      <c r="S236" s="28"/>
      <c r="T236" s="28"/>
      <c r="U236" s="28"/>
      <c r="V236" s="28"/>
      <c r="W236" s="28"/>
      <c r="X236" s="28"/>
      <c r="Y236" s="28"/>
      <c r="Z236" s="28"/>
      <c r="AA236" s="28"/>
    </row>
    <row r="237" ht="18.75" customHeight="1">
      <c r="K237" s="28"/>
      <c r="L237" s="28"/>
      <c r="M237" s="33"/>
      <c r="N237" s="33"/>
      <c r="O237" s="33"/>
      <c r="P237" s="33"/>
      <c r="Q237" s="28"/>
      <c r="R237" s="28"/>
      <c r="S237" s="28"/>
      <c r="T237" s="28"/>
      <c r="U237" s="28"/>
      <c r="V237" s="28"/>
      <c r="W237" s="28"/>
      <c r="X237" s="28"/>
      <c r="Y237" s="28"/>
      <c r="Z237" s="28"/>
      <c r="AA237" s="28"/>
    </row>
    <row r="238" ht="18.75" customHeight="1">
      <c r="K238" s="28"/>
      <c r="L238" s="28"/>
      <c r="M238" s="33"/>
      <c r="N238" s="33"/>
      <c r="O238" s="33"/>
      <c r="P238" s="33"/>
      <c r="Q238" s="28"/>
      <c r="R238" s="28"/>
      <c r="S238" s="28"/>
      <c r="T238" s="28"/>
      <c r="U238" s="28"/>
      <c r="V238" s="28"/>
      <c r="W238" s="28"/>
      <c r="X238" s="28"/>
      <c r="Y238" s="28"/>
      <c r="Z238" s="28"/>
      <c r="AA238" s="28"/>
    </row>
    <row r="239" ht="18.75" customHeight="1">
      <c r="K239" s="28"/>
      <c r="L239" s="28"/>
      <c r="M239" s="33"/>
      <c r="N239" s="33"/>
      <c r="O239" s="33"/>
      <c r="P239" s="33"/>
      <c r="Q239" s="28"/>
      <c r="R239" s="28"/>
      <c r="S239" s="28"/>
      <c r="T239" s="28"/>
      <c r="U239" s="28"/>
      <c r="V239" s="28"/>
      <c r="W239" s="28"/>
      <c r="X239" s="28"/>
      <c r="Y239" s="28"/>
      <c r="Z239" s="28"/>
      <c r="AA239" s="28"/>
    </row>
    <row r="240" ht="18.75" customHeight="1">
      <c r="K240" s="28"/>
      <c r="L240" s="28"/>
      <c r="M240" s="33"/>
      <c r="N240" s="33"/>
      <c r="O240" s="33"/>
      <c r="P240" s="33"/>
      <c r="Q240" s="28"/>
      <c r="R240" s="28"/>
      <c r="S240" s="28"/>
      <c r="T240" s="28"/>
      <c r="U240" s="28"/>
      <c r="V240" s="28"/>
      <c r="W240" s="28"/>
      <c r="X240" s="28"/>
      <c r="Y240" s="28"/>
      <c r="Z240" s="28"/>
      <c r="AA240" s="28"/>
    </row>
    <row r="241" ht="18.75" customHeight="1">
      <c r="K241" s="28"/>
      <c r="L241" s="28"/>
      <c r="M241" s="33"/>
      <c r="N241" s="33"/>
      <c r="O241" s="33"/>
      <c r="P241" s="33"/>
      <c r="Q241" s="28"/>
      <c r="R241" s="28"/>
      <c r="S241" s="28"/>
      <c r="T241" s="28"/>
      <c r="U241" s="28"/>
      <c r="V241" s="28"/>
      <c r="W241" s="28"/>
      <c r="X241" s="28"/>
      <c r="Y241" s="28"/>
      <c r="Z241" s="28"/>
      <c r="AA241" s="28"/>
    </row>
    <row r="242" ht="18.75" customHeight="1">
      <c r="K242" s="28"/>
      <c r="L242" s="28"/>
      <c r="M242" s="33"/>
      <c r="N242" s="33"/>
      <c r="O242" s="33"/>
      <c r="P242" s="33"/>
      <c r="Q242" s="28"/>
      <c r="R242" s="28"/>
      <c r="S242" s="28"/>
      <c r="T242" s="28"/>
      <c r="U242" s="28"/>
      <c r="V242" s="28"/>
      <c r="W242" s="28"/>
      <c r="X242" s="28"/>
      <c r="Y242" s="28"/>
      <c r="Z242" s="28"/>
      <c r="AA242" s="28"/>
    </row>
    <row r="243" ht="18.75" customHeight="1">
      <c r="K243" s="28"/>
      <c r="L243" s="28"/>
      <c r="M243" s="33"/>
      <c r="N243" s="33"/>
      <c r="O243" s="33"/>
      <c r="P243" s="33"/>
      <c r="Q243" s="28"/>
      <c r="R243" s="28"/>
      <c r="S243" s="28"/>
      <c r="T243" s="28"/>
      <c r="U243" s="28"/>
      <c r="V243" s="28"/>
      <c r="W243" s="28"/>
      <c r="X243" s="28"/>
      <c r="Y243" s="28"/>
      <c r="Z243" s="28"/>
      <c r="AA243" s="28"/>
    </row>
    <row r="244" ht="18.75" customHeight="1">
      <c r="K244" s="28"/>
      <c r="L244" s="28"/>
      <c r="M244" s="33"/>
      <c r="N244" s="33"/>
      <c r="O244" s="33"/>
      <c r="P244" s="33"/>
      <c r="Q244" s="28"/>
      <c r="R244" s="28"/>
      <c r="S244" s="28"/>
      <c r="T244" s="28"/>
      <c r="U244" s="28"/>
      <c r="V244" s="28"/>
      <c r="W244" s="28"/>
      <c r="X244" s="28"/>
      <c r="Y244" s="28"/>
      <c r="Z244" s="28"/>
      <c r="AA244" s="28"/>
    </row>
    <row r="245" ht="18.75" customHeight="1">
      <c r="K245" s="28"/>
      <c r="L245" s="28"/>
      <c r="M245" s="33"/>
      <c r="N245" s="33"/>
      <c r="O245" s="33"/>
      <c r="P245" s="33"/>
      <c r="Q245" s="28"/>
      <c r="R245" s="28"/>
      <c r="S245" s="28"/>
      <c r="T245" s="28"/>
      <c r="U245" s="28"/>
      <c r="V245" s="28"/>
      <c r="W245" s="28"/>
      <c r="X245" s="28"/>
      <c r="Y245" s="28"/>
      <c r="Z245" s="28"/>
      <c r="AA245" s="28"/>
    </row>
    <row r="246" ht="18.75" customHeight="1">
      <c r="K246" s="28"/>
      <c r="L246" s="28"/>
      <c r="M246" s="33"/>
      <c r="N246" s="33"/>
      <c r="O246" s="33"/>
      <c r="P246" s="33"/>
      <c r="Q246" s="28"/>
      <c r="R246" s="28"/>
      <c r="S246" s="28"/>
      <c r="T246" s="28"/>
      <c r="U246" s="28"/>
      <c r="V246" s="28"/>
      <c r="W246" s="28"/>
      <c r="X246" s="28"/>
      <c r="Y246" s="28"/>
      <c r="Z246" s="28"/>
      <c r="AA246" s="28"/>
    </row>
    <row r="247" ht="18.75" customHeight="1">
      <c r="K247" s="28"/>
      <c r="L247" s="28"/>
      <c r="M247" s="33"/>
      <c r="N247" s="33"/>
      <c r="O247" s="33"/>
      <c r="P247" s="33"/>
      <c r="Q247" s="28"/>
      <c r="R247" s="28"/>
      <c r="S247" s="28"/>
      <c r="T247" s="28"/>
      <c r="U247" s="28"/>
      <c r="V247" s="28"/>
      <c r="W247" s="28"/>
      <c r="X247" s="28"/>
      <c r="Y247" s="28"/>
      <c r="Z247" s="28"/>
      <c r="AA247" s="28"/>
    </row>
    <row r="248" ht="18.75" customHeight="1">
      <c r="K248" s="28"/>
      <c r="L248" s="28"/>
      <c r="M248" s="33"/>
      <c r="N248" s="33"/>
      <c r="O248" s="33"/>
      <c r="P248" s="33"/>
      <c r="Q248" s="28"/>
      <c r="R248" s="28"/>
      <c r="S248" s="28"/>
      <c r="T248" s="28"/>
      <c r="U248" s="28"/>
      <c r="V248" s="28"/>
      <c r="W248" s="28"/>
      <c r="X248" s="28"/>
      <c r="Y248" s="28"/>
      <c r="Z248" s="28"/>
      <c r="AA248" s="28"/>
    </row>
    <row r="249" ht="18.75" customHeight="1">
      <c r="K249" s="28"/>
      <c r="L249" s="28"/>
      <c r="M249" s="33"/>
      <c r="N249" s="33"/>
      <c r="O249" s="33"/>
      <c r="P249" s="33"/>
      <c r="Q249" s="28"/>
      <c r="R249" s="28"/>
      <c r="S249" s="28"/>
      <c r="T249" s="28"/>
      <c r="U249" s="28"/>
      <c r="V249" s="28"/>
      <c r="W249" s="28"/>
      <c r="X249" s="28"/>
      <c r="Y249" s="28"/>
      <c r="Z249" s="28"/>
      <c r="AA249" s="28"/>
    </row>
    <row r="250" ht="18.75" customHeight="1">
      <c r="K250" s="28"/>
      <c r="L250" s="28"/>
      <c r="M250" s="33"/>
      <c r="N250" s="33"/>
      <c r="O250" s="33"/>
      <c r="P250" s="33"/>
      <c r="Q250" s="28"/>
      <c r="R250" s="28"/>
      <c r="S250" s="28"/>
      <c r="T250" s="28"/>
      <c r="U250" s="28"/>
      <c r="V250" s="28"/>
      <c r="W250" s="28"/>
      <c r="X250" s="28"/>
      <c r="Y250" s="28"/>
      <c r="Z250" s="28"/>
      <c r="AA250" s="28"/>
    </row>
    <row r="251" ht="18.75" customHeight="1">
      <c r="A251" s="28"/>
      <c r="B251" s="28"/>
      <c r="C251" s="28"/>
      <c r="D251" s="28"/>
      <c r="E251" s="28"/>
      <c r="F251" s="28"/>
      <c r="G251" s="28"/>
      <c r="H251" s="28"/>
      <c r="I251" s="28"/>
      <c r="J251" s="28"/>
      <c r="K251" s="28"/>
      <c r="L251" s="28"/>
      <c r="M251" s="33"/>
      <c r="N251" s="33"/>
      <c r="O251" s="33"/>
      <c r="P251" s="33"/>
      <c r="Q251" s="28"/>
      <c r="R251" s="28"/>
      <c r="S251" s="28"/>
      <c r="T251" s="28"/>
      <c r="U251" s="28"/>
      <c r="V251" s="28"/>
      <c r="W251" s="28"/>
      <c r="X251" s="28"/>
      <c r="Y251" s="28"/>
      <c r="Z251" s="28"/>
      <c r="AA251" s="28"/>
    </row>
    <row r="252" ht="18.75" customHeight="1">
      <c r="A252" s="28"/>
      <c r="B252" s="28"/>
      <c r="C252" s="28"/>
      <c r="D252" s="28"/>
      <c r="E252" s="28"/>
      <c r="F252" s="28"/>
      <c r="G252" s="28"/>
      <c r="H252" s="28"/>
      <c r="I252" s="28"/>
      <c r="J252" s="28"/>
      <c r="K252" s="28"/>
      <c r="L252" s="28"/>
      <c r="M252" s="33"/>
      <c r="N252" s="33"/>
      <c r="O252" s="33"/>
      <c r="P252" s="33"/>
      <c r="Q252" s="28"/>
      <c r="R252" s="28"/>
      <c r="S252" s="28"/>
      <c r="T252" s="28"/>
      <c r="U252" s="28"/>
      <c r="V252" s="28"/>
      <c r="W252" s="28"/>
      <c r="X252" s="28"/>
      <c r="Y252" s="28"/>
      <c r="Z252" s="28"/>
      <c r="AA252" s="28"/>
    </row>
    <row r="253" ht="18.75" customHeight="1">
      <c r="A253" s="28"/>
      <c r="B253" s="28"/>
      <c r="C253" s="28"/>
      <c r="D253" s="28"/>
      <c r="E253" s="28"/>
      <c r="F253" s="28"/>
      <c r="G253" s="28"/>
      <c r="H253" s="28"/>
      <c r="I253" s="28"/>
      <c r="J253" s="28"/>
      <c r="K253" s="28"/>
      <c r="L253" s="28"/>
      <c r="M253" s="33"/>
      <c r="N253" s="33"/>
      <c r="O253" s="33"/>
      <c r="P253" s="33"/>
      <c r="Q253" s="28"/>
      <c r="R253" s="28"/>
      <c r="S253" s="28"/>
      <c r="T253" s="28"/>
      <c r="U253" s="28"/>
      <c r="V253" s="28"/>
      <c r="W253" s="28"/>
      <c r="X253" s="28"/>
      <c r="Y253" s="28"/>
      <c r="Z253" s="28"/>
      <c r="AA253" s="28"/>
    </row>
    <row r="254" ht="18.75" customHeight="1">
      <c r="A254" s="28"/>
      <c r="B254" s="28"/>
      <c r="C254" s="28"/>
      <c r="D254" s="28"/>
      <c r="E254" s="28"/>
      <c r="F254" s="28"/>
      <c r="G254" s="28"/>
      <c r="H254" s="28"/>
      <c r="I254" s="28"/>
      <c r="J254" s="28"/>
      <c r="K254" s="28"/>
      <c r="L254" s="28"/>
      <c r="M254" s="33"/>
      <c r="N254" s="33"/>
      <c r="O254" s="33"/>
      <c r="P254" s="33"/>
      <c r="Q254" s="28"/>
      <c r="R254" s="28"/>
      <c r="S254" s="28"/>
      <c r="T254" s="28"/>
      <c r="U254" s="28"/>
      <c r="V254" s="28"/>
      <c r="W254" s="28"/>
      <c r="X254" s="28"/>
      <c r="Y254" s="28"/>
      <c r="Z254" s="28"/>
      <c r="AA254" s="28"/>
    </row>
    <row r="255" ht="18.75" customHeight="1">
      <c r="A255" s="28"/>
      <c r="B255" s="28"/>
      <c r="C255" s="28"/>
      <c r="D255" s="28"/>
      <c r="E255" s="28"/>
      <c r="F255" s="28"/>
      <c r="G255" s="28"/>
      <c r="H255" s="28"/>
      <c r="I255" s="28"/>
      <c r="J255" s="28"/>
      <c r="K255" s="28"/>
      <c r="L255" s="28"/>
      <c r="M255" s="33"/>
      <c r="N255" s="33"/>
      <c r="O255" s="33"/>
      <c r="P255" s="33"/>
      <c r="Q255" s="28"/>
      <c r="R255" s="28"/>
      <c r="S255" s="28"/>
      <c r="T255" s="28"/>
      <c r="U255" s="28"/>
      <c r="V255" s="28"/>
      <c r="W255" s="28"/>
      <c r="X255" s="28"/>
      <c r="Y255" s="28"/>
      <c r="Z255" s="28"/>
      <c r="AA255" s="28"/>
    </row>
    <row r="256" ht="18.75" customHeight="1">
      <c r="A256" s="28"/>
      <c r="B256" s="28"/>
      <c r="C256" s="28"/>
      <c r="D256" s="28"/>
      <c r="E256" s="28"/>
      <c r="F256" s="28"/>
      <c r="G256" s="28"/>
      <c r="H256" s="28"/>
      <c r="I256" s="28"/>
      <c r="J256" s="28"/>
      <c r="K256" s="28"/>
      <c r="L256" s="28"/>
      <c r="M256" s="33"/>
      <c r="N256" s="33"/>
      <c r="O256" s="33"/>
      <c r="P256" s="33"/>
      <c r="Q256" s="28"/>
      <c r="R256" s="28"/>
      <c r="S256" s="28"/>
      <c r="T256" s="28"/>
      <c r="U256" s="28"/>
      <c r="V256" s="28"/>
      <c r="W256" s="28"/>
      <c r="X256" s="28"/>
      <c r="Y256" s="28"/>
      <c r="Z256" s="28"/>
      <c r="AA256" s="28"/>
    </row>
    <row r="257" ht="18.75" customHeight="1">
      <c r="A257" s="28"/>
      <c r="B257" s="28"/>
      <c r="C257" s="28"/>
      <c r="D257" s="28"/>
      <c r="E257" s="28"/>
      <c r="F257" s="28"/>
      <c r="G257" s="28"/>
      <c r="H257" s="28"/>
      <c r="I257" s="28"/>
      <c r="J257" s="28"/>
      <c r="K257" s="28"/>
      <c r="L257" s="28"/>
      <c r="M257" s="33"/>
      <c r="N257" s="33"/>
      <c r="O257" s="33"/>
      <c r="P257" s="33"/>
      <c r="Q257" s="28"/>
      <c r="R257" s="28"/>
      <c r="S257" s="28"/>
      <c r="T257" s="28"/>
      <c r="U257" s="28"/>
      <c r="V257" s="28"/>
      <c r="W257" s="28"/>
      <c r="X257" s="28"/>
      <c r="Y257" s="28"/>
      <c r="Z257" s="28"/>
      <c r="AA257" s="28"/>
    </row>
    <row r="258" ht="18.75" customHeight="1">
      <c r="A258" s="28"/>
      <c r="B258" s="28"/>
      <c r="C258" s="28"/>
      <c r="D258" s="28"/>
      <c r="E258" s="28"/>
      <c r="F258" s="28"/>
      <c r="G258" s="28"/>
      <c r="H258" s="28"/>
      <c r="I258" s="28"/>
      <c r="J258" s="28"/>
      <c r="K258" s="28"/>
      <c r="L258" s="28"/>
      <c r="M258" s="33"/>
      <c r="N258" s="33"/>
      <c r="O258" s="33"/>
      <c r="P258" s="33"/>
      <c r="Q258" s="28"/>
      <c r="R258" s="28"/>
      <c r="S258" s="28"/>
      <c r="T258" s="28"/>
      <c r="U258" s="28"/>
      <c r="V258" s="28"/>
      <c r="W258" s="28"/>
      <c r="X258" s="28"/>
      <c r="Y258" s="28"/>
      <c r="Z258" s="28"/>
      <c r="AA258" s="28"/>
    </row>
    <row r="259" ht="18.75" customHeight="1">
      <c r="A259" s="28"/>
      <c r="B259" s="28"/>
      <c r="C259" s="28"/>
      <c r="D259" s="28"/>
      <c r="E259" s="28"/>
      <c r="F259" s="28"/>
      <c r="G259" s="28"/>
      <c r="H259" s="28"/>
      <c r="I259" s="28"/>
      <c r="J259" s="28"/>
      <c r="K259" s="28"/>
      <c r="L259" s="28"/>
      <c r="M259" s="33"/>
      <c r="N259" s="33"/>
      <c r="O259" s="33"/>
      <c r="P259" s="33"/>
      <c r="Q259" s="28"/>
      <c r="R259" s="28"/>
      <c r="S259" s="28"/>
      <c r="T259" s="28"/>
      <c r="U259" s="28"/>
      <c r="V259" s="28"/>
      <c r="W259" s="28"/>
      <c r="X259" s="28"/>
      <c r="Y259" s="28"/>
      <c r="Z259" s="28"/>
      <c r="AA259" s="28"/>
    </row>
    <row r="260" ht="18.75" customHeight="1">
      <c r="A260" s="28"/>
      <c r="B260" s="28"/>
      <c r="C260" s="28"/>
      <c r="D260" s="28"/>
      <c r="E260" s="28"/>
      <c r="F260" s="28"/>
      <c r="G260" s="28"/>
      <c r="H260" s="28"/>
      <c r="I260" s="28"/>
      <c r="J260" s="28"/>
      <c r="K260" s="28"/>
      <c r="L260" s="28"/>
      <c r="M260" s="33"/>
      <c r="N260" s="33"/>
      <c r="O260" s="33"/>
      <c r="P260" s="33"/>
      <c r="Q260" s="28"/>
      <c r="R260" s="28"/>
      <c r="S260" s="28"/>
      <c r="T260" s="28"/>
      <c r="U260" s="28"/>
      <c r="V260" s="28"/>
      <c r="W260" s="28"/>
      <c r="X260" s="28"/>
      <c r="Y260" s="28"/>
      <c r="Z260" s="28"/>
      <c r="AA260" s="28"/>
    </row>
    <row r="261" ht="18.75" customHeight="1">
      <c r="A261" s="28"/>
      <c r="B261" s="28"/>
      <c r="C261" s="28"/>
      <c r="D261" s="28"/>
      <c r="E261" s="28"/>
      <c r="F261" s="28"/>
      <c r="G261" s="28"/>
      <c r="H261" s="28"/>
      <c r="I261" s="28"/>
      <c r="J261" s="28"/>
      <c r="K261" s="28"/>
      <c r="L261" s="28"/>
      <c r="M261" s="33"/>
      <c r="N261" s="33"/>
      <c r="O261" s="33"/>
      <c r="P261" s="33"/>
      <c r="Q261" s="28"/>
      <c r="R261" s="28"/>
      <c r="S261" s="28"/>
      <c r="T261" s="28"/>
      <c r="U261" s="28"/>
      <c r="V261" s="28"/>
      <c r="W261" s="28"/>
      <c r="X261" s="28"/>
      <c r="Y261" s="28"/>
      <c r="Z261" s="28"/>
      <c r="AA261" s="28"/>
    </row>
    <row r="262" ht="18.75" customHeight="1">
      <c r="A262" s="28"/>
      <c r="B262" s="28"/>
      <c r="C262" s="28"/>
      <c r="D262" s="28"/>
      <c r="E262" s="28"/>
      <c r="F262" s="28"/>
      <c r="G262" s="28"/>
      <c r="H262" s="28"/>
      <c r="I262" s="28"/>
      <c r="J262" s="28"/>
      <c r="K262" s="28"/>
      <c r="L262" s="28"/>
      <c r="M262" s="33"/>
      <c r="N262" s="33"/>
      <c r="O262" s="33"/>
      <c r="P262" s="33"/>
      <c r="Q262" s="28"/>
      <c r="R262" s="28"/>
      <c r="S262" s="28"/>
      <c r="T262" s="28"/>
      <c r="U262" s="28"/>
      <c r="V262" s="28"/>
      <c r="W262" s="28"/>
      <c r="X262" s="28"/>
      <c r="Y262" s="28"/>
      <c r="Z262" s="28"/>
      <c r="AA262" s="28"/>
    </row>
    <row r="263" ht="18.75" customHeight="1">
      <c r="A263" s="28"/>
      <c r="B263" s="28"/>
      <c r="C263" s="28"/>
      <c r="D263" s="28"/>
      <c r="E263" s="28"/>
      <c r="F263" s="28"/>
      <c r="G263" s="28"/>
      <c r="H263" s="28"/>
      <c r="I263" s="28"/>
      <c r="J263" s="28"/>
      <c r="K263" s="28"/>
      <c r="L263" s="28"/>
      <c r="M263" s="33"/>
      <c r="N263" s="33"/>
      <c r="O263" s="33"/>
      <c r="P263" s="33"/>
      <c r="Q263" s="28"/>
      <c r="R263" s="28"/>
      <c r="S263" s="28"/>
      <c r="T263" s="28"/>
      <c r="U263" s="28"/>
      <c r="V263" s="28"/>
      <c r="W263" s="28"/>
      <c r="X263" s="28"/>
      <c r="Y263" s="28"/>
      <c r="Z263" s="28"/>
      <c r="AA263" s="28"/>
    </row>
    <row r="264" ht="18.75" customHeight="1">
      <c r="A264" s="28"/>
      <c r="B264" s="28"/>
      <c r="C264" s="28"/>
      <c r="D264" s="28"/>
      <c r="E264" s="28"/>
      <c r="F264" s="28"/>
      <c r="G264" s="28"/>
      <c r="H264" s="28"/>
      <c r="I264" s="28"/>
      <c r="J264" s="28"/>
      <c r="K264" s="28"/>
      <c r="L264" s="28"/>
      <c r="M264" s="33"/>
      <c r="N264" s="33"/>
      <c r="O264" s="33"/>
      <c r="P264" s="33"/>
      <c r="Q264" s="28"/>
      <c r="R264" s="28"/>
      <c r="S264" s="28"/>
      <c r="T264" s="28"/>
      <c r="U264" s="28"/>
      <c r="V264" s="28"/>
      <c r="W264" s="28"/>
      <c r="X264" s="28"/>
      <c r="Y264" s="28"/>
      <c r="Z264" s="28"/>
      <c r="AA264" s="28"/>
    </row>
    <row r="265" ht="18.75" customHeight="1">
      <c r="A265" s="28"/>
      <c r="B265" s="28"/>
      <c r="C265" s="28"/>
      <c r="D265" s="28"/>
      <c r="E265" s="28"/>
      <c r="F265" s="28"/>
      <c r="G265" s="28"/>
      <c r="H265" s="28"/>
      <c r="I265" s="28"/>
      <c r="J265" s="28"/>
      <c r="K265" s="28"/>
      <c r="L265" s="28"/>
      <c r="M265" s="33"/>
      <c r="N265" s="33"/>
      <c r="O265" s="33"/>
      <c r="P265" s="33"/>
      <c r="Q265" s="28"/>
      <c r="R265" s="28"/>
      <c r="S265" s="28"/>
      <c r="T265" s="28"/>
      <c r="U265" s="28"/>
      <c r="V265" s="28"/>
      <c r="W265" s="28"/>
      <c r="X265" s="28"/>
      <c r="Y265" s="28"/>
      <c r="Z265" s="28"/>
      <c r="AA265" s="28"/>
    </row>
    <row r="266" ht="18.75" customHeight="1">
      <c r="A266" s="28"/>
      <c r="B266" s="28"/>
      <c r="C266" s="28"/>
      <c r="D266" s="28"/>
      <c r="E266" s="28"/>
      <c r="F266" s="28"/>
      <c r="G266" s="28"/>
      <c r="H266" s="28"/>
      <c r="I266" s="28"/>
      <c r="J266" s="28"/>
      <c r="K266" s="28"/>
      <c r="L266" s="28"/>
      <c r="M266" s="33"/>
      <c r="N266" s="33"/>
      <c r="O266" s="33"/>
      <c r="P266" s="33"/>
      <c r="Q266" s="28"/>
      <c r="R266" s="28"/>
      <c r="S266" s="28"/>
      <c r="T266" s="28"/>
      <c r="U266" s="28"/>
      <c r="V266" s="28"/>
      <c r="W266" s="28"/>
      <c r="X266" s="28"/>
      <c r="Y266" s="28"/>
      <c r="Z266" s="28"/>
      <c r="AA266" s="28"/>
    </row>
    <row r="267" ht="18.75" customHeight="1">
      <c r="A267" s="28"/>
      <c r="B267" s="28"/>
      <c r="C267" s="28"/>
      <c r="D267" s="28"/>
      <c r="E267" s="28"/>
      <c r="F267" s="28"/>
      <c r="G267" s="28"/>
      <c r="H267" s="28"/>
      <c r="I267" s="28"/>
      <c r="J267" s="28"/>
      <c r="K267" s="28"/>
      <c r="L267" s="28"/>
      <c r="M267" s="33"/>
      <c r="N267" s="33"/>
      <c r="O267" s="33"/>
      <c r="P267" s="33"/>
      <c r="Q267" s="28"/>
      <c r="R267" s="28"/>
      <c r="S267" s="28"/>
      <c r="T267" s="28"/>
      <c r="U267" s="28"/>
      <c r="V267" s="28"/>
      <c r="W267" s="28"/>
      <c r="X267" s="28"/>
      <c r="Y267" s="28"/>
      <c r="Z267" s="28"/>
      <c r="AA267" s="28"/>
    </row>
    <row r="268" ht="18.75" customHeight="1">
      <c r="A268" s="28"/>
      <c r="B268" s="28"/>
      <c r="C268" s="28"/>
      <c r="D268" s="28"/>
      <c r="E268" s="28"/>
      <c r="F268" s="28"/>
      <c r="G268" s="28"/>
      <c r="H268" s="28"/>
      <c r="I268" s="28"/>
      <c r="J268" s="28"/>
      <c r="K268" s="28"/>
      <c r="L268" s="28"/>
      <c r="M268" s="33"/>
      <c r="N268" s="33"/>
      <c r="O268" s="33"/>
      <c r="P268" s="33"/>
      <c r="Q268" s="28"/>
      <c r="R268" s="28"/>
      <c r="S268" s="28"/>
      <c r="T268" s="28"/>
      <c r="U268" s="28"/>
      <c r="V268" s="28"/>
      <c r="W268" s="28"/>
      <c r="X268" s="28"/>
      <c r="Y268" s="28"/>
      <c r="Z268" s="28"/>
      <c r="AA268" s="28"/>
    </row>
    <row r="269" ht="18.75" customHeight="1">
      <c r="A269" s="28"/>
      <c r="B269" s="28"/>
      <c r="C269" s="28"/>
      <c r="D269" s="28"/>
      <c r="E269" s="28"/>
      <c r="F269" s="28"/>
      <c r="G269" s="28"/>
      <c r="H269" s="28"/>
      <c r="I269" s="28"/>
      <c r="J269" s="28"/>
      <c r="K269" s="28"/>
      <c r="L269" s="28"/>
      <c r="M269" s="33"/>
      <c r="N269" s="33"/>
      <c r="O269" s="33"/>
      <c r="P269" s="33"/>
      <c r="Q269" s="28"/>
      <c r="R269" s="28"/>
      <c r="S269" s="28"/>
      <c r="T269" s="28"/>
      <c r="U269" s="28"/>
      <c r="V269" s="28"/>
      <c r="W269" s="28"/>
      <c r="X269" s="28"/>
      <c r="Y269" s="28"/>
      <c r="Z269" s="28"/>
      <c r="AA269" s="28"/>
    </row>
    <row r="270" ht="18.75" customHeight="1">
      <c r="A270" s="28"/>
      <c r="B270" s="28"/>
      <c r="C270" s="28"/>
      <c r="D270" s="28"/>
      <c r="E270" s="28"/>
      <c r="F270" s="28"/>
      <c r="G270" s="28"/>
      <c r="H270" s="28"/>
      <c r="I270" s="28"/>
      <c r="J270" s="28"/>
      <c r="K270" s="28"/>
      <c r="L270" s="28"/>
      <c r="M270" s="33"/>
      <c r="N270" s="33"/>
      <c r="O270" s="33"/>
      <c r="P270" s="33"/>
      <c r="Q270" s="28"/>
      <c r="R270" s="28"/>
      <c r="S270" s="28"/>
      <c r="T270" s="28"/>
      <c r="U270" s="28"/>
      <c r="V270" s="28"/>
      <c r="W270" s="28"/>
      <c r="X270" s="28"/>
      <c r="Y270" s="28"/>
      <c r="Z270" s="28"/>
      <c r="AA270" s="28"/>
    </row>
    <row r="271" ht="18.75" customHeight="1">
      <c r="A271" s="28"/>
      <c r="B271" s="28"/>
      <c r="C271" s="28"/>
      <c r="D271" s="28"/>
      <c r="E271" s="28"/>
      <c r="F271" s="28"/>
      <c r="G271" s="28"/>
      <c r="H271" s="28"/>
      <c r="I271" s="28"/>
      <c r="J271" s="28"/>
      <c r="K271" s="28"/>
      <c r="L271" s="28"/>
      <c r="M271" s="33"/>
      <c r="N271" s="33"/>
      <c r="O271" s="33"/>
      <c r="P271" s="33"/>
      <c r="Q271" s="28"/>
      <c r="R271" s="28"/>
      <c r="S271" s="28"/>
      <c r="T271" s="28"/>
      <c r="U271" s="28"/>
      <c r="V271" s="28"/>
      <c r="W271" s="28"/>
      <c r="X271" s="28"/>
      <c r="Y271" s="28"/>
      <c r="Z271" s="28"/>
      <c r="AA271" s="28"/>
    </row>
    <row r="272" ht="18.75" customHeight="1">
      <c r="A272" s="28"/>
      <c r="B272" s="28"/>
      <c r="C272" s="28"/>
      <c r="D272" s="28"/>
      <c r="E272" s="28"/>
      <c r="F272" s="28"/>
      <c r="G272" s="28"/>
      <c r="H272" s="28"/>
      <c r="I272" s="28"/>
      <c r="J272" s="28"/>
      <c r="K272" s="28"/>
      <c r="L272" s="28"/>
      <c r="M272" s="33"/>
      <c r="N272" s="33"/>
      <c r="O272" s="33"/>
      <c r="P272" s="33"/>
      <c r="Q272" s="28"/>
      <c r="R272" s="28"/>
      <c r="S272" s="28"/>
      <c r="T272" s="28"/>
      <c r="U272" s="28"/>
      <c r="V272" s="28"/>
      <c r="W272" s="28"/>
      <c r="X272" s="28"/>
      <c r="Y272" s="28"/>
      <c r="Z272" s="28"/>
      <c r="AA272" s="28"/>
    </row>
    <row r="273" ht="18.75" customHeight="1">
      <c r="A273" s="28"/>
      <c r="B273" s="28"/>
      <c r="C273" s="28"/>
      <c r="D273" s="28"/>
      <c r="E273" s="28"/>
      <c r="F273" s="28"/>
      <c r="G273" s="28"/>
      <c r="H273" s="28"/>
      <c r="I273" s="28"/>
      <c r="J273" s="28"/>
      <c r="K273" s="28"/>
      <c r="L273" s="28"/>
      <c r="M273" s="33"/>
      <c r="N273" s="33"/>
      <c r="O273" s="33"/>
      <c r="P273" s="33"/>
      <c r="Q273" s="28"/>
      <c r="R273" s="28"/>
      <c r="S273" s="28"/>
      <c r="T273" s="28"/>
      <c r="U273" s="28"/>
      <c r="V273" s="28"/>
      <c r="W273" s="28"/>
      <c r="X273" s="28"/>
      <c r="Y273" s="28"/>
      <c r="Z273" s="28"/>
      <c r="AA273" s="28"/>
    </row>
    <row r="274" ht="18.75" customHeight="1">
      <c r="A274" s="28"/>
      <c r="B274" s="28"/>
      <c r="C274" s="28"/>
      <c r="D274" s="28"/>
      <c r="E274" s="28"/>
      <c r="F274" s="28"/>
      <c r="G274" s="28"/>
      <c r="H274" s="28"/>
      <c r="I274" s="28"/>
      <c r="J274" s="28"/>
      <c r="K274" s="28"/>
      <c r="L274" s="28"/>
      <c r="M274" s="33"/>
      <c r="N274" s="33"/>
      <c r="O274" s="33"/>
      <c r="P274" s="33"/>
      <c r="Q274" s="28"/>
      <c r="R274" s="28"/>
      <c r="S274" s="28"/>
      <c r="T274" s="28"/>
      <c r="U274" s="28"/>
      <c r="V274" s="28"/>
      <c r="W274" s="28"/>
      <c r="X274" s="28"/>
      <c r="Y274" s="28"/>
      <c r="Z274" s="28"/>
      <c r="AA274" s="28"/>
    </row>
    <row r="275" ht="18.75" customHeight="1">
      <c r="A275" s="28"/>
      <c r="B275" s="28"/>
      <c r="C275" s="28"/>
      <c r="D275" s="28"/>
      <c r="E275" s="28"/>
      <c r="F275" s="28"/>
      <c r="G275" s="28"/>
      <c r="H275" s="28"/>
      <c r="I275" s="28"/>
      <c r="J275" s="28"/>
      <c r="K275" s="28"/>
      <c r="L275" s="28"/>
      <c r="M275" s="33"/>
      <c r="N275" s="33"/>
      <c r="O275" s="33"/>
      <c r="P275" s="33"/>
      <c r="Q275" s="28"/>
      <c r="R275" s="28"/>
      <c r="S275" s="28"/>
      <c r="T275" s="28"/>
      <c r="U275" s="28"/>
      <c r="V275" s="28"/>
      <c r="W275" s="28"/>
      <c r="X275" s="28"/>
      <c r="Y275" s="28"/>
      <c r="Z275" s="28"/>
      <c r="AA275" s="28"/>
    </row>
    <row r="276" ht="18.75" customHeight="1">
      <c r="A276" s="28"/>
      <c r="B276" s="28"/>
      <c r="C276" s="28"/>
      <c r="D276" s="28"/>
      <c r="E276" s="28"/>
      <c r="F276" s="28"/>
      <c r="G276" s="28"/>
      <c r="H276" s="28"/>
      <c r="I276" s="28"/>
      <c r="J276" s="28"/>
      <c r="K276" s="28"/>
      <c r="L276" s="28"/>
      <c r="M276" s="33"/>
      <c r="N276" s="33"/>
      <c r="O276" s="33"/>
      <c r="P276" s="33"/>
      <c r="Q276" s="28"/>
      <c r="R276" s="28"/>
      <c r="S276" s="28"/>
      <c r="T276" s="28"/>
      <c r="U276" s="28"/>
      <c r="V276" s="28"/>
      <c r="W276" s="28"/>
      <c r="X276" s="28"/>
      <c r="Y276" s="28"/>
      <c r="Z276" s="28"/>
      <c r="AA276" s="28"/>
    </row>
    <row r="277" ht="18.75" customHeight="1">
      <c r="A277" s="28"/>
      <c r="B277" s="28"/>
      <c r="C277" s="28"/>
      <c r="D277" s="28"/>
      <c r="E277" s="28"/>
      <c r="F277" s="28"/>
      <c r="G277" s="28"/>
      <c r="H277" s="28"/>
      <c r="I277" s="28"/>
      <c r="J277" s="28"/>
      <c r="K277" s="28"/>
      <c r="L277" s="28"/>
      <c r="M277" s="33"/>
      <c r="N277" s="33"/>
      <c r="O277" s="33"/>
      <c r="P277" s="33"/>
      <c r="Q277" s="28"/>
      <c r="R277" s="28"/>
      <c r="S277" s="28"/>
      <c r="T277" s="28"/>
      <c r="U277" s="28"/>
      <c r="V277" s="28"/>
      <c r="W277" s="28"/>
      <c r="X277" s="28"/>
      <c r="Y277" s="28"/>
      <c r="Z277" s="28"/>
      <c r="AA277" s="28"/>
    </row>
    <row r="278" ht="18.75" customHeight="1">
      <c r="A278" s="28"/>
      <c r="B278" s="28"/>
      <c r="C278" s="28"/>
      <c r="D278" s="28"/>
      <c r="E278" s="28"/>
      <c r="F278" s="28"/>
      <c r="G278" s="28"/>
      <c r="H278" s="28"/>
      <c r="I278" s="28"/>
      <c r="J278" s="28"/>
      <c r="K278" s="28"/>
      <c r="L278" s="28"/>
      <c r="M278" s="33"/>
      <c r="N278" s="33"/>
      <c r="O278" s="33"/>
      <c r="P278" s="33"/>
      <c r="Q278" s="28"/>
      <c r="R278" s="28"/>
      <c r="S278" s="28"/>
      <c r="T278" s="28"/>
      <c r="U278" s="28"/>
      <c r="V278" s="28"/>
      <c r="W278" s="28"/>
      <c r="X278" s="28"/>
      <c r="Y278" s="28"/>
      <c r="Z278" s="28"/>
      <c r="AA278" s="28"/>
    </row>
    <row r="279" ht="18.75" customHeight="1">
      <c r="A279" s="28"/>
      <c r="B279" s="28"/>
      <c r="C279" s="28"/>
      <c r="D279" s="28"/>
      <c r="E279" s="28"/>
      <c r="F279" s="28"/>
      <c r="G279" s="28"/>
      <c r="H279" s="28"/>
      <c r="I279" s="28"/>
      <c r="J279" s="28"/>
      <c r="K279" s="28"/>
      <c r="L279" s="28"/>
      <c r="M279" s="33"/>
      <c r="N279" s="33"/>
      <c r="O279" s="33"/>
      <c r="P279" s="33"/>
      <c r="Q279" s="28"/>
      <c r="R279" s="28"/>
      <c r="S279" s="28"/>
      <c r="T279" s="28"/>
      <c r="U279" s="28"/>
      <c r="V279" s="28"/>
      <c r="W279" s="28"/>
      <c r="X279" s="28"/>
      <c r="Y279" s="28"/>
      <c r="Z279" s="28"/>
      <c r="AA279" s="28"/>
    </row>
    <row r="280" ht="18.75" customHeight="1">
      <c r="A280" s="28"/>
      <c r="B280" s="28"/>
      <c r="C280" s="28"/>
      <c r="D280" s="28"/>
      <c r="E280" s="28"/>
      <c r="F280" s="28"/>
      <c r="G280" s="28"/>
      <c r="H280" s="28"/>
      <c r="I280" s="28"/>
      <c r="J280" s="28"/>
      <c r="K280" s="28"/>
      <c r="L280" s="28"/>
      <c r="M280" s="33"/>
      <c r="N280" s="33"/>
      <c r="O280" s="33"/>
      <c r="P280" s="33"/>
      <c r="Q280" s="28"/>
      <c r="R280" s="28"/>
      <c r="S280" s="28"/>
      <c r="T280" s="28"/>
      <c r="U280" s="28"/>
      <c r="V280" s="28"/>
      <c r="W280" s="28"/>
      <c r="X280" s="28"/>
      <c r="Y280" s="28"/>
      <c r="Z280" s="28"/>
      <c r="AA280" s="28"/>
    </row>
    <row r="281" ht="18.75" customHeight="1">
      <c r="A281" s="28"/>
      <c r="B281" s="28"/>
      <c r="C281" s="28"/>
      <c r="D281" s="28"/>
      <c r="E281" s="28"/>
      <c r="F281" s="28"/>
      <c r="G281" s="28"/>
      <c r="H281" s="28"/>
      <c r="I281" s="28"/>
      <c r="J281" s="28"/>
      <c r="K281" s="28"/>
      <c r="L281" s="28"/>
      <c r="M281" s="33"/>
      <c r="N281" s="33"/>
      <c r="O281" s="33"/>
      <c r="P281" s="33"/>
      <c r="Q281" s="28"/>
      <c r="R281" s="28"/>
      <c r="S281" s="28"/>
      <c r="T281" s="28"/>
      <c r="U281" s="28"/>
      <c r="V281" s="28"/>
      <c r="W281" s="28"/>
      <c r="X281" s="28"/>
      <c r="Y281" s="28"/>
      <c r="Z281" s="28"/>
      <c r="AA281" s="28"/>
    </row>
    <row r="282" ht="18.75" customHeight="1">
      <c r="A282" s="28"/>
      <c r="B282" s="28"/>
      <c r="C282" s="28"/>
      <c r="D282" s="28"/>
      <c r="E282" s="28"/>
      <c r="F282" s="28"/>
      <c r="G282" s="28"/>
      <c r="H282" s="28"/>
      <c r="I282" s="28"/>
      <c r="J282" s="28"/>
      <c r="K282" s="28"/>
      <c r="L282" s="28"/>
      <c r="M282" s="33"/>
      <c r="N282" s="33"/>
      <c r="O282" s="33"/>
      <c r="P282" s="33"/>
      <c r="Q282" s="28"/>
      <c r="R282" s="28"/>
      <c r="S282" s="28"/>
      <c r="T282" s="28"/>
      <c r="U282" s="28"/>
      <c r="V282" s="28"/>
      <c r="W282" s="28"/>
      <c r="X282" s="28"/>
      <c r="Y282" s="28"/>
      <c r="Z282" s="28"/>
      <c r="AA282" s="28"/>
    </row>
    <row r="283" ht="18.75" customHeight="1">
      <c r="A283" s="28"/>
      <c r="B283" s="28"/>
      <c r="C283" s="28"/>
      <c r="D283" s="28"/>
      <c r="E283" s="28"/>
      <c r="F283" s="28"/>
      <c r="G283" s="28"/>
      <c r="H283" s="28"/>
      <c r="I283" s="28"/>
      <c r="J283" s="28"/>
      <c r="K283" s="28"/>
      <c r="L283" s="28"/>
      <c r="M283" s="33"/>
      <c r="N283" s="33"/>
      <c r="O283" s="33"/>
      <c r="P283" s="33"/>
      <c r="Q283" s="28"/>
      <c r="R283" s="28"/>
      <c r="S283" s="28"/>
      <c r="T283" s="28"/>
      <c r="U283" s="28"/>
      <c r="V283" s="28"/>
      <c r="W283" s="28"/>
      <c r="X283" s="28"/>
      <c r="Y283" s="28"/>
      <c r="Z283" s="28"/>
      <c r="AA283" s="28"/>
    </row>
    <row r="284" ht="18.75" customHeight="1">
      <c r="A284" s="28"/>
      <c r="B284" s="28"/>
      <c r="C284" s="28"/>
      <c r="D284" s="28"/>
      <c r="E284" s="28"/>
      <c r="F284" s="28"/>
      <c r="G284" s="28"/>
      <c r="H284" s="28"/>
      <c r="I284" s="28"/>
      <c r="J284" s="28"/>
      <c r="K284" s="28"/>
      <c r="L284" s="28"/>
      <c r="M284" s="33"/>
      <c r="N284" s="33"/>
      <c r="O284" s="33"/>
      <c r="P284" s="33"/>
      <c r="Q284" s="28"/>
      <c r="R284" s="28"/>
      <c r="S284" s="28"/>
      <c r="T284" s="28"/>
      <c r="U284" s="28"/>
      <c r="V284" s="28"/>
      <c r="W284" s="28"/>
      <c r="X284" s="28"/>
      <c r="Y284" s="28"/>
      <c r="Z284" s="28"/>
      <c r="AA284" s="28"/>
    </row>
    <row r="285" ht="18.75" customHeight="1">
      <c r="A285" s="28"/>
      <c r="B285" s="28"/>
      <c r="C285" s="28"/>
      <c r="D285" s="28"/>
      <c r="E285" s="28"/>
      <c r="F285" s="28"/>
      <c r="G285" s="28"/>
      <c r="H285" s="28"/>
      <c r="I285" s="28"/>
      <c r="J285" s="28"/>
      <c r="K285" s="28"/>
      <c r="L285" s="28"/>
      <c r="M285" s="33"/>
      <c r="N285" s="33"/>
      <c r="O285" s="33"/>
      <c r="P285" s="33"/>
      <c r="Q285" s="28"/>
      <c r="R285" s="28"/>
      <c r="S285" s="28"/>
      <c r="T285" s="28"/>
      <c r="U285" s="28"/>
      <c r="V285" s="28"/>
      <c r="W285" s="28"/>
      <c r="X285" s="28"/>
      <c r="Y285" s="28"/>
      <c r="Z285" s="28"/>
      <c r="AA285" s="28"/>
    </row>
    <row r="286" ht="18.75" customHeight="1">
      <c r="A286" s="28"/>
      <c r="B286" s="28"/>
      <c r="C286" s="28"/>
      <c r="D286" s="28"/>
      <c r="E286" s="28"/>
      <c r="F286" s="28"/>
      <c r="G286" s="28"/>
      <c r="H286" s="28"/>
      <c r="I286" s="28"/>
      <c r="J286" s="28"/>
      <c r="K286" s="28"/>
      <c r="L286" s="28"/>
      <c r="M286" s="33"/>
      <c r="N286" s="33"/>
      <c r="O286" s="33"/>
      <c r="P286" s="33"/>
      <c r="Q286" s="28"/>
      <c r="R286" s="28"/>
      <c r="S286" s="28"/>
      <c r="T286" s="28"/>
      <c r="U286" s="28"/>
      <c r="V286" s="28"/>
      <c r="W286" s="28"/>
      <c r="X286" s="28"/>
      <c r="Y286" s="28"/>
      <c r="Z286" s="28"/>
      <c r="AA286" s="28"/>
    </row>
    <row r="287" ht="18.75" customHeight="1">
      <c r="A287" s="28"/>
      <c r="B287" s="28"/>
      <c r="C287" s="28"/>
      <c r="D287" s="28"/>
      <c r="E287" s="28"/>
      <c r="F287" s="28"/>
      <c r="G287" s="28"/>
      <c r="H287" s="28"/>
      <c r="I287" s="28"/>
      <c r="J287" s="28"/>
      <c r="K287" s="28"/>
      <c r="L287" s="28"/>
      <c r="M287" s="33"/>
      <c r="N287" s="33"/>
      <c r="O287" s="33"/>
      <c r="P287" s="33"/>
      <c r="Q287" s="28"/>
      <c r="R287" s="28"/>
      <c r="S287" s="28"/>
      <c r="T287" s="28"/>
      <c r="U287" s="28"/>
      <c r="V287" s="28"/>
      <c r="W287" s="28"/>
      <c r="X287" s="28"/>
      <c r="Y287" s="28"/>
      <c r="Z287" s="28"/>
      <c r="AA287" s="28"/>
    </row>
    <row r="288" ht="18.75" customHeight="1">
      <c r="A288" s="28"/>
      <c r="B288" s="28"/>
      <c r="C288" s="28"/>
      <c r="D288" s="28"/>
      <c r="E288" s="28"/>
      <c r="F288" s="28"/>
      <c r="G288" s="28"/>
      <c r="H288" s="28"/>
      <c r="I288" s="28"/>
      <c r="J288" s="28"/>
      <c r="K288" s="28"/>
      <c r="L288" s="28"/>
      <c r="M288" s="33"/>
      <c r="N288" s="33"/>
      <c r="O288" s="33"/>
      <c r="P288" s="33"/>
      <c r="Q288" s="28"/>
      <c r="R288" s="28"/>
      <c r="S288" s="28"/>
      <c r="T288" s="28"/>
      <c r="U288" s="28"/>
      <c r="V288" s="28"/>
      <c r="W288" s="28"/>
      <c r="X288" s="28"/>
      <c r="Y288" s="28"/>
      <c r="Z288" s="28"/>
      <c r="AA288" s="28"/>
    </row>
    <row r="289" ht="18.75" customHeight="1">
      <c r="A289" s="28"/>
      <c r="B289" s="28"/>
      <c r="C289" s="28"/>
      <c r="D289" s="28"/>
      <c r="E289" s="28"/>
      <c r="F289" s="28"/>
      <c r="G289" s="28"/>
      <c r="H289" s="28"/>
      <c r="I289" s="28"/>
      <c r="J289" s="28"/>
      <c r="K289" s="28"/>
      <c r="L289" s="28"/>
      <c r="M289" s="33"/>
      <c r="N289" s="33"/>
      <c r="O289" s="33"/>
      <c r="P289" s="33"/>
      <c r="Q289" s="28"/>
      <c r="R289" s="28"/>
      <c r="S289" s="28"/>
      <c r="T289" s="28"/>
      <c r="U289" s="28"/>
      <c r="V289" s="28"/>
      <c r="W289" s="28"/>
      <c r="X289" s="28"/>
      <c r="Y289" s="28"/>
      <c r="Z289" s="28"/>
      <c r="AA289" s="28"/>
    </row>
    <row r="290" ht="18.75" customHeight="1">
      <c r="A290" s="28"/>
      <c r="B290" s="28"/>
      <c r="C290" s="28"/>
      <c r="D290" s="28"/>
      <c r="E290" s="28"/>
      <c r="F290" s="28"/>
      <c r="G290" s="28"/>
      <c r="H290" s="28"/>
      <c r="I290" s="28"/>
      <c r="J290" s="28"/>
      <c r="K290" s="28"/>
      <c r="L290" s="28"/>
      <c r="M290" s="33"/>
      <c r="N290" s="33"/>
      <c r="O290" s="33"/>
      <c r="P290" s="33"/>
      <c r="Q290" s="28"/>
      <c r="R290" s="28"/>
      <c r="S290" s="28"/>
      <c r="T290" s="28"/>
      <c r="U290" s="28"/>
      <c r="V290" s="28"/>
      <c r="W290" s="28"/>
      <c r="X290" s="28"/>
      <c r="Y290" s="28"/>
      <c r="Z290" s="28"/>
      <c r="AA290" s="28"/>
    </row>
    <row r="291" ht="18.75" customHeight="1">
      <c r="A291" s="28"/>
      <c r="B291" s="28"/>
      <c r="C291" s="28"/>
      <c r="D291" s="28"/>
      <c r="E291" s="28"/>
      <c r="F291" s="28"/>
      <c r="G291" s="28"/>
      <c r="H291" s="28"/>
      <c r="I291" s="28"/>
      <c r="J291" s="28"/>
      <c r="K291" s="28"/>
      <c r="L291" s="28"/>
      <c r="M291" s="33"/>
      <c r="N291" s="33"/>
      <c r="O291" s="33"/>
      <c r="P291" s="33"/>
      <c r="Q291" s="28"/>
      <c r="R291" s="28"/>
      <c r="S291" s="28"/>
      <c r="T291" s="28"/>
      <c r="U291" s="28"/>
      <c r="V291" s="28"/>
      <c r="W291" s="28"/>
      <c r="X291" s="28"/>
      <c r="Y291" s="28"/>
      <c r="Z291" s="28"/>
      <c r="AA291" s="28"/>
    </row>
    <row r="292" ht="18.75" customHeight="1">
      <c r="A292" s="28"/>
      <c r="B292" s="28"/>
      <c r="C292" s="28"/>
      <c r="D292" s="28"/>
      <c r="E292" s="28"/>
      <c r="F292" s="28"/>
      <c r="G292" s="28"/>
      <c r="H292" s="28"/>
      <c r="I292" s="28"/>
      <c r="J292" s="28"/>
      <c r="K292" s="28"/>
      <c r="L292" s="28"/>
      <c r="M292" s="33"/>
      <c r="N292" s="33"/>
      <c r="O292" s="33"/>
      <c r="P292" s="33"/>
      <c r="Q292" s="28"/>
      <c r="R292" s="28"/>
      <c r="S292" s="28"/>
      <c r="T292" s="28"/>
      <c r="U292" s="28"/>
      <c r="V292" s="28"/>
      <c r="W292" s="28"/>
      <c r="X292" s="28"/>
      <c r="Y292" s="28"/>
      <c r="Z292" s="28"/>
      <c r="AA292" s="28"/>
    </row>
    <row r="293" ht="18.75" customHeight="1">
      <c r="A293" s="28"/>
      <c r="B293" s="28"/>
      <c r="C293" s="28"/>
      <c r="D293" s="28"/>
      <c r="E293" s="28"/>
      <c r="F293" s="28"/>
      <c r="G293" s="28"/>
      <c r="H293" s="28"/>
      <c r="I293" s="28"/>
      <c r="J293" s="28"/>
      <c r="K293" s="28"/>
      <c r="L293" s="28"/>
      <c r="M293" s="33"/>
      <c r="N293" s="33"/>
      <c r="O293" s="33"/>
      <c r="P293" s="33"/>
      <c r="Q293" s="28"/>
      <c r="R293" s="28"/>
      <c r="S293" s="28"/>
      <c r="T293" s="28"/>
      <c r="U293" s="28"/>
      <c r="V293" s="28"/>
      <c r="W293" s="28"/>
      <c r="X293" s="28"/>
      <c r="Y293" s="28"/>
      <c r="Z293" s="28"/>
      <c r="AA293" s="28"/>
    </row>
    <row r="294" ht="18.75" customHeight="1">
      <c r="A294" s="28"/>
      <c r="B294" s="28"/>
      <c r="C294" s="28"/>
      <c r="D294" s="28"/>
      <c r="E294" s="28"/>
      <c r="F294" s="28"/>
      <c r="G294" s="28"/>
      <c r="H294" s="28"/>
      <c r="I294" s="28"/>
      <c r="J294" s="28"/>
      <c r="K294" s="28"/>
      <c r="L294" s="28"/>
      <c r="M294" s="33"/>
      <c r="N294" s="33"/>
      <c r="O294" s="33"/>
      <c r="P294" s="33"/>
      <c r="Q294" s="28"/>
      <c r="R294" s="28"/>
      <c r="S294" s="28"/>
      <c r="T294" s="28"/>
      <c r="U294" s="28"/>
      <c r="V294" s="28"/>
      <c r="W294" s="28"/>
      <c r="X294" s="28"/>
      <c r="Y294" s="28"/>
      <c r="Z294" s="28"/>
      <c r="AA294" s="28"/>
    </row>
    <row r="295" ht="18.75" customHeight="1">
      <c r="A295" s="28"/>
      <c r="B295" s="28"/>
      <c r="C295" s="28"/>
      <c r="D295" s="28"/>
      <c r="E295" s="28"/>
      <c r="F295" s="28"/>
      <c r="G295" s="28"/>
      <c r="H295" s="28"/>
      <c r="I295" s="28"/>
      <c r="J295" s="28"/>
      <c r="K295" s="28"/>
      <c r="L295" s="28"/>
      <c r="M295" s="33"/>
      <c r="N295" s="33"/>
      <c r="O295" s="33"/>
      <c r="P295" s="33"/>
      <c r="Q295" s="28"/>
      <c r="R295" s="28"/>
      <c r="S295" s="28"/>
      <c r="T295" s="28"/>
      <c r="U295" s="28"/>
      <c r="V295" s="28"/>
      <c r="W295" s="28"/>
      <c r="X295" s="28"/>
      <c r="Y295" s="28"/>
      <c r="Z295" s="28"/>
      <c r="AA295" s="28"/>
    </row>
    <row r="296" ht="18.75" customHeight="1">
      <c r="A296" s="28"/>
      <c r="B296" s="28"/>
      <c r="C296" s="28"/>
      <c r="D296" s="28"/>
      <c r="E296" s="28"/>
      <c r="F296" s="28"/>
      <c r="G296" s="28"/>
      <c r="H296" s="28"/>
      <c r="I296" s="28"/>
      <c r="J296" s="28"/>
      <c r="K296" s="28"/>
      <c r="L296" s="28"/>
      <c r="M296" s="33"/>
      <c r="N296" s="33"/>
      <c r="O296" s="33"/>
      <c r="P296" s="33"/>
      <c r="Q296" s="28"/>
      <c r="R296" s="28"/>
      <c r="S296" s="28"/>
      <c r="T296" s="28"/>
      <c r="U296" s="28"/>
      <c r="V296" s="28"/>
      <c r="W296" s="28"/>
      <c r="X296" s="28"/>
      <c r="Y296" s="28"/>
      <c r="Z296" s="28"/>
      <c r="AA296" s="28"/>
    </row>
    <row r="297" ht="18.75" customHeight="1">
      <c r="A297" s="28"/>
      <c r="B297" s="28"/>
      <c r="C297" s="28"/>
      <c r="D297" s="28"/>
      <c r="E297" s="28"/>
      <c r="F297" s="28"/>
      <c r="G297" s="28"/>
      <c r="H297" s="28"/>
      <c r="I297" s="28"/>
      <c r="J297" s="28"/>
      <c r="K297" s="28"/>
      <c r="L297" s="28"/>
      <c r="M297" s="33"/>
      <c r="N297" s="33"/>
      <c r="O297" s="33"/>
      <c r="P297" s="33"/>
      <c r="Q297" s="28"/>
      <c r="R297" s="28"/>
      <c r="S297" s="28"/>
      <c r="T297" s="28"/>
      <c r="U297" s="28"/>
      <c r="V297" s="28"/>
      <c r="W297" s="28"/>
      <c r="X297" s="28"/>
      <c r="Y297" s="28"/>
      <c r="Z297" s="28"/>
      <c r="AA297" s="28"/>
    </row>
    <row r="298" ht="18.75" customHeight="1">
      <c r="A298" s="28"/>
      <c r="B298" s="28"/>
      <c r="C298" s="28"/>
      <c r="D298" s="28"/>
      <c r="E298" s="28"/>
      <c r="F298" s="28"/>
      <c r="G298" s="28"/>
      <c r="H298" s="28"/>
      <c r="I298" s="28"/>
      <c r="J298" s="28"/>
      <c r="K298" s="28"/>
      <c r="L298" s="28"/>
      <c r="M298" s="33"/>
      <c r="N298" s="33"/>
      <c r="O298" s="33"/>
      <c r="P298" s="33"/>
      <c r="Q298" s="28"/>
      <c r="R298" s="28"/>
      <c r="S298" s="28"/>
      <c r="T298" s="28"/>
      <c r="U298" s="28"/>
      <c r="V298" s="28"/>
      <c r="W298" s="28"/>
      <c r="X298" s="28"/>
      <c r="Y298" s="28"/>
      <c r="Z298" s="28"/>
      <c r="AA298" s="28"/>
    </row>
    <row r="299" ht="18.75" customHeight="1">
      <c r="A299" s="28"/>
      <c r="B299" s="28"/>
      <c r="C299" s="28"/>
      <c r="D299" s="28"/>
      <c r="E299" s="28"/>
      <c r="F299" s="28"/>
      <c r="G299" s="28"/>
      <c r="H299" s="28"/>
      <c r="I299" s="28"/>
      <c r="J299" s="28"/>
      <c r="K299" s="28"/>
      <c r="L299" s="28"/>
      <c r="M299" s="33"/>
      <c r="N299" s="33"/>
      <c r="O299" s="33"/>
      <c r="P299" s="33"/>
      <c r="Q299" s="28"/>
      <c r="R299" s="28"/>
      <c r="S299" s="28"/>
      <c r="T299" s="28"/>
      <c r="U299" s="28"/>
      <c r="V299" s="28"/>
      <c r="W299" s="28"/>
      <c r="X299" s="28"/>
      <c r="Y299" s="28"/>
      <c r="Z299" s="28"/>
      <c r="AA299" s="28"/>
    </row>
    <row r="300" ht="18.75" customHeight="1">
      <c r="A300" s="28"/>
      <c r="B300" s="28"/>
      <c r="C300" s="28"/>
      <c r="D300" s="28"/>
      <c r="E300" s="28"/>
      <c r="F300" s="28"/>
      <c r="G300" s="28"/>
      <c r="H300" s="28"/>
      <c r="I300" s="28"/>
      <c r="J300" s="28"/>
      <c r="K300" s="28"/>
      <c r="L300" s="28"/>
      <c r="M300" s="33"/>
      <c r="N300" s="33"/>
      <c r="O300" s="33"/>
      <c r="P300" s="33"/>
      <c r="Q300" s="28"/>
      <c r="R300" s="28"/>
      <c r="S300" s="28"/>
      <c r="T300" s="28"/>
      <c r="U300" s="28"/>
      <c r="V300" s="28"/>
      <c r="W300" s="28"/>
      <c r="X300" s="28"/>
      <c r="Y300" s="28"/>
      <c r="Z300" s="28"/>
      <c r="AA300" s="28"/>
    </row>
    <row r="301" ht="18.75" customHeight="1">
      <c r="A301" s="28"/>
      <c r="B301" s="28"/>
      <c r="C301" s="28"/>
      <c r="D301" s="28"/>
      <c r="E301" s="28"/>
      <c r="F301" s="28"/>
      <c r="G301" s="28"/>
      <c r="H301" s="28"/>
      <c r="I301" s="28"/>
      <c r="J301" s="28"/>
      <c r="K301" s="28"/>
      <c r="L301" s="28"/>
      <c r="M301" s="33"/>
      <c r="N301" s="33"/>
      <c r="O301" s="33"/>
      <c r="P301" s="33"/>
      <c r="Q301" s="28"/>
      <c r="R301" s="28"/>
      <c r="S301" s="28"/>
      <c r="T301" s="28"/>
      <c r="U301" s="28"/>
      <c r="V301" s="28"/>
      <c r="W301" s="28"/>
      <c r="X301" s="28"/>
      <c r="Y301" s="28"/>
      <c r="Z301" s="28"/>
      <c r="AA301" s="28"/>
    </row>
    <row r="302" ht="18.75" customHeight="1">
      <c r="A302" s="28"/>
      <c r="B302" s="28"/>
      <c r="C302" s="28"/>
      <c r="D302" s="28"/>
      <c r="E302" s="28"/>
      <c r="F302" s="28"/>
      <c r="G302" s="28"/>
      <c r="H302" s="28"/>
      <c r="I302" s="28"/>
      <c r="J302" s="28"/>
      <c r="K302" s="28"/>
      <c r="L302" s="28"/>
      <c r="M302" s="33"/>
      <c r="N302" s="33"/>
      <c r="O302" s="33"/>
      <c r="P302" s="33"/>
      <c r="Q302" s="28"/>
      <c r="R302" s="28"/>
      <c r="S302" s="28"/>
      <c r="T302" s="28"/>
      <c r="U302" s="28"/>
      <c r="V302" s="28"/>
      <c r="W302" s="28"/>
      <c r="X302" s="28"/>
      <c r="Y302" s="28"/>
      <c r="Z302" s="28"/>
      <c r="AA302" s="28"/>
    </row>
    <row r="303" ht="18.75" customHeight="1">
      <c r="A303" s="28"/>
      <c r="B303" s="28"/>
      <c r="C303" s="28"/>
      <c r="D303" s="28"/>
      <c r="E303" s="28"/>
      <c r="F303" s="28"/>
      <c r="G303" s="28"/>
      <c r="H303" s="28"/>
      <c r="I303" s="28"/>
      <c r="J303" s="28"/>
      <c r="K303" s="28"/>
      <c r="L303" s="28"/>
      <c r="M303" s="33"/>
      <c r="N303" s="33"/>
      <c r="O303" s="33"/>
      <c r="P303" s="33"/>
      <c r="Q303" s="28"/>
      <c r="R303" s="28"/>
      <c r="S303" s="28"/>
      <c r="T303" s="28"/>
      <c r="U303" s="28"/>
      <c r="V303" s="28"/>
      <c r="W303" s="28"/>
      <c r="X303" s="28"/>
      <c r="Y303" s="28"/>
      <c r="Z303" s="28"/>
      <c r="AA303" s="28"/>
    </row>
    <row r="304" ht="18.75" customHeight="1">
      <c r="A304" s="28"/>
      <c r="B304" s="28"/>
      <c r="C304" s="28"/>
      <c r="D304" s="28"/>
      <c r="E304" s="28"/>
      <c r="F304" s="28"/>
      <c r="G304" s="28"/>
      <c r="H304" s="28"/>
      <c r="I304" s="28"/>
      <c r="J304" s="28"/>
      <c r="K304" s="28"/>
      <c r="L304" s="28"/>
      <c r="M304" s="33"/>
      <c r="N304" s="33"/>
      <c r="O304" s="33"/>
      <c r="P304" s="33"/>
      <c r="Q304" s="28"/>
      <c r="R304" s="28"/>
      <c r="S304" s="28"/>
      <c r="T304" s="28"/>
      <c r="U304" s="28"/>
      <c r="V304" s="28"/>
      <c r="W304" s="28"/>
      <c r="X304" s="28"/>
      <c r="Y304" s="28"/>
      <c r="Z304" s="28"/>
      <c r="AA304" s="28"/>
    </row>
    <row r="305" ht="18.75" customHeight="1">
      <c r="A305" s="28"/>
      <c r="B305" s="28"/>
      <c r="C305" s="28"/>
      <c r="D305" s="28"/>
      <c r="E305" s="28"/>
      <c r="F305" s="28"/>
      <c r="G305" s="28"/>
      <c r="H305" s="28"/>
      <c r="I305" s="28"/>
      <c r="J305" s="28"/>
      <c r="K305" s="28"/>
      <c r="L305" s="28"/>
      <c r="M305" s="33"/>
      <c r="N305" s="33"/>
      <c r="O305" s="33"/>
      <c r="P305" s="33"/>
      <c r="Q305" s="28"/>
      <c r="R305" s="28"/>
      <c r="S305" s="28"/>
      <c r="T305" s="28"/>
      <c r="U305" s="28"/>
      <c r="V305" s="28"/>
      <c r="W305" s="28"/>
      <c r="X305" s="28"/>
      <c r="Y305" s="28"/>
      <c r="Z305" s="28"/>
      <c r="AA305" s="28"/>
    </row>
    <row r="306" ht="18.75" customHeight="1">
      <c r="A306" s="28"/>
      <c r="B306" s="28"/>
      <c r="C306" s="28"/>
      <c r="D306" s="28"/>
      <c r="E306" s="28"/>
      <c r="F306" s="28"/>
      <c r="G306" s="28"/>
      <c r="H306" s="28"/>
      <c r="I306" s="28"/>
      <c r="J306" s="28"/>
      <c r="K306" s="28"/>
      <c r="L306" s="28"/>
      <c r="M306" s="33"/>
      <c r="N306" s="33"/>
      <c r="O306" s="33"/>
      <c r="P306" s="33"/>
      <c r="Q306" s="28"/>
      <c r="R306" s="28"/>
      <c r="S306" s="28"/>
      <c r="T306" s="28"/>
      <c r="U306" s="28"/>
      <c r="V306" s="28"/>
      <c r="W306" s="28"/>
      <c r="X306" s="28"/>
      <c r="Y306" s="28"/>
      <c r="Z306" s="28"/>
      <c r="AA306" s="28"/>
    </row>
    <row r="307" ht="18.75" customHeight="1">
      <c r="A307" s="28"/>
      <c r="B307" s="28"/>
      <c r="C307" s="28"/>
      <c r="D307" s="28"/>
      <c r="E307" s="28"/>
      <c r="F307" s="28"/>
      <c r="G307" s="28"/>
      <c r="H307" s="28"/>
      <c r="I307" s="28"/>
      <c r="J307" s="28"/>
      <c r="K307" s="28"/>
      <c r="L307" s="28"/>
      <c r="M307" s="33"/>
      <c r="N307" s="33"/>
      <c r="O307" s="33"/>
      <c r="P307" s="33"/>
      <c r="Q307" s="28"/>
      <c r="R307" s="28"/>
      <c r="S307" s="28"/>
      <c r="T307" s="28"/>
      <c r="U307" s="28"/>
      <c r="V307" s="28"/>
      <c r="W307" s="28"/>
      <c r="X307" s="28"/>
      <c r="Y307" s="28"/>
      <c r="Z307" s="28"/>
      <c r="AA307" s="28"/>
    </row>
    <row r="308" ht="18.75" customHeight="1">
      <c r="A308" s="28"/>
      <c r="B308" s="28"/>
      <c r="C308" s="28"/>
      <c r="D308" s="28"/>
      <c r="E308" s="28"/>
      <c r="F308" s="28"/>
      <c r="G308" s="28"/>
      <c r="H308" s="28"/>
      <c r="I308" s="28"/>
      <c r="J308" s="28"/>
      <c r="K308" s="28"/>
      <c r="L308" s="28"/>
      <c r="M308" s="33"/>
      <c r="N308" s="33"/>
      <c r="O308" s="33"/>
      <c r="P308" s="33"/>
      <c r="Q308" s="28"/>
      <c r="R308" s="28"/>
      <c r="S308" s="28"/>
      <c r="T308" s="28"/>
      <c r="U308" s="28"/>
      <c r="V308" s="28"/>
      <c r="W308" s="28"/>
      <c r="X308" s="28"/>
      <c r="Y308" s="28"/>
      <c r="Z308" s="28"/>
      <c r="AA308" s="28"/>
    </row>
    <row r="309" ht="18.75" customHeight="1">
      <c r="A309" s="28"/>
      <c r="B309" s="28"/>
      <c r="C309" s="28"/>
      <c r="D309" s="28"/>
      <c r="E309" s="28"/>
      <c r="F309" s="28"/>
      <c r="G309" s="28"/>
      <c r="H309" s="28"/>
      <c r="I309" s="28"/>
      <c r="J309" s="28"/>
      <c r="K309" s="28"/>
      <c r="L309" s="28"/>
      <c r="M309" s="33"/>
      <c r="N309" s="33"/>
      <c r="O309" s="33"/>
      <c r="P309" s="33"/>
      <c r="Q309" s="28"/>
      <c r="R309" s="28"/>
      <c r="S309" s="28"/>
      <c r="T309" s="28"/>
      <c r="U309" s="28"/>
      <c r="V309" s="28"/>
      <c r="W309" s="28"/>
      <c r="X309" s="28"/>
      <c r="Y309" s="28"/>
      <c r="Z309" s="28"/>
      <c r="AA309" s="28"/>
    </row>
    <row r="310" ht="18.75" customHeight="1">
      <c r="A310" s="28"/>
      <c r="B310" s="28"/>
      <c r="C310" s="28"/>
      <c r="D310" s="28"/>
      <c r="E310" s="28"/>
      <c r="F310" s="28"/>
      <c r="G310" s="28"/>
      <c r="H310" s="28"/>
      <c r="I310" s="28"/>
      <c r="J310" s="28"/>
      <c r="K310" s="28"/>
      <c r="L310" s="28"/>
      <c r="M310" s="33"/>
      <c r="N310" s="33"/>
      <c r="O310" s="33"/>
      <c r="P310" s="33"/>
      <c r="Q310" s="28"/>
      <c r="R310" s="28"/>
      <c r="S310" s="28"/>
      <c r="T310" s="28"/>
      <c r="U310" s="28"/>
      <c r="V310" s="28"/>
      <c r="W310" s="28"/>
      <c r="X310" s="28"/>
      <c r="Y310" s="28"/>
      <c r="Z310" s="28"/>
      <c r="AA310" s="28"/>
    </row>
    <row r="311" ht="18.75" customHeight="1">
      <c r="A311" s="28"/>
      <c r="B311" s="28"/>
      <c r="C311" s="28"/>
      <c r="D311" s="28"/>
      <c r="E311" s="28"/>
      <c r="F311" s="28"/>
      <c r="G311" s="28"/>
      <c r="H311" s="28"/>
      <c r="I311" s="28"/>
      <c r="J311" s="28"/>
      <c r="K311" s="28"/>
      <c r="L311" s="28"/>
      <c r="M311" s="33"/>
      <c r="N311" s="33"/>
      <c r="O311" s="33"/>
      <c r="P311" s="33"/>
      <c r="Q311" s="28"/>
      <c r="R311" s="28"/>
      <c r="S311" s="28"/>
      <c r="T311" s="28"/>
      <c r="U311" s="28"/>
      <c r="V311" s="28"/>
      <c r="W311" s="28"/>
      <c r="X311" s="28"/>
      <c r="Y311" s="28"/>
      <c r="Z311" s="28"/>
      <c r="AA311" s="28"/>
    </row>
    <row r="312" ht="18.75" customHeight="1">
      <c r="A312" s="28"/>
      <c r="B312" s="28"/>
      <c r="C312" s="28"/>
      <c r="D312" s="28"/>
      <c r="E312" s="28"/>
      <c r="F312" s="28"/>
      <c r="G312" s="28"/>
      <c r="H312" s="28"/>
      <c r="I312" s="28"/>
      <c r="J312" s="28"/>
      <c r="K312" s="28"/>
      <c r="L312" s="28"/>
      <c r="M312" s="33"/>
      <c r="N312" s="33"/>
      <c r="O312" s="33"/>
      <c r="P312" s="33"/>
      <c r="Q312" s="28"/>
      <c r="R312" s="28"/>
      <c r="S312" s="28"/>
      <c r="T312" s="28"/>
      <c r="U312" s="28"/>
      <c r="V312" s="28"/>
      <c r="W312" s="28"/>
      <c r="X312" s="28"/>
      <c r="Y312" s="28"/>
      <c r="Z312" s="28"/>
      <c r="AA312" s="28"/>
    </row>
    <row r="313" ht="18.75" customHeight="1">
      <c r="A313" s="28"/>
      <c r="B313" s="28"/>
      <c r="C313" s="28"/>
      <c r="D313" s="28"/>
      <c r="E313" s="28"/>
      <c r="F313" s="28"/>
      <c r="G313" s="28"/>
      <c r="H313" s="28"/>
      <c r="I313" s="28"/>
      <c r="J313" s="28"/>
      <c r="K313" s="28"/>
      <c r="L313" s="28"/>
      <c r="M313" s="33"/>
      <c r="N313" s="33"/>
      <c r="O313" s="33"/>
      <c r="P313" s="33"/>
      <c r="Q313" s="28"/>
      <c r="R313" s="28"/>
      <c r="S313" s="28"/>
      <c r="T313" s="28"/>
      <c r="U313" s="28"/>
      <c r="V313" s="28"/>
      <c r="W313" s="28"/>
      <c r="X313" s="28"/>
      <c r="Y313" s="28"/>
      <c r="Z313" s="28"/>
      <c r="AA313" s="28"/>
    </row>
    <row r="314" ht="18.75" customHeight="1">
      <c r="A314" s="28"/>
      <c r="B314" s="28"/>
      <c r="C314" s="28"/>
      <c r="D314" s="28"/>
      <c r="E314" s="28"/>
      <c r="F314" s="28"/>
      <c r="G314" s="28"/>
      <c r="H314" s="28"/>
      <c r="I314" s="28"/>
      <c r="J314" s="28"/>
      <c r="K314" s="28"/>
      <c r="L314" s="28"/>
      <c r="M314" s="33"/>
      <c r="N314" s="33"/>
      <c r="O314" s="33"/>
      <c r="P314" s="33"/>
      <c r="Q314" s="28"/>
      <c r="R314" s="28"/>
      <c r="S314" s="28"/>
      <c r="T314" s="28"/>
      <c r="U314" s="28"/>
      <c r="V314" s="28"/>
      <c r="W314" s="28"/>
      <c r="X314" s="28"/>
      <c r="Y314" s="28"/>
      <c r="Z314" s="28"/>
      <c r="AA314" s="28"/>
    </row>
    <row r="315" ht="18.75" customHeight="1">
      <c r="A315" s="28"/>
      <c r="B315" s="28"/>
      <c r="C315" s="28"/>
      <c r="D315" s="28"/>
      <c r="E315" s="28"/>
      <c r="F315" s="28"/>
      <c r="G315" s="28"/>
      <c r="H315" s="28"/>
      <c r="I315" s="28"/>
      <c r="J315" s="28"/>
      <c r="K315" s="28"/>
      <c r="L315" s="28"/>
      <c r="M315" s="33"/>
      <c r="N315" s="33"/>
      <c r="O315" s="33"/>
      <c r="P315" s="33"/>
      <c r="Q315" s="28"/>
      <c r="R315" s="28"/>
      <c r="S315" s="28"/>
      <c r="T315" s="28"/>
      <c r="U315" s="28"/>
      <c r="V315" s="28"/>
      <c r="W315" s="28"/>
      <c r="X315" s="28"/>
      <c r="Y315" s="28"/>
      <c r="Z315" s="28"/>
      <c r="AA315" s="28"/>
    </row>
    <row r="316" ht="18.75" customHeight="1">
      <c r="A316" s="28"/>
      <c r="B316" s="28"/>
      <c r="C316" s="28"/>
      <c r="D316" s="28"/>
      <c r="E316" s="28"/>
      <c r="F316" s="28"/>
      <c r="G316" s="28"/>
      <c r="H316" s="28"/>
      <c r="I316" s="28"/>
      <c r="J316" s="28"/>
      <c r="K316" s="28"/>
      <c r="L316" s="28"/>
      <c r="M316" s="33"/>
      <c r="N316" s="33"/>
      <c r="O316" s="33"/>
      <c r="P316" s="33"/>
      <c r="Q316" s="28"/>
      <c r="R316" s="28"/>
      <c r="S316" s="28"/>
      <c r="T316" s="28"/>
      <c r="U316" s="28"/>
      <c r="V316" s="28"/>
      <c r="W316" s="28"/>
      <c r="X316" s="28"/>
      <c r="Y316" s="28"/>
      <c r="Z316" s="28"/>
      <c r="AA316" s="28"/>
    </row>
    <row r="317" ht="18.75" customHeight="1">
      <c r="A317" s="28"/>
      <c r="B317" s="28"/>
      <c r="C317" s="28"/>
      <c r="D317" s="28"/>
      <c r="E317" s="28"/>
      <c r="F317" s="28"/>
      <c r="G317" s="28"/>
      <c r="H317" s="28"/>
      <c r="I317" s="28"/>
      <c r="J317" s="28"/>
      <c r="K317" s="28"/>
      <c r="L317" s="28"/>
      <c r="M317" s="33"/>
      <c r="N317" s="33"/>
      <c r="O317" s="33"/>
      <c r="P317" s="33"/>
      <c r="Q317" s="28"/>
      <c r="R317" s="28"/>
      <c r="S317" s="28"/>
      <c r="T317" s="28"/>
      <c r="U317" s="28"/>
      <c r="V317" s="28"/>
      <c r="W317" s="28"/>
      <c r="X317" s="28"/>
      <c r="Y317" s="28"/>
      <c r="Z317" s="28"/>
      <c r="AA317" s="28"/>
    </row>
    <row r="318" ht="18.75" customHeight="1">
      <c r="A318" s="28"/>
      <c r="B318" s="28"/>
      <c r="C318" s="28"/>
      <c r="D318" s="28"/>
      <c r="E318" s="28"/>
      <c r="F318" s="28"/>
      <c r="G318" s="28"/>
      <c r="H318" s="28"/>
      <c r="I318" s="28"/>
      <c r="J318" s="28"/>
      <c r="K318" s="28"/>
      <c r="L318" s="28"/>
      <c r="M318" s="33"/>
      <c r="N318" s="33"/>
      <c r="O318" s="33"/>
      <c r="P318" s="33"/>
      <c r="Q318" s="28"/>
      <c r="R318" s="28"/>
      <c r="S318" s="28"/>
      <c r="T318" s="28"/>
      <c r="U318" s="28"/>
      <c r="V318" s="28"/>
      <c r="W318" s="28"/>
      <c r="X318" s="28"/>
      <c r="Y318" s="28"/>
      <c r="Z318" s="28"/>
      <c r="AA318" s="28"/>
    </row>
    <row r="319" ht="18.75" customHeight="1">
      <c r="A319" s="28"/>
      <c r="B319" s="28"/>
      <c r="C319" s="28"/>
      <c r="D319" s="28"/>
      <c r="E319" s="28"/>
      <c r="F319" s="28"/>
      <c r="G319" s="28"/>
      <c r="H319" s="28"/>
      <c r="I319" s="28"/>
      <c r="J319" s="28"/>
      <c r="K319" s="28"/>
      <c r="L319" s="28"/>
      <c r="M319" s="33"/>
      <c r="N319" s="33"/>
      <c r="O319" s="33"/>
      <c r="P319" s="33"/>
      <c r="Q319" s="28"/>
      <c r="R319" s="28"/>
      <c r="S319" s="28"/>
      <c r="T319" s="28"/>
      <c r="U319" s="28"/>
      <c r="V319" s="28"/>
      <c r="W319" s="28"/>
      <c r="X319" s="28"/>
      <c r="Y319" s="28"/>
      <c r="Z319" s="28"/>
      <c r="AA319" s="28"/>
    </row>
    <row r="320" ht="18.75" customHeight="1">
      <c r="A320" s="28"/>
      <c r="B320" s="28"/>
      <c r="C320" s="28"/>
      <c r="D320" s="28"/>
      <c r="E320" s="28"/>
      <c r="F320" s="28"/>
      <c r="G320" s="28"/>
      <c r="H320" s="28"/>
      <c r="I320" s="28"/>
      <c r="J320" s="28"/>
      <c r="K320" s="28"/>
      <c r="L320" s="28"/>
      <c r="M320" s="33"/>
      <c r="N320" s="33"/>
      <c r="O320" s="33"/>
      <c r="P320" s="33"/>
      <c r="Q320" s="28"/>
      <c r="R320" s="28"/>
      <c r="S320" s="28"/>
      <c r="T320" s="28"/>
      <c r="U320" s="28"/>
      <c r="V320" s="28"/>
      <c r="W320" s="28"/>
      <c r="X320" s="28"/>
      <c r="Y320" s="28"/>
      <c r="Z320" s="28"/>
      <c r="AA320" s="28"/>
    </row>
    <row r="321" ht="18.75" customHeight="1">
      <c r="A321" s="28"/>
      <c r="B321" s="28"/>
      <c r="C321" s="28"/>
      <c r="D321" s="28"/>
      <c r="E321" s="28"/>
      <c r="F321" s="28"/>
      <c r="G321" s="28"/>
      <c r="H321" s="28"/>
      <c r="I321" s="28"/>
      <c r="J321" s="28"/>
      <c r="K321" s="28"/>
      <c r="L321" s="28"/>
      <c r="M321" s="33"/>
      <c r="N321" s="33"/>
      <c r="O321" s="33"/>
      <c r="P321" s="33"/>
      <c r="Q321" s="28"/>
      <c r="R321" s="28"/>
      <c r="S321" s="28"/>
      <c r="T321" s="28"/>
      <c r="U321" s="28"/>
      <c r="V321" s="28"/>
      <c r="W321" s="28"/>
      <c r="X321" s="28"/>
      <c r="Y321" s="28"/>
      <c r="Z321" s="28"/>
      <c r="AA321" s="28"/>
    </row>
    <row r="322" ht="18.75" customHeight="1">
      <c r="A322" s="28"/>
      <c r="B322" s="28"/>
      <c r="C322" s="28"/>
      <c r="D322" s="28"/>
      <c r="E322" s="28"/>
      <c r="F322" s="28"/>
      <c r="G322" s="28"/>
      <c r="H322" s="28"/>
      <c r="I322" s="28"/>
      <c r="J322" s="28"/>
      <c r="K322" s="28"/>
      <c r="L322" s="28"/>
      <c r="M322" s="33"/>
      <c r="N322" s="33"/>
      <c r="O322" s="33"/>
      <c r="P322" s="33"/>
      <c r="Q322" s="28"/>
      <c r="R322" s="28"/>
      <c r="S322" s="28"/>
      <c r="T322" s="28"/>
      <c r="U322" s="28"/>
      <c r="V322" s="28"/>
      <c r="W322" s="28"/>
      <c r="X322" s="28"/>
      <c r="Y322" s="28"/>
      <c r="Z322" s="28"/>
      <c r="AA322" s="28"/>
    </row>
    <row r="323" ht="18.75" customHeight="1">
      <c r="A323" s="28"/>
      <c r="B323" s="28"/>
      <c r="C323" s="28"/>
      <c r="D323" s="28"/>
      <c r="E323" s="28"/>
      <c r="F323" s="28"/>
      <c r="G323" s="28"/>
      <c r="H323" s="28"/>
      <c r="I323" s="28"/>
      <c r="J323" s="28"/>
      <c r="K323" s="28"/>
      <c r="L323" s="28"/>
      <c r="M323" s="33"/>
      <c r="N323" s="33"/>
      <c r="O323" s="33"/>
      <c r="P323" s="33"/>
      <c r="Q323" s="28"/>
      <c r="R323" s="28"/>
      <c r="S323" s="28"/>
      <c r="T323" s="28"/>
      <c r="U323" s="28"/>
      <c r="V323" s="28"/>
      <c r="W323" s="28"/>
      <c r="X323" s="28"/>
      <c r="Y323" s="28"/>
      <c r="Z323" s="28"/>
      <c r="AA323" s="28"/>
    </row>
    <row r="324" ht="18.75" customHeight="1">
      <c r="A324" s="28"/>
      <c r="B324" s="28"/>
      <c r="C324" s="28"/>
      <c r="D324" s="28"/>
      <c r="E324" s="28"/>
      <c r="F324" s="28"/>
      <c r="G324" s="28"/>
      <c r="H324" s="28"/>
      <c r="I324" s="28"/>
      <c r="J324" s="28"/>
      <c r="K324" s="28"/>
      <c r="L324" s="28"/>
      <c r="M324" s="33"/>
      <c r="N324" s="33"/>
      <c r="O324" s="33"/>
      <c r="P324" s="33"/>
      <c r="Q324" s="28"/>
      <c r="R324" s="28"/>
      <c r="S324" s="28"/>
      <c r="T324" s="28"/>
      <c r="U324" s="28"/>
      <c r="V324" s="28"/>
      <c r="W324" s="28"/>
      <c r="X324" s="28"/>
      <c r="Y324" s="28"/>
      <c r="Z324" s="28"/>
      <c r="AA324" s="28"/>
    </row>
    <row r="325" ht="18.75" customHeight="1">
      <c r="A325" s="28"/>
      <c r="B325" s="28"/>
      <c r="C325" s="28"/>
      <c r="D325" s="28"/>
      <c r="E325" s="28"/>
      <c r="F325" s="28"/>
      <c r="G325" s="28"/>
      <c r="H325" s="28"/>
      <c r="I325" s="28"/>
      <c r="J325" s="28"/>
      <c r="K325" s="28"/>
      <c r="L325" s="28"/>
      <c r="M325" s="33"/>
      <c r="N325" s="33"/>
      <c r="O325" s="33"/>
      <c r="P325" s="33"/>
      <c r="Q325" s="28"/>
      <c r="R325" s="28"/>
      <c r="S325" s="28"/>
      <c r="T325" s="28"/>
      <c r="U325" s="28"/>
      <c r="V325" s="28"/>
      <c r="W325" s="28"/>
      <c r="X325" s="28"/>
      <c r="Y325" s="28"/>
      <c r="Z325" s="28"/>
      <c r="AA325" s="28"/>
    </row>
    <row r="326" ht="18.75" customHeight="1">
      <c r="A326" s="28"/>
      <c r="B326" s="28"/>
      <c r="C326" s="28"/>
      <c r="D326" s="28"/>
      <c r="E326" s="28"/>
      <c r="F326" s="28"/>
      <c r="G326" s="28"/>
      <c r="H326" s="28"/>
      <c r="I326" s="28"/>
      <c r="J326" s="28"/>
      <c r="K326" s="28"/>
      <c r="L326" s="28"/>
      <c r="M326" s="33"/>
      <c r="N326" s="33"/>
      <c r="O326" s="33"/>
      <c r="P326" s="33"/>
      <c r="Q326" s="28"/>
      <c r="R326" s="28"/>
      <c r="S326" s="28"/>
      <c r="T326" s="28"/>
      <c r="U326" s="28"/>
      <c r="V326" s="28"/>
      <c r="W326" s="28"/>
      <c r="X326" s="28"/>
      <c r="Y326" s="28"/>
      <c r="Z326" s="28"/>
      <c r="AA326" s="28"/>
    </row>
    <row r="327" ht="18.75" customHeight="1">
      <c r="A327" s="28"/>
      <c r="B327" s="28"/>
      <c r="C327" s="28"/>
      <c r="D327" s="28"/>
      <c r="E327" s="28"/>
      <c r="F327" s="28"/>
      <c r="G327" s="28"/>
      <c r="H327" s="28"/>
      <c r="I327" s="28"/>
      <c r="J327" s="28"/>
      <c r="K327" s="28"/>
      <c r="L327" s="28"/>
      <c r="M327" s="33"/>
      <c r="N327" s="33"/>
      <c r="O327" s="33"/>
      <c r="P327" s="33"/>
      <c r="Q327" s="28"/>
      <c r="R327" s="28"/>
      <c r="S327" s="28"/>
      <c r="T327" s="28"/>
      <c r="U327" s="28"/>
      <c r="V327" s="28"/>
      <c r="W327" s="28"/>
      <c r="X327" s="28"/>
      <c r="Y327" s="28"/>
      <c r="Z327" s="28"/>
      <c r="AA327" s="28"/>
    </row>
    <row r="328" ht="18.75" customHeight="1">
      <c r="A328" s="28"/>
      <c r="B328" s="28"/>
      <c r="C328" s="28"/>
      <c r="D328" s="28"/>
      <c r="E328" s="28"/>
      <c r="F328" s="28"/>
      <c r="G328" s="28"/>
      <c r="H328" s="28"/>
      <c r="I328" s="28"/>
      <c r="J328" s="28"/>
      <c r="K328" s="28"/>
      <c r="L328" s="28"/>
      <c r="M328" s="33"/>
      <c r="N328" s="33"/>
      <c r="O328" s="33"/>
      <c r="P328" s="33"/>
      <c r="Q328" s="28"/>
      <c r="R328" s="28"/>
      <c r="S328" s="28"/>
      <c r="T328" s="28"/>
      <c r="U328" s="28"/>
      <c r="V328" s="28"/>
      <c r="W328" s="28"/>
      <c r="X328" s="28"/>
      <c r="Y328" s="28"/>
      <c r="Z328" s="28"/>
      <c r="AA328" s="28"/>
    </row>
    <row r="329" ht="18.75" customHeight="1">
      <c r="A329" s="28"/>
      <c r="B329" s="28"/>
      <c r="C329" s="28"/>
      <c r="D329" s="28"/>
      <c r="E329" s="28"/>
      <c r="F329" s="28"/>
      <c r="G329" s="28"/>
      <c r="H329" s="28"/>
      <c r="I329" s="28"/>
      <c r="J329" s="28"/>
      <c r="K329" s="28"/>
      <c r="L329" s="28"/>
      <c r="M329" s="33"/>
      <c r="N329" s="33"/>
      <c r="O329" s="33"/>
      <c r="P329" s="33"/>
      <c r="Q329" s="28"/>
      <c r="R329" s="28"/>
      <c r="S329" s="28"/>
      <c r="T329" s="28"/>
      <c r="U329" s="28"/>
      <c r="V329" s="28"/>
      <c r="W329" s="28"/>
      <c r="X329" s="28"/>
      <c r="Y329" s="28"/>
      <c r="Z329" s="28"/>
      <c r="AA329" s="28"/>
    </row>
    <row r="330" ht="18.75" customHeight="1">
      <c r="A330" s="28"/>
      <c r="B330" s="28"/>
      <c r="C330" s="28"/>
      <c r="D330" s="28"/>
      <c r="E330" s="28"/>
      <c r="F330" s="28"/>
      <c r="G330" s="28"/>
      <c r="H330" s="28"/>
      <c r="I330" s="28"/>
      <c r="J330" s="28"/>
      <c r="K330" s="28"/>
      <c r="L330" s="28"/>
      <c r="M330" s="33"/>
      <c r="N330" s="33"/>
      <c r="O330" s="33"/>
      <c r="P330" s="33"/>
      <c r="Q330" s="28"/>
      <c r="R330" s="28"/>
      <c r="S330" s="28"/>
      <c r="T330" s="28"/>
      <c r="U330" s="28"/>
      <c r="V330" s="28"/>
      <c r="W330" s="28"/>
      <c r="X330" s="28"/>
      <c r="Y330" s="28"/>
      <c r="Z330" s="28"/>
      <c r="AA330" s="28"/>
    </row>
    <row r="331" ht="18.75" customHeight="1">
      <c r="A331" s="28"/>
      <c r="B331" s="28"/>
      <c r="C331" s="28"/>
      <c r="D331" s="28"/>
      <c r="E331" s="28"/>
      <c r="F331" s="28"/>
      <c r="G331" s="28"/>
      <c r="H331" s="28"/>
      <c r="I331" s="28"/>
      <c r="J331" s="28"/>
      <c r="K331" s="28"/>
      <c r="L331" s="28"/>
      <c r="M331" s="33"/>
      <c r="N331" s="33"/>
      <c r="O331" s="33"/>
      <c r="P331" s="33"/>
      <c r="Q331" s="28"/>
      <c r="R331" s="28"/>
      <c r="S331" s="28"/>
      <c r="T331" s="28"/>
      <c r="U331" s="28"/>
      <c r="V331" s="28"/>
      <c r="W331" s="28"/>
      <c r="X331" s="28"/>
      <c r="Y331" s="28"/>
      <c r="Z331" s="28"/>
      <c r="AA331" s="28"/>
    </row>
    <row r="332" ht="18.75" customHeight="1">
      <c r="A332" s="28"/>
      <c r="B332" s="28"/>
      <c r="C332" s="28"/>
      <c r="D332" s="28"/>
      <c r="E332" s="28"/>
      <c r="F332" s="28"/>
      <c r="G332" s="28"/>
      <c r="H332" s="28"/>
      <c r="I332" s="28"/>
      <c r="J332" s="28"/>
      <c r="K332" s="28"/>
      <c r="L332" s="28"/>
      <c r="M332" s="33"/>
      <c r="N332" s="33"/>
      <c r="O332" s="33"/>
      <c r="P332" s="33"/>
      <c r="Q332" s="28"/>
      <c r="R332" s="28"/>
      <c r="S332" s="28"/>
      <c r="T332" s="28"/>
      <c r="U332" s="28"/>
      <c r="V332" s="28"/>
      <c r="W332" s="28"/>
      <c r="X332" s="28"/>
      <c r="Y332" s="28"/>
      <c r="Z332" s="28"/>
      <c r="AA332" s="28"/>
    </row>
    <row r="333" ht="18.75" customHeight="1">
      <c r="A333" s="28"/>
      <c r="B333" s="28"/>
      <c r="C333" s="28"/>
      <c r="D333" s="28"/>
      <c r="E333" s="28"/>
      <c r="F333" s="28"/>
      <c r="G333" s="28"/>
      <c r="H333" s="28"/>
      <c r="I333" s="28"/>
      <c r="J333" s="28"/>
      <c r="K333" s="28"/>
      <c r="L333" s="28"/>
      <c r="M333" s="33"/>
      <c r="N333" s="33"/>
      <c r="O333" s="33"/>
      <c r="P333" s="33"/>
      <c r="Q333" s="28"/>
      <c r="R333" s="28"/>
      <c r="S333" s="28"/>
      <c r="T333" s="28"/>
      <c r="U333" s="28"/>
      <c r="V333" s="28"/>
      <c r="W333" s="28"/>
      <c r="X333" s="28"/>
      <c r="Y333" s="28"/>
      <c r="Z333" s="28"/>
      <c r="AA333" s="28"/>
    </row>
    <row r="334" ht="18.75" customHeight="1">
      <c r="A334" s="28"/>
      <c r="B334" s="28"/>
      <c r="C334" s="28"/>
      <c r="D334" s="28"/>
      <c r="E334" s="28"/>
      <c r="F334" s="28"/>
      <c r="G334" s="28"/>
      <c r="H334" s="28"/>
      <c r="I334" s="28"/>
      <c r="J334" s="28"/>
      <c r="K334" s="28"/>
      <c r="L334" s="28"/>
      <c r="M334" s="33"/>
      <c r="N334" s="33"/>
      <c r="O334" s="33"/>
      <c r="P334" s="33"/>
      <c r="Q334" s="28"/>
      <c r="R334" s="28"/>
      <c r="S334" s="28"/>
      <c r="T334" s="28"/>
      <c r="U334" s="28"/>
      <c r="V334" s="28"/>
      <c r="W334" s="28"/>
      <c r="X334" s="28"/>
      <c r="Y334" s="28"/>
      <c r="Z334" s="28"/>
      <c r="AA334" s="28"/>
    </row>
    <row r="335" ht="18.75" customHeight="1">
      <c r="A335" s="28"/>
      <c r="B335" s="28"/>
      <c r="C335" s="28"/>
      <c r="D335" s="28"/>
      <c r="E335" s="28"/>
      <c r="F335" s="28"/>
      <c r="G335" s="28"/>
      <c r="H335" s="28"/>
      <c r="I335" s="28"/>
      <c r="J335" s="28"/>
      <c r="K335" s="28"/>
      <c r="L335" s="28"/>
      <c r="M335" s="33"/>
      <c r="N335" s="33"/>
      <c r="O335" s="33"/>
      <c r="P335" s="33"/>
      <c r="Q335" s="28"/>
      <c r="R335" s="28"/>
      <c r="S335" s="28"/>
      <c r="T335" s="28"/>
      <c r="U335" s="28"/>
      <c r="V335" s="28"/>
      <c r="W335" s="28"/>
      <c r="X335" s="28"/>
      <c r="Y335" s="28"/>
      <c r="Z335" s="28"/>
      <c r="AA335" s="28"/>
    </row>
    <row r="336" ht="18.75" customHeight="1">
      <c r="A336" s="28"/>
      <c r="B336" s="28"/>
      <c r="C336" s="28"/>
      <c r="D336" s="28"/>
      <c r="E336" s="28"/>
      <c r="F336" s="28"/>
      <c r="G336" s="28"/>
      <c r="H336" s="28"/>
      <c r="I336" s="28"/>
      <c r="J336" s="28"/>
      <c r="K336" s="28"/>
      <c r="L336" s="28"/>
      <c r="M336" s="33"/>
      <c r="N336" s="33"/>
      <c r="O336" s="33"/>
      <c r="P336" s="33"/>
      <c r="Q336" s="28"/>
      <c r="R336" s="28"/>
      <c r="S336" s="28"/>
      <c r="T336" s="28"/>
      <c r="U336" s="28"/>
      <c r="V336" s="28"/>
      <c r="W336" s="28"/>
      <c r="X336" s="28"/>
      <c r="Y336" s="28"/>
      <c r="Z336" s="28"/>
      <c r="AA336" s="28"/>
    </row>
    <row r="337" ht="18.75" customHeight="1">
      <c r="A337" s="28"/>
      <c r="B337" s="28"/>
      <c r="C337" s="28"/>
      <c r="D337" s="28"/>
      <c r="E337" s="28"/>
      <c r="F337" s="28"/>
      <c r="G337" s="28"/>
      <c r="H337" s="28"/>
      <c r="I337" s="28"/>
      <c r="J337" s="28"/>
      <c r="K337" s="28"/>
      <c r="L337" s="28"/>
      <c r="M337" s="33"/>
      <c r="N337" s="33"/>
      <c r="O337" s="33"/>
      <c r="P337" s="33"/>
      <c r="Q337" s="28"/>
      <c r="R337" s="28"/>
      <c r="S337" s="28"/>
      <c r="T337" s="28"/>
      <c r="U337" s="28"/>
      <c r="V337" s="28"/>
      <c r="W337" s="28"/>
      <c r="X337" s="28"/>
      <c r="Y337" s="28"/>
      <c r="Z337" s="28"/>
      <c r="AA337" s="28"/>
    </row>
    <row r="338" ht="18.75" customHeight="1">
      <c r="A338" s="28"/>
      <c r="B338" s="28"/>
      <c r="C338" s="28"/>
      <c r="D338" s="28"/>
      <c r="E338" s="28"/>
      <c r="F338" s="28"/>
      <c r="G338" s="28"/>
      <c r="H338" s="28"/>
      <c r="I338" s="28"/>
      <c r="J338" s="28"/>
      <c r="K338" s="28"/>
      <c r="L338" s="28"/>
      <c r="M338" s="33"/>
      <c r="N338" s="33"/>
      <c r="O338" s="33"/>
      <c r="P338" s="33"/>
      <c r="Q338" s="28"/>
      <c r="R338" s="28"/>
      <c r="S338" s="28"/>
      <c r="T338" s="28"/>
      <c r="U338" s="28"/>
      <c r="V338" s="28"/>
      <c r="W338" s="28"/>
      <c r="X338" s="28"/>
      <c r="Y338" s="28"/>
      <c r="Z338" s="28"/>
      <c r="AA338" s="28"/>
    </row>
    <row r="339" ht="18.75" customHeight="1">
      <c r="A339" s="28"/>
      <c r="B339" s="28"/>
      <c r="C339" s="28"/>
      <c r="D339" s="28"/>
      <c r="E339" s="28"/>
      <c r="F339" s="28"/>
      <c r="G339" s="28"/>
      <c r="H339" s="28"/>
      <c r="I339" s="28"/>
      <c r="J339" s="28"/>
      <c r="K339" s="28"/>
      <c r="L339" s="28"/>
      <c r="M339" s="33"/>
      <c r="N339" s="33"/>
      <c r="O339" s="33"/>
      <c r="P339" s="33"/>
      <c r="Q339" s="28"/>
      <c r="R339" s="28"/>
      <c r="S339" s="28"/>
      <c r="T339" s="28"/>
      <c r="U339" s="28"/>
      <c r="V339" s="28"/>
      <c r="W339" s="28"/>
      <c r="X339" s="28"/>
      <c r="Y339" s="28"/>
      <c r="Z339" s="28"/>
      <c r="AA339" s="28"/>
    </row>
    <row r="340" ht="18.75" customHeight="1">
      <c r="A340" s="28"/>
      <c r="B340" s="28"/>
      <c r="C340" s="28"/>
      <c r="D340" s="28"/>
      <c r="E340" s="28"/>
      <c r="F340" s="28"/>
      <c r="G340" s="28"/>
      <c r="H340" s="28"/>
      <c r="I340" s="28"/>
      <c r="J340" s="28"/>
      <c r="K340" s="28"/>
      <c r="L340" s="28"/>
      <c r="M340" s="33"/>
      <c r="N340" s="33"/>
      <c r="O340" s="33"/>
      <c r="P340" s="33"/>
      <c r="Q340" s="28"/>
      <c r="R340" s="28"/>
      <c r="S340" s="28"/>
      <c r="T340" s="28"/>
      <c r="U340" s="28"/>
      <c r="V340" s="28"/>
      <c r="W340" s="28"/>
      <c r="X340" s="28"/>
      <c r="Y340" s="28"/>
      <c r="Z340" s="28"/>
      <c r="AA340" s="28"/>
    </row>
    <row r="341" ht="18.75" customHeight="1">
      <c r="A341" s="28"/>
      <c r="B341" s="28"/>
      <c r="C341" s="28"/>
      <c r="D341" s="28"/>
      <c r="E341" s="28"/>
      <c r="F341" s="28"/>
      <c r="G341" s="28"/>
      <c r="H341" s="28"/>
      <c r="I341" s="28"/>
      <c r="J341" s="28"/>
      <c r="K341" s="28"/>
      <c r="L341" s="28"/>
      <c r="M341" s="33"/>
      <c r="N341" s="33"/>
      <c r="O341" s="33"/>
      <c r="P341" s="33"/>
      <c r="Q341" s="28"/>
      <c r="R341" s="28"/>
      <c r="S341" s="28"/>
      <c r="T341" s="28"/>
      <c r="U341" s="28"/>
      <c r="V341" s="28"/>
      <c r="W341" s="28"/>
      <c r="X341" s="28"/>
      <c r="Y341" s="28"/>
      <c r="Z341" s="28"/>
      <c r="AA341" s="28"/>
    </row>
    <row r="342" ht="18.75" customHeight="1">
      <c r="A342" s="28"/>
      <c r="B342" s="28"/>
      <c r="C342" s="28"/>
      <c r="D342" s="28"/>
      <c r="E342" s="28"/>
      <c r="F342" s="28"/>
      <c r="G342" s="28"/>
      <c r="H342" s="28"/>
      <c r="I342" s="28"/>
      <c r="J342" s="28"/>
      <c r="K342" s="28"/>
      <c r="L342" s="28"/>
      <c r="M342" s="33"/>
      <c r="N342" s="33"/>
      <c r="O342" s="33"/>
      <c r="P342" s="33"/>
      <c r="Q342" s="28"/>
      <c r="R342" s="28"/>
      <c r="S342" s="28"/>
      <c r="T342" s="28"/>
      <c r="U342" s="28"/>
      <c r="V342" s="28"/>
      <c r="W342" s="28"/>
      <c r="X342" s="28"/>
      <c r="Y342" s="28"/>
      <c r="Z342" s="28"/>
      <c r="AA342" s="28"/>
    </row>
    <row r="343" ht="18.75" customHeight="1">
      <c r="A343" s="28"/>
      <c r="B343" s="28"/>
      <c r="C343" s="28"/>
      <c r="D343" s="28"/>
      <c r="E343" s="28"/>
      <c r="F343" s="28"/>
      <c r="G343" s="28"/>
      <c r="H343" s="28"/>
      <c r="I343" s="28"/>
      <c r="J343" s="28"/>
      <c r="K343" s="28"/>
      <c r="L343" s="28"/>
      <c r="M343" s="33"/>
      <c r="N343" s="33"/>
      <c r="O343" s="33"/>
      <c r="P343" s="33"/>
      <c r="Q343" s="28"/>
      <c r="R343" s="28"/>
      <c r="S343" s="28"/>
      <c r="T343" s="28"/>
      <c r="U343" s="28"/>
      <c r="V343" s="28"/>
      <c r="W343" s="28"/>
      <c r="X343" s="28"/>
      <c r="Y343" s="28"/>
      <c r="Z343" s="28"/>
      <c r="AA343" s="28"/>
    </row>
    <row r="344" ht="18.75" customHeight="1">
      <c r="A344" s="28"/>
      <c r="B344" s="28"/>
      <c r="C344" s="28"/>
      <c r="D344" s="28"/>
      <c r="E344" s="28"/>
      <c r="F344" s="28"/>
      <c r="G344" s="28"/>
      <c r="H344" s="28"/>
      <c r="I344" s="28"/>
      <c r="J344" s="28"/>
      <c r="K344" s="28"/>
      <c r="L344" s="28"/>
      <c r="M344" s="33"/>
      <c r="N344" s="33"/>
      <c r="O344" s="33"/>
      <c r="P344" s="33"/>
      <c r="Q344" s="28"/>
      <c r="R344" s="28"/>
      <c r="S344" s="28"/>
      <c r="T344" s="28"/>
      <c r="U344" s="28"/>
      <c r="V344" s="28"/>
      <c r="W344" s="28"/>
      <c r="X344" s="28"/>
      <c r="Y344" s="28"/>
      <c r="Z344" s="28"/>
      <c r="AA344" s="28"/>
    </row>
    <row r="345" ht="18.75" customHeight="1">
      <c r="A345" s="28"/>
      <c r="B345" s="28"/>
      <c r="C345" s="28"/>
      <c r="D345" s="28"/>
      <c r="E345" s="28"/>
      <c r="F345" s="28"/>
      <c r="G345" s="28"/>
      <c r="H345" s="28"/>
      <c r="I345" s="28"/>
      <c r="J345" s="28"/>
      <c r="K345" s="28"/>
      <c r="L345" s="28"/>
      <c r="M345" s="33"/>
      <c r="N345" s="33"/>
      <c r="O345" s="33"/>
      <c r="P345" s="33"/>
      <c r="Q345" s="28"/>
      <c r="R345" s="28"/>
      <c r="S345" s="28"/>
      <c r="T345" s="28"/>
      <c r="U345" s="28"/>
      <c r="V345" s="28"/>
      <c r="W345" s="28"/>
      <c r="X345" s="28"/>
      <c r="Y345" s="28"/>
      <c r="Z345" s="28"/>
      <c r="AA345" s="28"/>
    </row>
    <row r="346" ht="18.75" customHeight="1">
      <c r="A346" s="28"/>
      <c r="B346" s="28"/>
      <c r="C346" s="28"/>
      <c r="D346" s="28"/>
      <c r="E346" s="28"/>
      <c r="F346" s="28"/>
      <c r="G346" s="28"/>
      <c r="H346" s="28"/>
      <c r="I346" s="28"/>
      <c r="J346" s="28"/>
      <c r="K346" s="28"/>
      <c r="L346" s="28"/>
      <c r="M346" s="33"/>
      <c r="N346" s="33"/>
      <c r="O346" s="33"/>
      <c r="P346" s="33"/>
      <c r="Q346" s="28"/>
      <c r="R346" s="28"/>
      <c r="S346" s="28"/>
      <c r="T346" s="28"/>
      <c r="U346" s="28"/>
      <c r="V346" s="28"/>
      <c r="W346" s="28"/>
      <c r="X346" s="28"/>
      <c r="Y346" s="28"/>
      <c r="Z346" s="28"/>
      <c r="AA346" s="28"/>
    </row>
    <row r="347" ht="18.75" customHeight="1">
      <c r="A347" s="28"/>
      <c r="B347" s="28"/>
      <c r="C347" s="28"/>
      <c r="D347" s="28"/>
      <c r="E347" s="28"/>
      <c r="F347" s="28"/>
      <c r="G347" s="28"/>
      <c r="H347" s="28"/>
      <c r="I347" s="28"/>
      <c r="J347" s="28"/>
      <c r="K347" s="28"/>
      <c r="L347" s="28"/>
      <c r="M347" s="33"/>
      <c r="N347" s="33"/>
      <c r="O347" s="33"/>
      <c r="P347" s="33"/>
      <c r="Q347" s="28"/>
      <c r="R347" s="28"/>
      <c r="S347" s="28"/>
      <c r="T347" s="28"/>
      <c r="U347" s="28"/>
      <c r="V347" s="28"/>
      <c r="W347" s="28"/>
      <c r="X347" s="28"/>
      <c r="Y347" s="28"/>
      <c r="Z347" s="28"/>
      <c r="AA347" s="28"/>
    </row>
    <row r="348" ht="18.75" customHeight="1">
      <c r="A348" s="28"/>
      <c r="B348" s="28"/>
      <c r="C348" s="28"/>
      <c r="D348" s="28"/>
      <c r="E348" s="28"/>
      <c r="F348" s="28"/>
      <c r="G348" s="28"/>
      <c r="H348" s="28"/>
      <c r="I348" s="28"/>
      <c r="J348" s="28"/>
      <c r="K348" s="28"/>
      <c r="L348" s="28"/>
      <c r="M348" s="33"/>
      <c r="N348" s="33"/>
      <c r="O348" s="33"/>
      <c r="P348" s="33"/>
      <c r="Q348" s="28"/>
      <c r="R348" s="28"/>
      <c r="S348" s="28"/>
      <c r="T348" s="28"/>
      <c r="U348" s="28"/>
      <c r="V348" s="28"/>
      <c r="W348" s="28"/>
      <c r="X348" s="28"/>
      <c r="Y348" s="28"/>
      <c r="Z348" s="28"/>
      <c r="AA348" s="28"/>
    </row>
    <row r="349" ht="18.75" customHeight="1">
      <c r="A349" s="28"/>
      <c r="B349" s="28"/>
      <c r="C349" s="28"/>
      <c r="D349" s="28"/>
      <c r="E349" s="28"/>
      <c r="F349" s="28"/>
      <c r="G349" s="28"/>
      <c r="H349" s="28"/>
      <c r="I349" s="28"/>
      <c r="J349" s="28"/>
      <c r="K349" s="28"/>
      <c r="L349" s="28"/>
      <c r="M349" s="33"/>
      <c r="N349" s="33"/>
      <c r="O349" s="33"/>
      <c r="P349" s="33"/>
      <c r="Q349" s="28"/>
      <c r="R349" s="28"/>
      <c r="S349" s="28"/>
      <c r="T349" s="28"/>
      <c r="U349" s="28"/>
      <c r="V349" s="28"/>
      <c r="W349" s="28"/>
      <c r="X349" s="28"/>
      <c r="Y349" s="28"/>
      <c r="Z349" s="28"/>
      <c r="AA349" s="28"/>
    </row>
    <row r="350" ht="18.75" customHeight="1">
      <c r="A350" s="28"/>
      <c r="B350" s="28"/>
      <c r="C350" s="28"/>
      <c r="D350" s="28"/>
      <c r="E350" s="28"/>
      <c r="F350" s="28"/>
      <c r="G350" s="28"/>
      <c r="H350" s="28"/>
      <c r="I350" s="28"/>
      <c r="J350" s="28"/>
      <c r="K350" s="28"/>
      <c r="L350" s="28"/>
      <c r="M350" s="33"/>
      <c r="N350" s="33"/>
      <c r="O350" s="33"/>
      <c r="P350" s="33"/>
      <c r="Q350" s="28"/>
      <c r="R350" s="28"/>
      <c r="S350" s="28"/>
      <c r="T350" s="28"/>
      <c r="U350" s="28"/>
      <c r="V350" s="28"/>
      <c r="W350" s="28"/>
      <c r="X350" s="28"/>
      <c r="Y350" s="28"/>
      <c r="Z350" s="28"/>
      <c r="AA350" s="28"/>
    </row>
    <row r="351" ht="18.75" customHeight="1">
      <c r="A351" s="28"/>
      <c r="B351" s="28"/>
      <c r="C351" s="28"/>
      <c r="D351" s="28"/>
      <c r="E351" s="28"/>
      <c r="F351" s="28"/>
      <c r="G351" s="28"/>
      <c r="H351" s="28"/>
      <c r="I351" s="28"/>
      <c r="J351" s="28"/>
      <c r="K351" s="28"/>
      <c r="L351" s="28"/>
      <c r="M351" s="33"/>
      <c r="N351" s="33"/>
      <c r="O351" s="33"/>
      <c r="P351" s="33"/>
      <c r="Q351" s="28"/>
      <c r="R351" s="28"/>
      <c r="S351" s="28"/>
      <c r="T351" s="28"/>
      <c r="U351" s="28"/>
      <c r="V351" s="28"/>
      <c r="W351" s="28"/>
      <c r="X351" s="28"/>
      <c r="Y351" s="28"/>
      <c r="Z351" s="28"/>
      <c r="AA351" s="28"/>
    </row>
    <row r="352" ht="18.75" customHeight="1">
      <c r="A352" s="28"/>
      <c r="B352" s="28"/>
      <c r="C352" s="28"/>
      <c r="D352" s="28"/>
      <c r="E352" s="28"/>
      <c r="F352" s="28"/>
      <c r="G352" s="28"/>
      <c r="H352" s="28"/>
      <c r="I352" s="28"/>
      <c r="J352" s="28"/>
      <c r="K352" s="28"/>
      <c r="L352" s="28"/>
      <c r="M352" s="33"/>
      <c r="N352" s="33"/>
      <c r="O352" s="33"/>
      <c r="P352" s="33"/>
      <c r="Q352" s="28"/>
      <c r="R352" s="28"/>
      <c r="S352" s="28"/>
      <c r="T352" s="28"/>
      <c r="U352" s="28"/>
      <c r="V352" s="28"/>
      <c r="W352" s="28"/>
      <c r="X352" s="28"/>
      <c r="Y352" s="28"/>
      <c r="Z352" s="28"/>
      <c r="AA352" s="28"/>
    </row>
    <row r="353" ht="18.75" customHeight="1">
      <c r="A353" s="28"/>
      <c r="B353" s="28"/>
      <c r="C353" s="28"/>
      <c r="D353" s="28"/>
      <c r="E353" s="28"/>
      <c r="F353" s="28"/>
      <c r="G353" s="28"/>
      <c r="H353" s="28"/>
      <c r="I353" s="28"/>
      <c r="J353" s="28"/>
      <c r="K353" s="28"/>
      <c r="L353" s="28"/>
      <c r="M353" s="33"/>
      <c r="N353" s="33"/>
      <c r="O353" s="33"/>
      <c r="P353" s="33"/>
      <c r="Q353" s="28"/>
      <c r="R353" s="28"/>
      <c r="S353" s="28"/>
      <c r="T353" s="28"/>
      <c r="U353" s="28"/>
      <c r="V353" s="28"/>
      <c r="W353" s="28"/>
      <c r="X353" s="28"/>
      <c r="Y353" s="28"/>
      <c r="Z353" s="28"/>
      <c r="AA353" s="28"/>
    </row>
    <row r="354" ht="18.75" customHeight="1">
      <c r="A354" s="28"/>
      <c r="B354" s="28"/>
      <c r="C354" s="28"/>
      <c r="D354" s="28"/>
      <c r="E354" s="28"/>
      <c r="F354" s="28"/>
      <c r="G354" s="28"/>
      <c r="H354" s="28"/>
      <c r="I354" s="28"/>
      <c r="J354" s="28"/>
      <c r="K354" s="28"/>
      <c r="L354" s="28"/>
      <c r="M354" s="33"/>
      <c r="N354" s="33"/>
      <c r="O354" s="33"/>
      <c r="P354" s="33"/>
      <c r="Q354" s="28"/>
      <c r="R354" s="28"/>
      <c r="S354" s="28"/>
      <c r="T354" s="28"/>
      <c r="U354" s="28"/>
      <c r="V354" s="28"/>
      <c r="W354" s="28"/>
      <c r="X354" s="28"/>
      <c r="Y354" s="28"/>
      <c r="Z354" s="28"/>
      <c r="AA354" s="28"/>
    </row>
    <row r="355" ht="18.75" customHeight="1">
      <c r="A355" s="28"/>
      <c r="B355" s="28"/>
      <c r="C355" s="28"/>
      <c r="D355" s="28"/>
      <c r="E355" s="28"/>
      <c r="F355" s="28"/>
      <c r="G355" s="28"/>
      <c r="H355" s="28"/>
      <c r="I355" s="28"/>
      <c r="J355" s="28"/>
      <c r="K355" s="28"/>
      <c r="L355" s="28"/>
      <c r="M355" s="33"/>
      <c r="N355" s="33"/>
      <c r="O355" s="33"/>
      <c r="P355" s="33"/>
      <c r="Q355" s="28"/>
      <c r="R355" s="28"/>
      <c r="S355" s="28"/>
      <c r="T355" s="28"/>
      <c r="U355" s="28"/>
      <c r="V355" s="28"/>
      <c r="W355" s="28"/>
      <c r="X355" s="28"/>
      <c r="Y355" s="28"/>
      <c r="Z355" s="28"/>
      <c r="AA355" s="28"/>
    </row>
    <row r="356" ht="18.75" customHeight="1">
      <c r="A356" s="28"/>
      <c r="B356" s="28"/>
      <c r="C356" s="28"/>
      <c r="D356" s="28"/>
      <c r="E356" s="28"/>
      <c r="F356" s="28"/>
      <c r="G356" s="28"/>
      <c r="H356" s="28"/>
      <c r="I356" s="28"/>
      <c r="J356" s="28"/>
      <c r="K356" s="28"/>
      <c r="L356" s="28"/>
      <c r="M356" s="33"/>
      <c r="N356" s="33"/>
      <c r="O356" s="33"/>
      <c r="P356" s="33"/>
      <c r="Q356" s="28"/>
      <c r="R356" s="28"/>
      <c r="S356" s="28"/>
      <c r="T356" s="28"/>
      <c r="U356" s="28"/>
      <c r="V356" s="28"/>
      <c r="W356" s="28"/>
      <c r="X356" s="28"/>
      <c r="Y356" s="28"/>
      <c r="Z356" s="28"/>
      <c r="AA356" s="28"/>
    </row>
    <row r="357" ht="18.75" customHeight="1">
      <c r="A357" s="28"/>
      <c r="B357" s="28"/>
      <c r="C357" s="28"/>
      <c r="D357" s="28"/>
      <c r="E357" s="28"/>
      <c r="F357" s="28"/>
      <c r="G357" s="28"/>
      <c r="H357" s="28"/>
      <c r="I357" s="28"/>
      <c r="J357" s="28"/>
      <c r="K357" s="28"/>
      <c r="L357" s="28"/>
      <c r="M357" s="33"/>
      <c r="N357" s="33"/>
      <c r="O357" s="33"/>
      <c r="P357" s="33"/>
      <c r="Q357" s="28"/>
      <c r="R357" s="28"/>
      <c r="S357" s="28"/>
      <c r="T357" s="28"/>
      <c r="U357" s="28"/>
      <c r="V357" s="28"/>
      <c r="W357" s="28"/>
      <c r="X357" s="28"/>
      <c r="Y357" s="28"/>
      <c r="Z357" s="28"/>
      <c r="AA357" s="28"/>
    </row>
    <row r="358" ht="18.75" customHeight="1">
      <c r="A358" s="28"/>
      <c r="B358" s="28"/>
      <c r="C358" s="28"/>
      <c r="D358" s="28"/>
      <c r="E358" s="28"/>
      <c r="F358" s="28"/>
      <c r="G358" s="28"/>
      <c r="H358" s="28"/>
      <c r="I358" s="28"/>
      <c r="J358" s="28"/>
      <c r="K358" s="28"/>
      <c r="L358" s="28"/>
      <c r="M358" s="33"/>
      <c r="N358" s="33"/>
      <c r="O358" s="33"/>
      <c r="P358" s="33"/>
      <c r="Q358" s="28"/>
      <c r="R358" s="28"/>
      <c r="S358" s="28"/>
      <c r="T358" s="28"/>
      <c r="U358" s="28"/>
      <c r="V358" s="28"/>
      <c r="W358" s="28"/>
      <c r="X358" s="28"/>
      <c r="Y358" s="28"/>
      <c r="Z358" s="28"/>
      <c r="AA358" s="28"/>
    </row>
    <row r="359" ht="18.75" customHeight="1">
      <c r="A359" s="28"/>
      <c r="B359" s="28"/>
      <c r="C359" s="28"/>
      <c r="D359" s="28"/>
      <c r="E359" s="28"/>
      <c r="F359" s="28"/>
      <c r="G359" s="28"/>
      <c r="H359" s="28"/>
      <c r="I359" s="28"/>
      <c r="J359" s="28"/>
      <c r="K359" s="28"/>
      <c r="L359" s="28"/>
      <c r="M359" s="33"/>
      <c r="N359" s="33"/>
      <c r="O359" s="33"/>
      <c r="P359" s="33"/>
      <c r="Q359" s="28"/>
      <c r="R359" s="28"/>
      <c r="S359" s="28"/>
      <c r="T359" s="28"/>
      <c r="U359" s="28"/>
      <c r="V359" s="28"/>
      <c r="W359" s="28"/>
      <c r="X359" s="28"/>
      <c r="Y359" s="28"/>
      <c r="Z359" s="28"/>
      <c r="AA359" s="28"/>
    </row>
    <row r="360" ht="18.75" customHeight="1">
      <c r="A360" s="28"/>
      <c r="B360" s="28"/>
      <c r="C360" s="28"/>
      <c r="D360" s="28"/>
      <c r="E360" s="28"/>
      <c r="F360" s="28"/>
      <c r="G360" s="28"/>
      <c r="H360" s="28"/>
      <c r="I360" s="28"/>
      <c r="J360" s="28"/>
      <c r="K360" s="28"/>
      <c r="L360" s="28"/>
      <c r="M360" s="33"/>
      <c r="N360" s="33"/>
      <c r="O360" s="33"/>
      <c r="P360" s="33"/>
      <c r="Q360" s="28"/>
      <c r="R360" s="28"/>
      <c r="S360" s="28"/>
      <c r="T360" s="28"/>
      <c r="U360" s="28"/>
      <c r="V360" s="28"/>
      <c r="W360" s="28"/>
      <c r="X360" s="28"/>
      <c r="Y360" s="28"/>
      <c r="Z360" s="28"/>
      <c r="AA360" s="28"/>
    </row>
    <row r="361" ht="18.75" customHeight="1">
      <c r="A361" s="28"/>
      <c r="B361" s="28"/>
      <c r="C361" s="28"/>
      <c r="D361" s="28"/>
      <c r="E361" s="28"/>
      <c r="F361" s="28"/>
      <c r="G361" s="28"/>
      <c r="H361" s="28"/>
      <c r="I361" s="28"/>
      <c r="J361" s="28"/>
      <c r="K361" s="28"/>
      <c r="L361" s="28"/>
      <c r="M361" s="33"/>
      <c r="N361" s="33"/>
      <c r="O361" s="33"/>
      <c r="P361" s="33"/>
      <c r="Q361" s="28"/>
      <c r="R361" s="28"/>
      <c r="S361" s="28"/>
      <c r="T361" s="28"/>
      <c r="U361" s="28"/>
      <c r="V361" s="28"/>
      <c r="W361" s="28"/>
      <c r="X361" s="28"/>
      <c r="Y361" s="28"/>
      <c r="Z361" s="28"/>
      <c r="AA361" s="28"/>
    </row>
    <row r="362" ht="18.75" customHeight="1">
      <c r="A362" s="28"/>
      <c r="B362" s="28"/>
      <c r="C362" s="28"/>
      <c r="D362" s="28"/>
      <c r="E362" s="28"/>
      <c r="F362" s="28"/>
      <c r="G362" s="28"/>
      <c r="H362" s="28"/>
      <c r="I362" s="28"/>
      <c r="J362" s="28"/>
      <c r="K362" s="28"/>
      <c r="L362" s="28"/>
      <c r="M362" s="33"/>
      <c r="N362" s="33"/>
      <c r="O362" s="33"/>
      <c r="P362" s="33"/>
      <c r="Q362" s="28"/>
      <c r="R362" s="28"/>
      <c r="S362" s="28"/>
      <c r="T362" s="28"/>
      <c r="U362" s="28"/>
      <c r="V362" s="28"/>
      <c r="W362" s="28"/>
      <c r="X362" s="28"/>
      <c r="Y362" s="28"/>
      <c r="Z362" s="28"/>
      <c r="AA362" s="28"/>
    </row>
    <row r="363" ht="18.75" customHeight="1">
      <c r="A363" s="28"/>
      <c r="B363" s="28"/>
      <c r="C363" s="28"/>
      <c r="D363" s="28"/>
      <c r="E363" s="28"/>
      <c r="F363" s="28"/>
      <c r="G363" s="28"/>
      <c r="H363" s="28"/>
      <c r="I363" s="28"/>
      <c r="J363" s="28"/>
      <c r="K363" s="28"/>
      <c r="L363" s="28"/>
      <c r="M363" s="33"/>
      <c r="N363" s="33"/>
      <c r="O363" s="33"/>
      <c r="P363" s="33"/>
      <c r="Q363" s="28"/>
      <c r="R363" s="28"/>
      <c r="S363" s="28"/>
      <c r="T363" s="28"/>
      <c r="U363" s="28"/>
      <c r="V363" s="28"/>
      <c r="W363" s="28"/>
      <c r="X363" s="28"/>
      <c r="Y363" s="28"/>
      <c r="Z363" s="28"/>
      <c r="AA363" s="28"/>
    </row>
    <row r="364" ht="18.75" customHeight="1">
      <c r="A364" s="28"/>
      <c r="B364" s="28"/>
      <c r="C364" s="28"/>
      <c r="D364" s="28"/>
      <c r="E364" s="28"/>
      <c r="F364" s="28"/>
      <c r="G364" s="28"/>
      <c r="H364" s="28"/>
      <c r="I364" s="28"/>
      <c r="J364" s="28"/>
      <c r="K364" s="28"/>
      <c r="L364" s="28"/>
      <c r="M364" s="33"/>
      <c r="N364" s="33"/>
      <c r="O364" s="33"/>
      <c r="P364" s="33"/>
      <c r="Q364" s="28"/>
      <c r="R364" s="28"/>
      <c r="S364" s="28"/>
      <c r="T364" s="28"/>
      <c r="U364" s="28"/>
      <c r="V364" s="28"/>
      <c r="W364" s="28"/>
      <c r="X364" s="28"/>
      <c r="Y364" s="28"/>
      <c r="Z364" s="28"/>
      <c r="AA364" s="28"/>
    </row>
    <row r="365" ht="18.75" customHeight="1">
      <c r="A365" s="28"/>
      <c r="B365" s="28"/>
      <c r="C365" s="28"/>
      <c r="D365" s="28"/>
      <c r="E365" s="28"/>
      <c r="F365" s="28"/>
      <c r="G365" s="28"/>
      <c r="H365" s="28"/>
      <c r="I365" s="28"/>
      <c r="J365" s="28"/>
      <c r="K365" s="28"/>
      <c r="L365" s="28"/>
      <c r="M365" s="33"/>
      <c r="N365" s="33"/>
      <c r="O365" s="33"/>
      <c r="P365" s="33"/>
      <c r="Q365" s="28"/>
      <c r="R365" s="28"/>
      <c r="S365" s="28"/>
      <c r="T365" s="28"/>
      <c r="U365" s="28"/>
      <c r="V365" s="28"/>
      <c r="W365" s="28"/>
      <c r="X365" s="28"/>
      <c r="Y365" s="28"/>
      <c r="Z365" s="28"/>
      <c r="AA365" s="28"/>
    </row>
    <row r="366" ht="18.75" customHeight="1">
      <c r="A366" s="28"/>
      <c r="B366" s="28"/>
      <c r="C366" s="28"/>
      <c r="D366" s="28"/>
      <c r="E366" s="28"/>
      <c r="F366" s="28"/>
      <c r="G366" s="28"/>
      <c r="H366" s="28"/>
      <c r="I366" s="28"/>
      <c r="J366" s="28"/>
      <c r="K366" s="28"/>
      <c r="L366" s="28"/>
      <c r="M366" s="33"/>
      <c r="N366" s="33"/>
      <c r="O366" s="33"/>
      <c r="P366" s="33"/>
      <c r="Q366" s="28"/>
      <c r="R366" s="28"/>
      <c r="S366" s="28"/>
      <c r="T366" s="28"/>
      <c r="U366" s="28"/>
      <c r="V366" s="28"/>
      <c r="W366" s="28"/>
      <c r="X366" s="28"/>
      <c r="Y366" s="28"/>
      <c r="Z366" s="28"/>
      <c r="AA366" s="28"/>
    </row>
    <row r="367" ht="18.75" customHeight="1">
      <c r="A367" s="28"/>
      <c r="B367" s="28"/>
      <c r="C367" s="28"/>
      <c r="D367" s="28"/>
      <c r="E367" s="28"/>
      <c r="F367" s="28"/>
      <c r="G367" s="28"/>
      <c r="H367" s="28"/>
      <c r="I367" s="28"/>
      <c r="J367" s="28"/>
      <c r="K367" s="28"/>
      <c r="L367" s="28"/>
      <c r="M367" s="33"/>
      <c r="N367" s="33"/>
      <c r="O367" s="33"/>
      <c r="P367" s="33"/>
      <c r="Q367" s="28"/>
      <c r="R367" s="28"/>
      <c r="S367" s="28"/>
      <c r="T367" s="28"/>
      <c r="U367" s="28"/>
      <c r="V367" s="28"/>
      <c r="W367" s="28"/>
      <c r="X367" s="28"/>
      <c r="Y367" s="28"/>
      <c r="Z367" s="28"/>
      <c r="AA367" s="28"/>
    </row>
    <row r="368" ht="18.75" customHeight="1">
      <c r="A368" s="28"/>
      <c r="B368" s="28"/>
      <c r="C368" s="28"/>
      <c r="D368" s="28"/>
      <c r="E368" s="28"/>
      <c r="F368" s="28"/>
      <c r="G368" s="28"/>
      <c r="H368" s="28"/>
      <c r="I368" s="28"/>
      <c r="J368" s="28"/>
      <c r="K368" s="28"/>
      <c r="L368" s="28"/>
      <c r="M368" s="33"/>
      <c r="N368" s="33"/>
      <c r="O368" s="33"/>
      <c r="P368" s="33"/>
      <c r="Q368" s="28"/>
      <c r="R368" s="28"/>
      <c r="S368" s="28"/>
      <c r="T368" s="28"/>
      <c r="U368" s="28"/>
      <c r="V368" s="28"/>
      <c r="W368" s="28"/>
      <c r="X368" s="28"/>
      <c r="Y368" s="28"/>
      <c r="Z368" s="28"/>
      <c r="AA368" s="28"/>
    </row>
    <row r="369" ht="18.75" customHeight="1">
      <c r="A369" s="28"/>
      <c r="B369" s="28"/>
      <c r="C369" s="28"/>
      <c r="D369" s="28"/>
      <c r="E369" s="28"/>
      <c r="F369" s="28"/>
      <c r="G369" s="28"/>
      <c r="H369" s="28"/>
      <c r="I369" s="28"/>
      <c r="J369" s="28"/>
      <c r="K369" s="28"/>
      <c r="L369" s="28"/>
      <c r="M369" s="33"/>
      <c r="N369" s="33"/>
      <c r="O369" s="33"/>
      <c r="P369" s="33"/>
      <c r="Q369" s="28"/>
      <c r="R369" s="28"/>
      <c r="S369" s="28"/>
      <c r="T369" s="28"/>
      <c r="U369" s="28"/>
      <c r="V369" s="28"/>
      <c r="W369" s="28"/>
      <c r="X369" s="28"/>
      <c r="Y369" s="28"/>
      <c r="Z369" s="28"/>
      <c r="AA369" s="28"/>
    </row>
    <row r="370" ht="18.75" customHeight="1">
      <c r="A370" s="28"/>
      <c r="B370" s="28"/>
      <c r="C370" s="28"/>
      <c r="D370" s="28"/>
      <c r="E370" s="28"/>
      <c r="F370" s="28"/>
      <c r="G370" s="28"/>
      <c r="H370" s="28"/>
      <c r="I370" s="28"/>
      <c r="J370" s="28"/>
      <c r="K370" s="28"/>
      <c r="L370" s="28"/>
      <c r="M370" s="33"/>
      <c r="N370" s="33"/>
      <c r="O370" s="33"/>
      <c r="P370" s="33"/>
      <c r="Q370" s="28"/>
      <c r="R370" s="28"/>
      <c r="S370" s="28"/>
      <c r="T370" s="28"/>
      <c r="U370" s="28"/>
      <c r="V370" s="28"/>
      <c r="W370" s="28"/>
      <c r="X370" s="28"/>
      <c r="Y370" s="28"/>
      <c r="Z370" s="28"/>
      <c r="AA370" s="28"/>
    </row>
    <row r="371" ht="18.75" customHeight="1">
      <c r="A371" s="28"/>
      <c r="B371" s="28"/>
      <c r="C371" s="28"/>
      <c r="D371" s="28"/>
      <c r="E371" s="28"/>
      <c r="F371" s="28"/>
      <c r="G371" s="28"/>
      <c r="H371" s="28"/>
      <c r="I371" s="28"/>
      <c r="J371" s="28"/>
      <c r="K371" s="28"/>
      <c r="L371" s="28"/>
      <c r="M371" s="33"/>
      <c r="N371" s="33"/>
      <c r="O371" s="33"/>
      <c r="P371" s="33"/>
      <c r="Q371" s="28"/>
      <c r="R371" s="28"/>
      <c r="S371" s="28"/>
      <c r="T371" s="28"/>
      <c r="U371" s="28"/>
      <c r="V371" s="28"/>
      <c r="W371" s="28"/>
      <c r="X371" s="28"/>
      <c r="Y371" s="28"/>
      <c r="Z371" s="28"/>
      <c r="AA371" s="28"/>
    </row>
    <row r="372" ht="18.75" customHeight="1">
      <c r="A372" s="28"/>
      <c r="B372" s="28"/>
      <c r="C372" s="28"/>
      <c r="D372" s="28"/>
      <c r="E372" s="28"/>
      <c r="F372" s="28"/>
      <c r="G372" s="28"/>
      <c r="H372" s="28"/>
      <c r="I372" s="28"/>
      <c r="J372" s="28"/>
      <c r="K372" s="28"/>
      <c r="L372" s="28"/>
      <c r="M372" s="33"/>
      <c r="N372" s="33"/>
      <c r="O372" s="33"/>
      <c r="P372" s="33"/>
      <c r="Q372" s="28"/>
      <c r="R372" s="28"/>
      <c r="S372" s="28"/>
      <c r="T372" s="28"/>
      <c r="U372" s="28"/>
      <c r="V372" s="28"/>
      <c r="W372" s="28"/>
      <c r="X372" s="28"/>
      <c r="Y372" s="28"/>
      <c r="Z372" s="28"/>
      <c r="AA372" s="28"/>
    </row>
    <row r="373" ht="18.75" customHeight="1">
      <c r="A373" s="28"/>
      <c r="B373" s="28"/>
      <c r="C373" s="28"/>
      <c r="D373" s="28"/>
      <c r="E373" s="28"/>
      <c r="F373" s="28"/>
      <c r="G373" s="28"/>
      <c r="H373" s="28"/>
      <c r="I373" s="28"/>
      <c r="J373" s="28"/>
      <c r="K373" s="28"/>
      <c r="L373" s="28"/>
      <c r="M373" s="33"/>
      <c r="N373" s="33"/>
      <c r="O373" s="33"/>
      <c r="P373" s="33"/>
      <c r="Q373" s="28"/>
      <c r="R373" s="28"/>
      <c r="S373" s="28"/>
      <c r="T373" s="28"/>
      <c r="U373" s="28"/>
      <c r="V373" s="28"/>
      <c r="W373" s="28"/>
      <c r="X373" s="28"/>
      <c r="Y373" s="28"/>
      <c r="Z373" s="28"/>
      <c r="AA373" s="28"/>
    </row>
    <row r="374" ht="18.75" customHeight="1">
      <c r="A374" s="28"/>
      <c r="B374" s="28"/>
      <c r="C374" s="28"/>
      <c r="D374" s="28"/>
      <c r="E374" s="28"/>
      <c r="F374" s="28"/>
      <c r="G374" s="28"/>
      <c r="H374" s="28"/>
      <c r="I374" s="28"/>
      <c r="J374" s="28"/>
      <c r="K374" s="28"/>
      <c r="L374" s="28"/>
      <c r="M374" s="33"/>
      <c r="N374" s="33"/>
      <c r="O374" s="33"/>
      <c r="P374" s="33"/>
      <c r="Q374" s="28"/>
      <c r="R374" s="28"/>
      <c r="S374" s="28"/>
      <c r="T374" s="28"/>
      <c r="U374" s="28"/>
      <c r="V374" s="28"/>
      <c r="W374" s="28"/>
      <c r="X374" s="28"/>
      <c r="Y374" s="28"/>
      <c r="Z374" s="28"/>
      <c r="AA374" s="28"/>
    </row>
    <row r="375" ht="18.75" customHeight="1">
      <c r="A375" s="28"/>
      <c r="B375" s="28"/>
      <c r="C375" s="28"/>
      <c r="D375" s="28"/>
      <c r="E375" s="28"/>
      <c r="F375" s="28"/>
      <c r="G375" s="28"/>
      <c r="H375" s="28"/>
      <c r="I375" s="28"/>
      <c r="J375" s="28"/>
      <c r="K375" s="28"/>
      <c r="L375" s="28"/>
      <c r="M375" s="33"/>
      <c r="N375" s="33"/>
      <c r="O375" s="33"/>
      <c r="P375" s="33"/>
      <c r="Q375" s="28"/>
      <c r="R375" s="28"/>
      <c r="S375" s="28"/>
      <c r="T375" s="28"/>
      <c r="U375" s="28"/>
      <c r="V375" s="28"/>
      <c r="W375" s="28"/>
      <c r="X375" s="28"/>
      <c r="Y375" s="28"/>
      <c r="Z375" s="28"/>
      <c r="AA375" s="28"/>
    </row>
    <row r="376" ht="18.75" customHeight="1">
      <c r="A376" s="28"/>
      <c r="B376" s="28"/>
      <c r="C376" s="28"/>
      <c r="D376" s="28"/>
      <c r="E376" s="28"/>
      <c r="F376" s="28"/>
      <c r="G376" s="28"/>
      <c r="H376" s="28"/>
      <c r="I376" s="28"/>
      <c r="J376" s="28"/>
      <c r="K376" s="28"/>
      <c r="L376" s="28"/>
      <c r="M376" s="33"/>
      <c r="N376" s="33"/>
      <c r="O376" s="33"/>
      <c r="P376" s="33"/>
      <c r="Q376" s="28"/>
      <c r="R376" s="28"/>
      <c r="S376" s="28"/>
      <c r="T376" s="28"/>
      <c r="U376" s="28"/>
      <c r="V376" s="28"/>
      <c r="W376" s="28"/>
      <c r="X376" s="28"/>
      <c r="Y376" s="28"/>
      <c r="Z376" s="28"/>
      <c r="AA376" s="28"/>
    </row>
    <row r="377" ht="18.75" customHeight="1">
      <c r="A377" s="28"/>
      <c r="B377" s="28"/>
      <c r="C377" s="28"/>
      <c r="D377" s="28"/>
      <c r="E377" s="28"/>
      <c r="F377" s="28"/>
      <c r="G377" s="28"/>
      <c r="H377" s="28"/>
      <c r="I377" s="28"/>
      <c r="J377" s="28"/>
      <c r="K377" s="28"/>
      <c r="L377" s="28"/>
      <c r="M377" s="33"/>
      <c r="N377" s="33"/>
      <c r="O377" s="33"/>
      <c r="P377" s="33"/>
      <c r="Q377" s="28"/>
      <c r="R377" s="28"/>
      <c r="S377" s="28"/>
      <c r="T377" s="28"/>
      <c r="U377" s="28"/>
      <c r="V377" s="28"/>
      <c r="W377" s="28"/>
      <c r="X377" s="28"/>
      <c r="Y377" s="28"/>
      <c r="Z377" s="28"/>
      <c r="AA377" s="28"/>
    </row>
    <row r="378" ht="18.75" customHeight="1">
      <c r="A378" s="28"/>
      <c r="B378" s="28"/>
      <c r="C378" s="28"/>
      <c r="D378" s="28"/>
      <c r="E378" s="28"/>
      <c r="F378" s="28"/>
      <c r="G378" s="28"/>
      <c r="H378" s="28"/>
      <c r="I378" s="28"/>
      <c r="J378" s="28"/>
      <c r="K378" s="28"/>
      <c r="L378" s="28"/>
      <c r="M378" s="33"/>
      <c r="N378" s="33"/>
      <c r="O378" s="33"/>
      <c r="P378" s="33"/>
      <c r="Q378" s="28"/>
      <c r="R378" s="28"/>
      <c r="S378" s="28"/>
      <c r="T378" s="28"/>
      <c r="U378" s="28"/>
      <c r="V378" s="28"/>
      <c r="W378" s="28"/>
      <c r="X378" s="28"/>
      <c r="Y378" s="28"/>
      <c r="Z378" s="28"/>
      <c r="AA378" s="28"/>
    </row>
    <row r="379" ht="18.75" customHeight="1">
      <c r="A379" s="28"/>
      <c r="B379" s="28"/>
      <c r="C379" s="28"/>
      <c r="D379" s="28"/>
      <c r="E379" s="28"/>
      <c r="F379" s="28"/>
      <c r="G379" s="28"/>
      <c r="H379" s="28"/>
      <c r="I379" s="28"/>
      <c r="J379" s="28"/>
      <c r="K379" s="28"/>
      <c r="L379" s="28"/>
      <c r="M379" s="33"/>
      <c r="N379" s="33"/>
      <c r="O379" s="33"/>
      <c r="P379" s="33"/>
      <c r="Q379" s="28"/>
      <c r="R379" s="28"/>
      <c r="S379" s="28"/>
      <c r="T379" s="28"/>
      <c r="U379" s="28"/>
      <c r="V379" s="28"/>
      <c r="W379" s="28"/>
      <c r="X379" s="28"/>
      <c r="Y379" s="28"/>
      <c r="Z379" s="28"/>
      <c r="AA379" s="28"/>
    </row>
    <row r="380" ht="18.75" customHeight="1">
      <c r="A380" s="28"/>
      <c r="B380" s="28"/>
      <c r="C380" s="28"/>
      <c r="D380" s="28"/>
      <c r="E380" s="28"/>
      <c r="F380" s="28"/>
      <c r="G380" s="28"/>
      <c r="H380" s="28"/>
      <c r="I380" s="28"/>
      <c r="J380" s="28"/>
      <c r="K380" s="28"/>
      <c r="L380" s="28"/>
      <c r="M380" s="33"/>
      <c r="N380" s="33"/>
      <c r="O380" s="33"/>
      <c r="P380" s="33"/>
      <c r="Q380" s="28"/>
      <c r="R380" s="28"/>
      <c r="S380" s="28"/>
      <c r="T380" s="28"/>
      <c r="U380" s="28"/>
      <c r="V380" s="28"/>
      <c r="W380" s="28"/>
      <c r="X380" s="28"/>
      <c r="Y380" s="28"/>
      <c r="Z380" s="28"/>
      <c r="AA380" s="28"/>
    </row>
    <row r="381" ht="18.75" customHeight="1">
      <c r="A381" s="28"/>
      <c r="B381" s="28"/>
      <c r="C381" s="28"/>
      <c r="D381" s="28"/>
      <c r="E381" s="28"/>
      <c r="F381" s="28"/>
      <c r="G381" s="28"/>
      <c r="H381" s="28"/>
      <c r="I381" s="28"/>
      <c r="J381" s="28"/>
      <c r="K381" s="28"/>
      <c r="L381" s="28"/>
      <c r="M381" s="33"/>
      <c r="N381" s="33"/>
      <c r="O381" s="33"/>
      <c r="P381" s="33"/>
      <c r="Q381" s="28"/>
      <c r="R381" s="28"/>
      <c r="S381" s="28"/>
      <c r="T381" s="28"/>
      <c r="U381" s="28"/>
      <c r="V381" s="28"/>
      <c r="W381" s="28"/>
      <c r="X381" s="28"/>
      <c r="Y381" s="28"/>
      <c r="Z381" s="28"/>
      <c r="AA381" s="28"/>
    </row>
    <row r="382" ht="18.75" customHeight="1">
      <c r="A382" s="28"/>
      <c r="B382" s="28"/>
      <c r="C382" s="28"/>
      <c r="D382" s="28"/>
      <c r="E382" s="28"/>
      <c r="F382" s="28"/>
      <c r="G382" s="28"/>
      <c r="H382" s="28"/>
      <c r="I382" s="28"/>
      <c r="J382" s="28"/>
      <c r="K382" s="28"/>
      <c r="L382" s="28"/>
      <c r="M382" s="33"/>
      <c r="N382" s="33"/>
      <c r="O382" s="33"/>
      <c r="P382" s="33"/>
      <c r="Q382" s="28"/>
      <c r="R382" s="28"/>
      <c r="S382" s="28"/>
      <c r="T382" s="28"/>
      <c r="U382" s="28"/>
      <c r="V382" s="28"/>
      <c r="W382" s="28"/>
      <c r="X382" s="28"/>
      <c r="Y382" s="28"/>
      <c r="Z382" s="28"/>
      <c r="AA382" s="28"/>
    </row>
    <row r="383" ht="18.75" customHeight="1">
      <c r="A383" s="28"/>
      <c r="B383" s="28"/>
      <c r="C383" s="28"/>
      <c r="D383" s="28"/>
      <c r="E383" s="28"/>
      <c r="F383" s="28"/>
      <c r="G383" s="28"/>
      <c r="H383" s="28"/>
      <c r="I383" s="28"/>
      <c r="J383" s="28"/>
      <c r="K383" s="28"/>
      <c r="L383" s="28"/>
      <c r="M383" s="33"/>
      <c r="N383" s="33"/>
      <c r="O383" s="33"/>
      <c r="P383" s="33"/>
      <c r="Q383" s="28"/>
      <c r="R383" s="28"/>
      <c r="S383" s="28"/>
      <c r="T383" s="28"/>
      <c r="U383" s="28"/>
      <c r="V383" s="28"/>
      <c r="W383" s="28"/>
      <c r="X383" s="28"/>
      <c r="Y383" s="28"/>
      <c r="Z383" s="28"/>
      <c r="AA383" s="28"/>
    </row>
    <row r="384" ht="18.75" customHeight="1">
      <c r="A384" s="28"/>
      <c r="B384" s="28"/>
      <c r="C384" s="28"/>
      <c r="D384" s="28"/>
      <c r="E384" s="28"/>
      <c r="F384" s="28"/>
      <c r="G384" s="28"/>
      <c r="H384" s="28"/>
      <c r="I384" s="28"/>
      <c r="J384" s="28"/>
      <c r="K384" s="28"/>
      <c r="L384" s="28"/>
      <c r="M384" s="33"/>
      <c r="N384" s="33"/>
      <c r="O384" s="33"/>
      <c r="P384" s="33"/>
      <c r="Q384" s="28"/>
      <c r="R384" s="28"/>
      <c r="S384" s="28"/>
      <c r="T384" s="28"/>
      <c r="U384" s="28"/>
      <c r="V384" s="28"/>
      <c r="W384" s="28"/>
      <c r="X384" s="28"/>
      <c r="Y384" s="28"/>
      <c r="Z384" s="28"/>
      <c r="AA384" s="28"/>
    </row>
    <row r="385" ht="18.75" customHeight="1">
      <c r="A385" s="28"/>
      <c r="B385" s="28"/>
      <c r="C385" s="28"/>
      <c r="D385" s="28"/>
      <c r="E385" s="28"/>
      <c r="F385" s="28"/>
      <c r="G385" s="28"/>
      <c r="H385" s="28"/>
      <c r="I385" s="28"/>
      <c r="J385" s="28"/>
      <c r="K385" s="28"/>
      <c r="L385" s="28"/>
      <c r="M385" s="33"/>
      <c r="N385" s="33"/>
      <c r="O385" s="33"/>
      <c r="P385" s="33"/>
      <c r="Q385" s="28"/>
      <c r="R385" s="28"/>
      <c r="S385" s="28"/>
      <c r="T385" s="28"/>
      <c r="U385" s="28"/>
      <c r="V385" s="28"/>
      <c r="W385" s="28"/>
      <c r="X385" s="28"/>
      <c r="Y385" s="28"/>
      <c r="Z385" s="28"/>
      <c r="AA385" s="28"/>
    </row>
    <row r="386" ht="18.75" customHeight="1">
      <c r="A386" s="28"/>
      <c r="B386" s="28"/>
      <c r="C386" s="28"/>
      <c r="D386" s="28"/>
      <c r="E386" s="28"/>
      <c r="F386" s="28"/>
      <c r="G386" s="28"/>
      <c r="H386" s="28"/>
      <c r="I386" s="28"/>
      <c r="J386" s="28"/>
      <c r="K386" s="28"/>
      <c r="L386" s="28"/>
      <c r="M386" s="33"/>
      <c r="N386" s="33"/>
      <c r="O386" s="33"/>
      <c r="P386" s="33"/>
      <c r="Q386" s="28"/>
      <c r="R386" s="28"/>
      <c r="S386" s="28"/>
      <c r="T386" s="28"/>
      <c r="U386" s="28"/>
      <c r="V386" s="28"/>
      <c r="W386" s="28"/>
      <c r="X386" s="28"/>
      <c r="Y386" s="28"/>
      <c r="Z386" s="28"/>
      <c r="AA386" s="28"/>
    </row>
    <row r="387" ht="18.75" customHeight="1">
      <c r="A387" s="28"/>
      <c r="B387" s="28"/>
      <c r="C387" s="28"/>
      <c r="D387" s="28"/>
      <c r="E387" s="28"/>
      <c r="F387" s="28"/>
      <c r="G387" s="28"/>
      <c r="H387" s="28"/>
      <c r="I387" s="28"/>
      <c r="J387" s="28"/>
      <c r="K387" s="28"/>
      <c r="L387" s="28"/>
      <c r="M387" s="33"/>
      <c r="N387" s="33"/>
      <c r="O387" s="33"/>
      <c r="P387" s="33"/>
      <c r="Q387" s="28"/>
      <c r="R387" s="28"/>
      <c r="S387" s="28"/>
      <c r="T387" s="28"/>
      <c r="U387" s="28"/>
      <c r="V387" s="28"/>
      <c r="W387" s="28"/>
      <c r="X387" s="28"/>
      <c r="Y387" s="28"/>
      <c r="Z387" s="28"/>
      <c r="AA387" s="28"/>
    </row>
    <row r="388" ht="18.75" customHeight="1">
      <c r="A388" s="28"/>
      <c r="B388" s="28"/>
      <c r="C388" s="28"/>
      <c r="D388" s="28"/>
      <c r="E388" s="28"/>
      <c r="F388" s="28"/>
      <c r="G388" s="28"/>
      <c r="H388" s="28"/>
      <c r="I388" s="28"/>
      <c r="J388" s="28"/>
      <c r="K388" s="28"/>
      <c r="L388" s="28"/>
      <c r="M388" s="33"/>
      <c r="N388" s="33"/>
      <c r="O388" s="33"/>
      <c r="P388" s="33"/>
      <c r="Q388" s="28"/>
      <c r="R388" s="28"/>
      <c r="S388" s="28"/>
      <c r="T388" s="28"/>
      <c r="U388" s="28"/>
      <c r="V388" s="28"/>
      <c r="W388" s="28"/>
      <c r="X388" s="28"/>
      <c r="Y388" s="28"/>
      <c r="Z388" s="28"/>
      <c r="AA388" s="28"/>
    </row>
    <row r="389" ht="18.75" customHeight="1">
      <c r="A389" s="28"/>
      <c r="B389" s="28"/>
      <c r="C389" s="28"/>
      <c r="D389" s="28"/>
      <c r="E389" s="28"/>
      <c r="F389" s="28"/>
      <c r="G389" s="28"/>
      <c r="H389" s="28"/>
      <c r="I389" s="28"/>
      <c r="J389" s="28"/>
      <c r="K389" s="28"/>
      <c r="L389" s="28"/>
      <c r="M389" s="33"/>
      <c r="N389" s="33"/>
      <c r="O389" s="33"/>
      <c r="P389" s="33"/>
      <c r="Q389" s="28"/>
      <c r="R389" s="28"/>
      <c r="S389" s="28"/>
      <c r="T389" s="28"/>
      <c r="U389" s="28"/>
      <c r="V389" s="28"/>
      <c r="W389" s="28"/>
      <c r="X389" s="28"/>
      <c r="Y389" s="28"/>
      <c r="Z389" s="28"/>
      <c r="AA389" s="28"/>
    </row>
    <row r="390" ht="18.75" customHeight="1">
      <c r="A390" s="28"/>
      <c r="B390" s="28"/>
      <c r="C390" s="28"/>
      <c r="D390" s="28"/>
      <c r="E390" s="28"/>
      <c r="F390" s="28"/>
      <c r="G390" s="28"/>
      <c r="H390" s="28"/>
      <c r="I390" s="28"/>
      <c r="J390" s="28"/>
      <c r="K390" s="28"/>
      <c r="L390" s="28"/>
      <c r="M390" s="33"/>
      <c r="N390" s="33"/>
      <c r="O390" s="33"/>
      <c r="P390" s="33"/>
      <c r="Q390" s="28"/>
      <c r="R390" s="28"/>
      <c r="S390" s="28"/>
      <c r="T390" s="28"/>
      <c r="U390" s="28"/>
      <c r="V390" s="28"/>
      <c r="W390" s="28"/>
      <c r="X390" s="28"/>
      <c r="Y390" s="28"/>
      <c r="Z390" s="28"/>
      <c r="AA390" s="28"/>
    </row>
    <row r="391" ht="18.75" customHeight="1">
      <c r="A391" s="28"/>
      <c r="B391" s="28"/>
      <c r="C391" s="28"/>
      <c r="D391" s="28"/>
      <c r="E391" s="28"/>
      <c r="F391" s="28"/>
      <c r="G391" s="28"/>
      <c r="H391" s="28"/>
      <c r="I391" s="28"/>
      <c r="J391" s="28"/>
      <c r="K391" s="28"/>
      <c r="L391" s="28"/>
      <c r="M391" s="33"/>
      <c r="N391" s="33"/>
      <c r="O391" s="33"/>
      <c r="P391" s="33"/>
      <c r="Q391" s="28"/>
      <c r="R391" s="28"/>
      <c r="S391" s="28"/>
      <c r="T391" s="28"/>
      <c r="U391" s="28"/>
      <c r="V391" s="28"/>
      <c r="W391" s="28"/>
      <c r="X391" s="28"/>
      <c r="Y391" s="28"/>
      <c r="Z391" s="28"/>
      <c r="AA391" s="28"/>
    </row>
    <row r="392" ht="18.75" customHeight="1">
      <c r="A392" s="28"/>
      <c r="B392" s="28"/>
      <c r="C392" s="28"/>
      <c r="D392" s="28"/>
      <c r="E392" s="28"/>
      <c r="F392" s="28"/>
      <c r="G392" s="28"/>
      <c r="H392" s="28"/>
      <c r="I392" s="28"/>
      <c r="J392" s="28"/>
      <c r="K392" s="28"/>
      <c r="L392" s="28"/>
      <c r="M392" s="33"/>
      <c r="N392" s="33"/>
      <c r="O392" s="33"/>
      <c r="P392" s="33"/>
      <c r="Q392" s="28"/>
      <c r="R392" s="28"/>
      <c r="S392" s="28"/>
      <c r="T392" s="28"/>
      <c r="U392" s="28"/>
      <c r="V392" s="28"/>
      <c r="W392" s="28"/>
      <c r="X392" s="28"/>
      <c r="Y392" s="28"/>
      <c r="Z392" s="28"/>
      <c r="AA392" s="28"/>
    </row>
    <row r="393" ht="18.75" customHeight="1">
      <c r="A393" s="28"/>
      <c r="B393" s="28"/>
      <c r="C393" s="28"/>
      <c r="D393" s="28"/>
      <c r="E393" s="28"/>
      <c r="F393" s="28"/>
      <c r="G393" s="28"/>
      <c r="H393" s="28"/>
      <c r="I393" s="28"/>
      <c r="J393" s="28"/>
      <c r="K393" s="28"/>
      <c r="L393" s="28"/>
      <c r="M393" s="33"/>
      <c r="N393" s="33"/>
      <c r="O393" s="33"/>
      <c r="P393" s="33"/>
      <c r="Q393" s="28"/>
      <c r="R393" s="28"/>
      <c r="S393" s="28"/>
      <c r="T393" s="28"/>
      <c r="U393" s="28"/>
      <c r="V393" s="28"/>
      <c r="W393" s="28"/>
      <c r="X393" s="28"/>
      <c r="Y393" s="28"/>
      <c r="Z393" s="28"/>
      <c r="AA393" s="28"/>
    </row>
    <row r="394" ht="18.75" customHeight="1">
      <c r="A394" s="28"/>
      <c r="B394" s="28"/>
      <c r="C394" s="28"/>
      <c r="D394" s="28"/>
      <c r="E394" s="28"/>
      <c r="F394" s="28"/>
      <c r="G394" s="28"/>
      <c r="H394" s="28"/>
      <c r="I394" s="28"/>
      <c r="J394" s="28"/>
      <c r="K394" s="28"/>
      <c r="L394" s="28"/>
      <c r="M394" s="33"/>
      <c r="N394" s="33"/>
      <c r="O394" s="33"/>
      <c r="P394" s="33"/>
      <c r="Q394" s="28"/>
      <c r="R394" s="28"/>
      <c r="S394" s="28"/>
      <c r="T394" s="28"/>
      <c r="U394" s="28"/>
      <c r="V394" s="28"/>
      <c r="W394" s="28"/>
      <c r="X394" s="28"/>
      <c r="Y394" s="28"/>
      <c r="Z394" s="28"/>
      <c r="AA394" s="28"/>
    </row>
    <row r="395" ht="18.75" customHeight="1">
      <c r="A395" s="28"/>
      <c r="B395" s="28"/>
      <c r="C395" s="28"/>
      <c r="D395" s="28"/>
      <c r="E395" s="28"/>
      <c r="F395" s="28"/>
      <c r="G395" s="28"/>
      <c r="H395" s="28"/>
      <c r="I395" s="28"/>
      <c r="J395" s="28"/>
      <c r="K395" s="28"/>
      <c r="L395" s="28"/>
      <c r="M395" s="33"/>
      <c r="N395" s="33"/>
      <c r="O395" s="33"/>
      <c r="P395" s="33"/>
      <c r="Q395" s="28"/>
      <c r="R395" s="28"/>
      <c r="S395" s="28"/>
      <c r="T395" s="28"/>
      <c r="U395" s="28"/>
      <c r="V395" s="28"/>
      <c r="W395" s="28"/>
      <c r="X395" s="28"/>
      <c r="Y395" s="28"/>
      <c r="Z395" s="28"/>
      <c r="AA395" s="28"/>
    </row>
    <row r="396" ht="18.75" customHeight="1">
      <c r="A396" s="28"/>
      <c r="B396" s="28"/>
      <c r="C396" s="28"/>
      <c r="D396" s="28"/>
      <c r="E396" s="28"/>
      <c r="F396" s="28"/>
      <c r="G396" s="28"/>
      <c r="H396" s="28"/>
      <c r="I396" s="28"/>
      <c r="J396" s="28"/>
      <c r="K396" s="28"/>
      <c r="L396" s="28"/>
      <c r="M396" s="33"/>
      <c r="N396" s="33"/>
      <c r="O396" s="33"/>
      <c r="P396" s="33"/>
      <c r="Q396" s="28"/>
      <c r="R396" s="28"/>
      <c r="S396" s="28"/>
      <c r="T396" s="28"/>
      <c r="U396" s="28"/>
      <c r="V396" s="28"/>
      <c r="W396" s="28"/>
      <c r="X396" s="28"/>
      <c r="Y396" s="28"/>
      <c r="Z396" s="28"/>
      <c r="AA396" s="28"/>
    </row>
    <row r="397" ht="18.75" customHeight="1">
      <c r="A397" s="28"/>
      <c r="B397" s="28"/>
      <c r="C397" s="28"/>
      <c r="D397" s="28"/>
      <c r="E397" s="28"/>
      <c r="F397" s="28"/>
      <c r="G397" s="28"/>
      <c r="H397" s="28"/>
      <c r="I397" s="28"/>
      <c r="J397" s="28"/>
      <c r="K397" s="28"/>
      <c r="L397" s="28"/>
      <c r="M397" s="33"/>
      <c r="N397" s="33"/>
      <c r="O397" s="33"/>
      <c r="P397" s="33"/>
      <c r="Q397" s="28"/>
      <c r="R397" s="28"/>
      <c r="S397" s="28"/>
      <c r="T397" s="28"/>
      <c r="U397" s="28"/>
      <c r="V397" s="28"/>
      <c r="W397" s="28"/>
      <c r="X397" s="28"/>
      <c r="Y397" s="28"/>
      <c r="Z397" s="28"/>
      <c r="AA397" s="28"/>
    </row>
    <row r="398" ht="18.75" customHeight="1">
      <c r="A398" s="28"/>
      <c r="B398" s="28"/>
      <c r="C398" s="28"/>
      <c r="D398" s="28"/>
      <c r="E398" s="28"/>
      <c r="F398" s="28"/>
      <c r="G398" s="28"/>
      <c r="H398" s="28"/>
      <c r="I398" s="28"/>
      <c r="J398" s="28"/>
      <c r="K398" s="28"/>
      <c r="L398" s="28"/>
      <c r="M398" s="33"/>
      <c r="N398" s="33"/>
      <c r="O398" s="33"/>
      <c r="P398" s="33"/>
      <c r="Q398" s="28"/>
      <c r="R398" s="28"/>
      <c r="S398" s="28"/>
      <c r="T398" s="28"/>
      <c r="U398" s="28"/>
      <c r="V398" s="28"/>
      <c r="W398" s="28"/>
      <c r="X398" s="28"/>
      <c r="Y398" s="28"/>
      <c r="Z398" s="28"/>
      <c r="AA398" s="28"/>
    </row>
    <row r="399" ht="18.75" customHeight="1">
      <c r="A399" s="28"/>
      <c r="B399" s="28"/>
      <c r="C399" s="28"/>
      <c r="D399" s="28"/>
      <c r="E399" s="28"/>
      <c r="F399" s="28"/>
      <c r="G399" s="28"/>
      <c r="H399" s="28"/>
      <c r="I399" s="28"/>
      <c r="J399" s="28"/>
      <c r="K399" s="28"/>
      <c r="L399" s="28"/>
      <c r="M399" s="33"/>
      <c r="N399" s="33"/>
      <c r="O399" s="33"/>
      <c r="P399" s="33"/>
      <c r="Q399" s="28"/>
      <c r="R399" s="28"/>
      <c r="S399" s="28"/>
      <c r="T399" s="28"/>
      <c r="U399" s="28"/>
      <c r="V399" s="28"/>
      <c r="W399" s="28"/>
      <c r="X399" s="28"/>
      <c r="Y399" s="28"/>
      <c r="Z399" s="28"/>
      <c r="AA399" s="28"/>
    </row>
    <row r="400" ht="18.75" customHeight="1">
      <c r="A400" s="28"/>
      <c r="B400" s="28"/>
      <c r="C400" s="28"/>
      <c r="D400" s="28"/>
      <c r="E400" s="28"/>
      <c r="F400" s="28"/>
      <c r="G400" s="28"/>
      <c r="H400" s="28"/>
      <c r="I400" s="28"/>
      <c r="J400" s="28"/>
      <c r="K400" s="28"/>
      <c r="L400" s="28"/>
      <c r="M400" s="33"/>
      <c r="N400" s="33"/>
      <c r="O400" s="33"/>
      <c r="P400" s="33"/>
      <c r="Q400" s="28"/>
      <c r="R400" s="28"/>
      <c r="S400" s="28"/>
      <c r="T400" s="28"/>
      <c r="U400" s="28"/>
      <c r="V400" s="28"/>
      <c r="W400" s="28"/>
      <c r="X400" s="28"/>
      <c r="Y400" s="28"/>
      <c r="Z400" s="28"/>
      <c r="AA400" s="28"/>
    </row>
    <row r="401" ht="18.75" customHeight="1">
      <c r="A401" s="28"/>
      <c r="B401" s="28"/>
      <c r="C401" s="28"/>
      <c r="D401" s="28"/>
      <c r="E401" s="28"/>
      <c r="F401" s="28"/>
      <c r="G401" s="28"/>
      <c r="H401" s="28"/>
      <c r="I401" s="28"/>
      <c r="J401" s="28"/>
      <c r="K401" s="28"/>
      <c r="L401" s="28"/>
      <c r="M401" s="33"/>
      <c r="N401" s="33"/>
      <c r="O401" s="33"/>
      <c r="P401" s="33"/>
      <c r="Q401" s="28"/>
      <c r="R401" s="28"/>
      <c r="S401" s="28"/>
      <c r="T401" s="28"/>
      <c r="U401" s="28"/>
      <c r="V401" s="28"/>
      <c r="W401" s="28"/>
      <c r="X401" s="28"/>
      <c r="Y401" s="28"/>
      <c r="Z401" s="28"/>
      <c r="AA401" s="28"/>
    </row>
    <row r="402" ht="18.75" customHeight="1">
      <c r="A402" s="28"/>
      <c r="B402" s="28"/>
      <c r="C402" s="28"/>
      <c r="D402" s="28"/>
      <c r="E402" s="28"/>
      <c r="F402" s="28"/>
      <c r="G402" s="28"/>
      <c r="H402" s="28"/>
      <c r="I402" s="28"/>
      <c r="J402" s="28"/>
      <c r="K402" s="28"/>
      <c r="L402" s="28"/>
      <c r="M402" s="33"/>
      <c r="N402" s="33"/>
      <c r="O402" s="33"/>
      <c r="P402" s="33"/>
      <c r="Q402" s="28"/>
      <c r="R402" s="28"/>
      <c r="S402" s="28"/>
      <c r="T402" s="28"/>
      <c r="U402" s="28"/>
      <c r="V402" s="28"/>
      <c r="W402" s="28"/>
      <c r="X402" s="28"/>
      <c r="Y402" s="28"/>
      <c r="Z402" s="28"/>
      <c r="AA402" s="28"/>
    </row>
    <row r="403" ht="18.75" customHeight="1">
      <c r="A403" s="28"/>
      <c r="B403" s="28"/>
      <c r="C403" s="28"/>
      <c r="D403" s="28"/>
      <c r="E403" s="28"/>
      <c r="F403" s="28"/>
      <c r="G403" s="28"/>
      <c r="H403" s="28"/>
      <c r="I403" s="28"/>
      <c r="J403" s="28"/>
      <c r="K403" s="28"/>
      <c r="L403" s="28"/>
      <c r="M403" s="33"/>
      <c r="N403" s="33"/>
      <c r="O403" s="33"/>
      <c r="P403" s="33"/>
      <c r="Q403" s="28"/>
      <c r="R403" s="28"/>
      <c r="S403" s="28"/>
      <c r="T403" s="28"/>
      <c r="U403" s="28"/>
      <c r="V403" s="28"/>
      <c r="W403" s="28"/>
      <c r="X403" s="28"/>
      <c r="Y403" s="28"/>
      <c r="Z403" s="28"/>
      <c r="AA403" s="28"/>
    </row>
    <row r="404" ht="18.75" customHeight="1">
      <c r="A404" s="28"/>
      <c r="B404" s="28"/>
      <c r="C404" s="28"/>
      <c r="D404" s="28"/>
      <c r="E404" s="28"/>
      <c r="F404" s="28"/>
      <c r="G404" s="28"/>
      <c r="H404" s="28"/>
      <c r="I404" s="28"/>
      <c r="J404" s="28"/>
      <c r="K404" s="28"/>
      <c r="L404" s="28"/>
      <c r="M404" s="33"/>
      <c r="N404" s="33"/>
      <c r="O404" s="33"/>
      <c r="P404" s="33"/>
      <c r="Q404" s="28"/>
      <c r="R404" s="28"/>
      <c r="S404" s="28"/>
      <c r="T404" s="28"/>
      <c r="U404" s="28"/>
      <c r="V404" s="28"/>
      <c r="W404" s="28"/>
      <c r="X404" s="28"/>
      <c r="Y404" s="28"/>
      <c r="Z404" s="28"/>
      <c r="AA404" s="28"/>
    </row>
    <row r="405" ht="18.75" customHeight="1">
      <c r="A405" s="28"/>
      <c r="B405" s="28"/>
      <c r="C405" s="28"/>
      <c r="D405" s="28"/>
      <c r="E405" s="28"/>
      <c r="F405" s="28"/>
      <c r="G405" s="28"/>
      <c r="H405" s="28"/>
      <c r="I405" s="28"/>
      <c r="J405" s="28"/>
      <c r="K405" s="28"/>
      <c r="L405" s="28"/>
      <c r="M405" s="33"/>
      <c r="N405" s="33"/>
      <c r="O405" s="33"/>
      <c r="P405" s="33"/>
      <c r="Q405" s="28"/>
      <c r="R405" s="28"/>
      <c r="S405" s="28"/>
      <c r="T405" s="28"/>
      <c r="U405" s="28"/>
      <c r="V405" s="28"/>
      <c r="W405" s="28"/>
      <c r="X405" s="28"/>
      <c r="Y405" s="28"/>
      <c r="Z405" s="28"/>
      <c r="AA405" s="28"/>
    </row>
    <row r="406" ht="18.75" customHeight="1">
      <c r="A406" s="28"/>
      <c r="B406" s="28"/>
      <c r="C406" s="28"/>
      <c r="D406" s="28"/>
      <c r="E406" s="28"/>
      <c r="F406" s="28"/>
      <c r="G406" s="28"/>
      <c r="H406" s="28"/>
      <c r="I406" s="28"/>
      <c r="J406" s="28"/>
      <c r="K406" s="28"/>
      <c r="L406" s="28"/>
      <c r="M406" s="33"/>
      <c r="N406" s="33"/>
      <c r="O406" s="33"/>
      <c r="P406" s="33"/>
      <c r="Q406" s="28"/>
      <c r="R406" s="28"/>
      <c r="S406" s="28"/>
      <c r="T406" s="28"/>
      <c r="U406" s="28"/>
      <c r="V406" s="28"/>
      <c r="W406" s="28"/>
      <c r="X406" s="28"/>
      <c r="Y406" s="28"/>
      <c r="Z406" s="28"/>
      <c r="AA406" s="28"/>
    </row>
    <row r="407" ht="18.75" customHeight="1">
      <c r="A407" s="28"/>
      <c r="B407" s="28"/>
      <c r="C407" s="28"/>
      <c r="D407" s="28"/>
      <c r="E407" s="28"/>
      <c r="F407" s="28"/>
      <c r="G407" s="28"/>
      <c r="H407" s="28"/>
      <c r="I407" s="28"/>
      <c r="J407" s="28"/>
      <c r="K407" s="28"/>
      <c r="L407" s="28"/>
      <c r="M407" s="33"/>
      <c r="N407" s="33"/>
      <c r="O407" s="33"/>
      <c r="P407" s="33"/>
      <c r="Q407" s="28"/>
      <c r="R407" s="28"/>
      <c r="S407" s="28"/>
      <c r="T407" s="28"/>
      <c r="U407" s="28"/>
      <c r="V407" s="28"/>
      <c r="W407" s="28"/>
      <c r="X407" s="28"/>
      <c r="Y407" s="28"/>
      <c r="Z407" s="28"/>
      <c r="AA407" s="28"/>
    </row>
    <row r="408" ht="18.75" customHeight="1">
      <c r="A408" s="28"/>
      <c r="B408" s="28"/>
      <c r="C408" s="28"/>
      <c r="D408" s="28"/>
      <c r="E408" s="28"/>
      <c r="F408" s="28"/>
      <c r="G408" s="28"/>
      <c r="H408" s="28"/>
      <c r="I408" s="28"/>
      <c r="J408" s="28"/>
      <c r="K408" s="28"/>
      <c r="L408" s="28"/>
      <c r="M408" s="33"/>
      <c r="N408" s="33"/>
      <c r="O408" s="33"/>
      <c r="P408" s="33"/>
      <c r="Q408" s="28"/>
      <c r="R408" s="28"/>
      <c r="S408" s="28"/>
      <c r="T408" s="28"/>
      <c r="U408" s="28"/>
      <c r="V408" s="28"/>
      <c r="W408" s="28"/>
      <c r="X408" s="28"/>
      <c r="Y408" s="28"/>
      <c r="Z408" s="28"/>
      <c r="AA408" s="28"/>
    </row>
    <row r="409" ht="18.75" customHeight="1">
      <c r="A409" s="28"/>
      <c r="B409" s="28"/>
      <c r="C409" s="28"/>
      <c r="D409" s="28"/>
      <c r="E409" s="28"/>
      <c r="F409" s="28"/>
      <c r="G409" s="28"/>
      <c r="H409" s="28"/>
      <c r="I409" s="28"/>
      <c r="J409" s="28"/>
      <c r="K409" s="28"/>
      <c r="L409" s="28"/>
      <c r="M409" s="33"/>
      <c r="N409" s="33"/>
      <c r="O409" s="33"/>
      <c r="P409" s="33"/>
      <c r="Q409" s="28"/>
      <c r="R409" s="28"/>
      <c r="S409" s="28"/>
      <c r="T409" s="28"/>
      <c r="U409" s="28"/>
      <c r="V409" s="28"/>
      <c r="W409" s="28"/>
      <c r="X409" s="28"/>
      <c r="Y409" s="28"/>
      <c r="Z409" s="28"/>
      <c r="AA409" s="28"/>
    </row>
    <row r="410" ht="18.75" customHeight="1">
      <c r="A410" s="28"/>
      <c r="B410" s="28"/>
      <c r="C410" s="28"/>
      <c r="D410" s="28"/>
      <c r="E410" s="28"/>
      <c r="F410" s="28"/>
      <c r="G410" s="28"/>
      <c r="H410" s="28"/>
      <c r="I410" s="28"/>
      <c r="J410" s="28"/>
      <c r="K410" s="28"/>
      <c r="L410" s="28"/>
      <c r="M410" s="33"/>
      <c r="N410" s="33"/>
      <c r="O410" s="33"/>
      <c r="P410" s="33"/>
      <c r="Q410" s="28"/>
      <c r="R410" s="28"/>
      <c r="S410" s="28"/>
      <c r="T410" s="28"/>
      <c r="U410" s="28"/>
      <c r="V410" s="28"/>
      <c r="W410" s="28"/>
      <c r="X410" s="28"/>
      <c r="Y410" s="28"/>
      <c r="Z410" s="28"/>
      <c r="AA410" s="28"/>
    </row>
    <row r="411" ht="18.75" customHeight="1">
      <c r="A411" s="28"/>
      <c r="B411" s="28"/>
      <c r="C411" s="28"/>
      <c r="D411" s="28"/>
      <c r="E411" s="28"/>
      <c r="F411" s="28"/>
      <c r="G411" s="28"/>
      <c r="H411" s="28"/>
      <c r="I411" s="28"/>
      <c r="J411" s="28"/>
      <c r="K411" s="28"/>
      <c r="L411" s="28"/>
      <c r="M411" s="33"/>
      <c r="N411" s="33"/>
      <c r="O411" s="33"/>
      <c r="P411" s="33"/>
      <c r="Q411" s="28"/>
      <c r="R411" s="28"/>
      <c r="S411" s="28"/>
      <c r="T411" s="28"/>
      <c r="U411" s="28"/>
      <c r="V411" s="28"/>
      <c r="W411" s="28"/>
      <c r="X411" s="28"/>
      <c r="Y411" s="28"/>
      <c r="Z411" s="28"/>
      <c r="AA411" s="28"/>
    </row>
    <row r="412" ht="18.75" customHeight="1">
      <c r="A412" s="28"/>
      <c r="B412" s="28"/>
      <c r="C412" s="28"/>
      <c r="D412" s="28"/>
      <c r="E412" s="28"/>
      <c r="F412" s="28"/>
      <c r="G412" s="28"/>
      <c r="H412" s="28"/>
      <c r="I412" s="28"/>
      <c r="J412" s="28"/>
      <c r="K412" s="28"/>
      <c r="L412" s="28"/>
      <c r="M412" s="33"/>
      <c r="N412" s="33"/>
      <c r="O412" s="33"/>
      <c r="P412" s="33"/>
      <c r="Q412" s="28"/>
      <c r="R412" s="28"/>
      <c r="S412" s="28"/>
      <c r="T412" s="28"/>
      <c r="U412" s="28"/>
      <c r="V412" s="28"/>
      <c r="W412" s="28"/>
      <c r="X412" s="28"/>
      <c r="Y412" s="28"/>
      <c r="Z412" s="28"/>
      <c r="AA412" s="28"/>
    </row>
    <row r="413" ht="18.75" customHeight="1">
      <c r="A413" s="28"/>
      <c r="B413" s="28"/>
      <c r="C413" s="28"/>
      <c r="D413" s="28"/>
      <c r="E413" s="28"/>
      <c r="F413" s="28"/>
      <c r="G413" s="28"/>
      <c r="H413" s="28"/>
      <c r="I413" s="28"/>
      <c r="J413" s="28"/>
      <c r="K413" s="28"/>
      <c r="L413" s="28"/>
      <c r="M413" s="33"/>
      <c r="N413" s="33"/>
      <c r="O413" s="33"/>
      <c r="P413" s="33"/>
      <c r="Q413" s="28"/>
      <c r="R413" s="28"/>
      <c r="S413" s="28"/>
      <c r="T413" s="28"/>
      <c r="U413" s="28"/>
      <c r="V413" s="28"/>
      <c r="W413" s="28"/>
      <c r="X413" s="28"/>
      <c r="Y413" s="28"/>
      <c r="Z413" s="28"/>
      <c r="AA413" s="28"/>
    </row>
    <row r="414" ht="18.75" customHeight="1">
      <c r="A414" s="28"/>
      <c r="B414" s="28"/>
      <c r="C414" s="28"/>
      <c r="D414" s="28"/>
      <c r="E414" s="28"/>
      <c r="F414" s="28"/>
      <c r="G414" s="28"/>
      <c r="H414" s="28"/>
      <c r="I414" s="28"/>
      <c r="J414" s="28"/>
      <c r="K414" s="28"/>
      <c r="L414" s="28"/>
      <c r="M414" s="33"/>
      <c r="N414" s="33"/>
      <c r="O414" s="33"/>
      <c r="P414" s="33"/>
      <c r="Q414" s="28"/>
      <c r="R414" s="28"/>
      <c r="S414" s="28"/>
      <c r="T414" s="28"/>
      <c r="U414" s="28"/>
      <c r="V414" s="28"/>
      <c r="W414" s="28"/>
      <c r="X414" s="28"/>
      <c r="Y414" s="28"/>
      <c r="Z414" s="28"/>
      <c r="AA414" s="28"/>
    </row>
    <row r="415" ht="18.75" customHeight="1">
      <c r="A415" s="28"/>
      <c r="B415" s="28"/>
      <c r="C415" s="28"/>
      <c r="D415" s="28"/>
      <c r="E415" s="28"/>
      <c r="F415" s="28"/>
      <c r="G415" s="28"/>
      <c r="H415" s="28"/>
      <c r="I415" s="28"/>
      <c r="J415" s="28"/>
      <c r="K415" s="28"/>
      <c r="L415" s="28"/>
      <c r="M415" s="33"/>
      <c r="N415" s="33"/>
      <c r="O415" s="33"/>
      <c r="P415" s="33"/>
      <c r="Q415" s="28"/>
      <c r="R415" s="28"/>
      <c r="S415" s="28"/>
      <c r="T415" s="28"/>
      <c r="U415" s="28"/>
      <c r="V415" s="28"/>
      <c r="W415" s="28"/>
      <c r="X415" s="28"/>
      <c r="Y415" s="28"/>
      <c r="Z415" s="28"/>
      <c r="AA415" s="28"/>
    </row>
    <row r="416" ht="18.75" customHeight="1">
      <c r="A416" s="28"/>
      <c r="B416" s="28"/>
      <c r="C416" s="28"/>
      <c r="D416" s="28"/>
      <c r="E416" s="28"/>
      <c r="F416" s="28"/>
      <c r="G416" s="28"/>
      <c r="H416" s="28"/>
      <c r="I416" s="28"/>
      <c r="J416" s="28"/>
      <c r="K416" s="28"/>
      <c r="L416" s="28"/>
      <c r="M416" s="33"/>
      <c r="N416" s="33"/>
      <c r="O416" s="33"/>
      <c r="P416" s="33"/>
      <c r="Q416" s="28"/>
      <c r="R416" s="28"/>
      <c r="S416" s="28"/>
      <c r="T416" s="28"/>
      <c r="U416" s="28"/>
      <c r="V416" s="28"/>
      <c r="W416" s="28"/>
      <c r="X416" s="28"/>
      <c r="Y416" s="28"/>
      <c r="Z416" s="28"/>
      <c r="AA416" s="28"/>
    </row>
    <row r="417" ht="18.75" customHeight="1">
      <c r="A417" s="28"/>
      <c r="B417" s="28"/>
      <c r="C417" s="28"/>
      <c r="D417" s="28"/>
      <c r="E417" s="28"/>
      <c r="F417" s="28"/>
      <c r="G417" s="28"/>
      <c r="H417" s="28"/>
      <c r="I417" s="28"/>
      <c r="J417" s="28"/>
      <c r="K417" s="28"/>
      <c r="L417" s="28"/>
      <c r="M417" s="33"/>
      <c r="N417" s="33"/>
      <c r="O417" s="33"/>
      <c r="P417" s="33"/>
      <c r="Q417" s="28"/>
      <c r="R417" s="28"/>
      <c r="S417" s="28"/>
      <c r="T417" s="28"/>
      <c r="U417" s="28"/>
      <c r="V417" s="28"/>
      <c r="W417" s="28"/>
      <c r="X417" s="28"/>
      <c r="Y417" s="28"/>
      <c r="Z417" s="28"/>
      <c r="AA417" s="28"/>
    </row>
    <row r="418" ht="18.75" customHeight="1">
      <c r="A418" s="28"/>
      <c r="B418" s="28"/>
      <c r="C418" s="28"/>
      <c r="D418" s="28"/>
      <c r="E418" s="28"/>
      <c r="F418" s="28"/>
      <c r="G418" s="28"/>
      <c r="H418" s="28"/>
      <c r="I418" s="28"/>
      <c r="J418" s="28"/>
      <c r="K418" s="28"/>
      <c r="L418" s="28"/>
      <c r="M418" s="33"/>
      <c r="N418" s="33"/>
      <c r="O418" s="33"/>
      <c r="P418" s="33"/>
      <c r="Q418" s="28"/>
      <c r="R418" s="28"/>
      <c r="S418" s="28"/>
      <c r="T418" s="28"/>
      <c r="U418" s="28"/>
      <c r="V418" s="28"/>
      <c r="W418" s="28"/>
      <c r="X418" s="28"/>
      <c r="Y418" s="28"/>
      <c r="Z418" s="28"/>
      <c r="AA418" s="28"/>
    </row>
    <row r="419" ht="18.75" customHeight="1">
      <c r="A419" s="28"/>
      <c r="B419" s="28"/>
      <c r="C419" s="28"/>
      <c r="D419" s="28"/>
      <c r="E419" s="28"/>
      <c r="F419" s="28"/>
      <c r="G419" s="28"/>
      <c r="H419" s="28"/>
      <c r="I419" s="28"/>
      <c r="J419" s="28"/>
      <c r="K419" s="28"/>
      <c r="L419" s="28"/>
      <c r="M419" s="33"/>
      <c r="N419" s="33"/>
      <c r="O419" s="33"/>
      <c r="P419" s="33"/>
      <c r="Q419" s="28"/>
      <c r="R419" s="28"/>
      <c r="S419" s="28"/>
      <c r="T419" s="28"/>
      <c r="U419" s="28"/>
      <c r="V419" s="28"/>
      <c r="W419" s="28"/>
      <c r="X419" s="28"/>
      <c r="Y419" s="28"/>
      <c r="Z419" s="28"/>
      <c r="AA419" s="28"/>
    </row>
    <row r="420" ht="18.75" customHeight="1">
      <c r="A420" s="28"/>
      <c r="B420" s="28"/>
      <c r="C420" s="28"/>
      <c r="D420" s="28"/>
      <c r="E420" s="28"/>
      <c r="F420" s="28"/>
      <c r="G420" s="28"/>
      <c r="H420" s="28"/>
      <c r="I420" s="28"/>
      <c r="J420" s="28"/>
      <c r="K420" s="28"/>
      <c r="L420" s="28"/>
      <c r="M420" s="33"/>
      <c r="N420" s="33"/>
      <c r="O420" s="33"/>
      <c r="P420" s="33"/>
      <c r="Q420" s="28"/>
      <c r="R420" s="28"/>
      <c r="S420" s="28"/>
      <c r="T420" s="28"/>
      <c r="U420" s="28"/>
      <c r="V420" s="28"/>
      <c r="W420" s="28"/>
      <c r="X420" s="28"/>
      <c r="Y420" s="28"/>
      <c r="Z420" s="28"/>
      <c r="AA420" s="28"/>
    </row>
    <row r="421" ht="18.75" customHeight="1">
      <c r="A421" s="28"/>
      <c r="B421" s="28"/>
      <c r="C421" s="28"/>
      <c r="D421" s="28"/>
      <c r="E421" s="28"/>
      <c r="F421" s="28"/>
      <c r="G421" s="28"/>
      <c r="H421" s="28"/>
      <c r="I421" s="28"/>
      <c r="J421" s="28"/>
      <c r="K421" s="28"/>
      <c r="L421" s="28"/>
      <c r="M421" s="33"/>
      <c r="N421" s="33"/>
      <c r="O421" s="33"/>
      <c r="P421" s="33"/>
      <c r="Q421" s="28"/>
      <c r="R421" s="28"/>
      <c r="S421" s="28"/>
      <c r="T421" s="28"/>
      <c r="U421" s="28"/>
      <c r="V421" s="28"/>
      <c r="W421" s="28"/>
      <c r="X421" s="28"/>
      <c r="Y421" s="28"/>
      <c r="Z421" s="28"/>
      <c r="AA421" s="28"/>
    </row>
    <row r="422" ht="18.75" customHeight="1">
      <c r="A422" s="28"/>
      <c r="B422" s="28"/>
      <c r="C422" s="28"/>
      <c r="D422" s="28"/>
      <c r="E422" s="28"/>
      <c r="F422" s="28"/>
      <c r="G422" s="28"/>
      <c r="H422" s="28"/>
      <c r="I422" s="28"/>
      <c r="J422" s="28"/>
      <c r="K422" s="28"/>
      <c r="L422" s="28"/>
      <c r="M422" s="33"/>
      <c r="N422" s="33"/>
      <c r="O422" s="33"/>
      <c r="P422" s="33"/>
      <c r="Q422" s="28"/>
      <c r="R422" s="28"/>
      <c r="S422" s="28"/>
      <c r="T422" s="28"/>
      <c r="U422" s="28"/>
      <c r="V422" s="28"/>
      <c r="W422" s="28"/>
      <c r="X422" s="28"/>
      <c r="Y422" s="28"/>
      <c r="Z422" s="28"/>
      <c r="AA422" s="28"/>
    </row>
    <row r="423" ht="18.75" customHeight="1">
      <c r="A423" s="28"/>
      <c r="B423" s="28"/>
      <c r="C423" s="28"/>
      <c r="D423" s="28"/>
      <c r="E423" s="28"/>
      <c r="F423" s="28"/>
      <c r="G423" s="28"/>
      <c r="H423" s="28"/>
      <c r="I423" s="28"/>
      <c r="J423" s="28"/>
      <c r="K423" s="28"/>
      <c r="L423" s="28"/>
      <c r="M423" s="33"/>
      <c r="N423" s="33"/>
      <c r="O423" s="33"/>
      <c r="P423" s="33"/>
      <c r="Q423" s="28"/>
      <c r="R423" s="28"/>
      <c r="S423" s="28"/>
      <c r="T423" s="28"/>
      <c r="U423" s="28"/>
      <c r="V423" s="28"/>
      <c r="W423" s="28"/>
      <c r="X423" s="28"/>
      <c r="Y423" s="28"/>
      <c r="Z423" s="28"/>
      <c r="AA423" s="28"/>
    </row>
    <row r="424" ht="18.75" customHeight="1">
      <c r="A424" s="28"/>
      <c r="B424" s="28"/>
      <c r="C424" s="28"/>
      <c r="D424" s="28"/>
      <c r="E424" s="28"/>
      <c r="F424" s="28"/>
      <c r="G424" s="28"/>
      <c r="H424" s="28"/>
      <c r="I424" s="28"/>
      <c r="J424" s="28"/>
      <c r="K424" s="28"/>
      <c r="L424" s="28"/>
      <c r="M424" s="33"/>
      <c r="N424" s="33"/>
      <c r="O424" s="33"/>
      <c r="P424" s="33"/>
      <c r="Q424" s="28"/>
      <c r="R424" s="28"/>
      <c r="S424" s="28"/>
      <c r="T424" s="28"/>
      <c r="U424" s="28"/>
      <c r="V424" s="28"/>
      <c r="W424" s="28"/>
      <c r="X424" s="28"/>
      <c r="Y424" s="28"/>
      <c r="Z424" s="28"/>
      <c r="AA424" s="28"/>
    </row>
    <row r="425" ht="18.75" customHeight="1">
      <c r="A425" s="28"/>
      <c r="B425" s="28"/>
      <c r="C425" s="28"/>
      <c r="D425" s="28"/>
      <c r="E425" s="28"/>
      <c r="F425" s="28"/>
      <c r="G425" s="28"/>
      <c r="H425" s="28"/>
      <c r="I425" s="28"/>
      <c r="J425" s="28"/>
      <c r="K425" s="28"/>
      <c r="L425" s="28"/>
      <c r="M425" s="33"/>
      <c r="N425" s="33"/>
      <c r="O425" s="33"/>
      <c r="P425" s="33"/>
      <c r="Q425" s="28"/>
      <c r="R425" s="28"/>
      <c r="S425" s="28"/>
      <c r="T425" s="28"/>
      <c r="U425" s="28"/>
      <c r="V425" s="28"/>
      <c r="W425" s="28"/>
      <c r="X425" s="28"/>
      <c r="Y425" s="28"/>
      <c r="Z425" s="28"/>
      <c r="AA425" s="28"/>
    </row>
    <row r="426" ht="18.75" customHeight="1">
      <c r="A426" s="28"/>
      <c r="B426" s="28"/>
      <c r="C426" s="28"/>
      <c r="D426" s="28"/>
      <c r="E426" s="28"/>
      <c r="F426" s="28"/>
      <c r="G426" s="28"/>
      <c r="H426" s="28"/>
      <c r="I426" s="28"/>
      <c r="J426" s="28"/>
      <c r="K426" s="28"/>
      <c r="L426" s="28"/>
      <c r="M426" s="33"/>
      <c r="N426" s="33"/>
      <c r="O426" s="33"/>
      <c r="P426" s="33"/>
      <c r="Q426" s="28"/>
      <c r="R426" s="28"/>
      <c r="S426" s="28"/>
      <c r="T426" s="28"/>
      <c r="U426" s="28"/>
      <c r="V426" s="28"/>
      <c r="W426" s="28"/>
      <c r="X426" s="28"/>
      <c r="Y426" s="28"/>
      <c r="Z426" s="28"/>
      <c r="AA426" s="28"/>
    </row>
    <row r="427" ht="18.75" customHeight="1">
      <c r="A427" s="28"/>
      <c r="B427" s="28"/>
      <c r="C427" s="28"/>
      <c r="D427" s="28"/>
      <c r="E427" s="28"/>
      <c r="F427" s="28"/>
      <c r="G427" s="28"/>
      <c r="H427" s="28"/>
      <c r="I427" s="28"/>
      <c r="J427" s="28"/>
      <c r="K427" s="28"/>
      <c r="L427" s="28"/>
      <c r="M427" s="33"/>
      <c r="N427" s="33"/>
      <c r="O427" s="33"/>
      <c r="P427" s="33"/>
      <c r="Q427" s="28"/>
      <c r="R427" s="28"/>
      <c r="S427" s="28"/>
      <c r="T427" s="28"/>
      <c r="U427" s="28"/>
      <c r="V427" s="28"/>
      <c r="W427" s="28"/>
      <c r="X427" s="28"/>
      <c r="Y427" s="28"/>
      <c r="Z427" s="28"/>
      <c r="AA427" s="28"/>
    </row>
    <row r="428" ht="18.75" customHeight="1">
      <c r="A428" s="28"/>
      <c r="B428" s="28"/>
      <c r="C428" s="28"/>
      <c r="D428" s="28"/>
      <c r="E428" s="28"/>
      <c r="F428" s="28"/>
      <c r="G428" s="28"/>
      <c r="H428" s="28"/>
      <c r="I428" s="28"/>
      <c r="J428" s="28"/>
      <c r="K428" s="28"/>
      <c r="L428" s="28"/>
      <c r="M428" s="33"/>
      <c r="N428" s="33"/>
      <c r="O428" s="33"/>
      <c r="P428" s="33"/>
      <c r="Q428" s="28"/>
      <c r="R428" s="28"/>
      <c r="S428" s="28"/>
      <c r="T428" s="28"/>
      <c r="U428" s="28"/>
      <c r="V428" s="28"/>
      <c r="W428" s="28"/>
      <c r="X428" s="28"/>
      <c r="Y428" s="28"/>
      <c r="Z428" s="28"/>
      <c r="AA428" s="28"/>
    </row>
    <row r="429" ht="18.75" customHeight="1">
      <c r="A429" s="28"/>
      <c r="B429" s="28"/>
      <c r="C429" s="28"/>
      <c r="D429" s="28"/>
      <c r="E429" s="28"/>
      <c r="F429" s="28"/>
      <c r="G429" s="28"/>
      <c r="H429" s="28"/>
      <c r="I429" s="28"/>
      <c r="J429" s="28"/>
      <c r="K429" s="28"/>
      <c r="L429" s="28"/>
      <c r="M429" s="33"/>
      <c r="N429" s="33"/>
      <c r="O429" s="33"/>
      <c r="P429" s="33"/>
      <c r="Q429" s="28"/>
      <c r="R429" s="28"/>
      <c r="S429" s="28"/>
      <c r="T429" s="28"/>
      <c r="U429" s="28"/>
      <c r="V429" s="28"/>
      <c r="W429" s="28"/>
      <c r="X429" s="28"/>
      <c r="Y429" s="28"/>
      <c r="Z429" s="28"/>
      <c r="AA429" s="28"/>
    </row>
    <row r="430" ht="18.75" customHeight="1">
      <c r="A430" s="28"/>
      <c r="B430" s="28"/>
      <c r="C430" s="28"/>
      <c r="D430" s="28"/>
      <c r="E430" s="28"/>
      <c r="F430" s="28"/>
      <c r="G430" s="28"/>
      <c r="H430" s="28"/>
      <c r="I430" s="28"/>
      <c r="J430" s="28"/>
      <c r="K430" s="28"/>
      <c r="L430" s="28"/>
      <c r="M430" s="33"/>
      <c r="N430" s="33"/>
      <c r="O430" s="33"/>
      <c r="P430" s="33"/>
      <c r="Q430" s="28"/>
      <c r="R430" s="28"/>
      <c r="S430" s="28"/>
      <c r="T430" s="28"/>
      <c r="U430" s="28"/>
      <c r="V430" s="28"/>
      <c r="W430" s="28"/>
      <c r="X430" s="28"/>
      <c r="Y430" s="28"/>
      <c r="Z430" s="28"/>
      <c r="AA430" s="28"/>
    </row>
    <row r="431" ht="18.75" customHeight="1">
      <c r="A431" s="28"/>
      <c r="B431" s="28"/>
      <c r="C431" s="28"/>
      <c r="D431" s="28"/>
      <c r="E431" s="28"/>
      <c r="F431" s="28"/>
      <c r="G431" s="28"/>
      <c r="H431" s="28"/>
      <c r="I431" s="28"/>
      <c r="J431" s="28"/>
      <c r="K431" s="28"/>
      <c r="L431" s="28"/>
      <c r="M431" s="33"/>
      <c r="N431" s="33"/>
      <c r="O431" s="33"/>
      <c r="P431" s="33"/>
      <c r="Q431" s="28"/>
      <c r="R431" s="28"/>
      <c r="S431" s="28"/>
      <c r="T431" s="28"/>
      <c r="U431" s="28"/>
      <c r="V431" s="28"/>
      <c r="W431" s="28"/>
      <c r="X431" s="28"/>
      <c r="Y431" s="28"/>
      <c r="Z431" s="28"/>
      <c r="AA431" s="28"/>
    </row>
    <row r="432" ht="18.75" customHeight="1">
      <c r="A432" s="28"/>
      <c r="B432" s="28"/>
      <c r="C432" s="28"/>
      <c r="D432" s="28"/>
      <c r="E432" s="28"/>
      <c r="F432" s="28"/>
      <c r="G432" s="28"/>
      <c r="H432" s="28"/>
      <c r="I432" s="28"/>
      <c r="J432" s="28"/>
      <c r="K432" s="28"/>
      <c r="L432" s="28"/>
      <c r="M432" s="33"/>
      <c r="N432" s="33"/>
      <c r="O432" s="33"/>
      <c r="P432" s="33"/>
      <c r="Q432" s="28"/>
      <c r="R432" s="28"/>
      <c r="S432" s="28"/>
      <c r="T432" s="28"/>
      <c r="U432" s="28"/>
      <c r="V432" s="28"/>
      <c r="W432" s="28"/>
      <c r="X432" s="28"/>
      <c r="Y432" s="28"/>
      <c r="Z432" s="28"/>
      <c r="AA432" s="28"/>
    </row>
    <row r="433" ht="18.75" customHeight="1">
      <c r="A433" s="28"/>
      <c r="B433" s="28"/>
      <c r="C433" s="28"/>
      <c r="D433" s="28"/>
      <c r="E433" s="28"/>
      <c r="F433" s="28"/>
      <c r="G433" s="28"/>
      <c r="H433" s="28"/>
      <c r="I433" s="28"/>
      <c r="J433" s="28"/>
      <c r="K433" s="28"/>
      <c r="L433" s="28"/>
      <c r="M433" s="33"/>
      <c r="N433" s="33"/>
      <c r="O433" s="33"/>
      <c r="P433" s="33"/>
      <c r="Q433" s="28"/>
      <c r="R433" s="28"/>
      <c r="S433" s="28"/>
      <c r="T433" s="28"/>
      <c r="U433" s="28"/>
      <c r="V433" s="28"/>
      <c r="W433" s="28"/>
      <c r="X433" s="28"/>
      <c r="Y433" s="28"/>
      <c r="Z433" s="28"/>
      <c r="AA433" s="28"/>
    </row>
    <row r="434" ht="18.75" customHeight="1">
      <c r="A434" s="28"/>
      <c r="B434" s="28"/>
      <c r="C434" s="28"/>
      <c r="D434" s="28"/>
      <c r="E434" s="28"/>
      <c r="F434" s="28"/>
      <c r="G434" s="28"/>
      <c r="H434" s="28"/>
      <c r="I434" s="28"/>
      <c r="J434" s="28"/>
      <c r="K434" s="28"/>
      <c r="L434" s="28"/>
      <c r="M434" s="33"/>
      <c r="N434" s="33"/>
      <c r="O434" s="33"/>
      <c r="P434" s="33"/>
      <c r="Q434" s="28"/>
      <c r="R434" s="28"/>
      <c r="S434" s="28"/>
      <c r="T434" s="28"/>
      <c r="U434" s="28"/>
      <c r="V434" s="28"/>
      <c r="W434" s="28"/>
      <c r="X434" s="28"/>
      <c r="Y434" s="28"/>
      <c r="Z434" s="28"/>
      <c r="AA434" s="28"/>
    </row>
    <row r="435" ht="18.75" customHeight="1">
      <c r="A435" s="28"/>
      <c r="B435" s="28"/>
      <c r="C435" s="28"/>
      <c r="D435" s="28"/>
      <c r="E435" s="28"/>
      <c r="F435" s="28"/>
      <c r="G435" s="28"/>
      <c r="H435" s="28"/>
      <c r="I435" s="28"/>
      <c r="J435" s="28"/>
      <c r="K435" s="28"/>
      <c r="L435" s="28"/>
      <c r="M435" s="33"/>
      <c r="N435" s="33"/>
      <c r="O435" s="33"/>
      <c r="P435" s="33"/>
      <c r="Q435" s="28"/>
      <c r="R435" s="28"/>
      <c r="S435" s="28"/>
      <c r="T435" s="28"/>
      <c r="U435" s="28"/>
      <c r="V435" s="28"/>
      <c r="W435" s="28"/>
      <c r="X435" s="28"/>
      <c r="Y435" s="28"/>
      <c r="Z435" s="28"/>
      <c r="AA435" s="28"/>
    </row>
    <row r="436" ht="18.75" customHeight="1">
      <c r="A436" s="28"/>
      <c r="B436" s="28"/>
      <c r="C436" s="28"/>
      <c r="D436" s="28"/>
      <c r="E436" s="28"/>
      <c r="F436" s="28"/>
      <c r="G436" s="28"/>
      <c r="H436" s="28"/>
      <c r="I436" s="28"/>
      <c r="J436" s="28"/>
      <c r="K436" s="28"/>
      <c r="L436" s="28"/>
      <c r="M436" s="33"/>
      <c r="N436" s="33"/>
      <c r="O436" s="33"/>
      <c r="P436" s="33"/>
      <c r="Q436" s="28"/>
      <c r="R436" s="28"/>
      <c r="S436" s="28"/>
      <c r="T436" s="28"/>
      <c r="U436" s="28"/>
      <c r="V436" s="28"/>
      <c r="W436" s="28"/>
      <c r="X436" s="28"/>
      <c r="Y436" s="28"/>
      <c r="Z436" s="28"/>
      <c r="AA436" s="28"/>
    </row>
    <row r="437" ht="18.75" customHeight="1">
      <c r="A437" s="28"/>
      <c r="B437" s="28"/>
      <c r="C437" s="28"/>
      <c r="D437" s="28"/>
      <c r="E437" s="28"/>
      <c r="F437" s="28"/>
      <c r="G437" s="28"/>
      <c r="H437" s="28"/>
      <c r="I437" s="28"/>
      <c r="J437" s="28"/>
      <c r="K437" s="28"/>
      <c r="L437" s="28"/>
      <c r="M437" s="33"/>
      <c r="N437" s="33"/>
      <c r="O437" s="33"/>
      <c r="P437" s="33"/>
      <c r="Q437" s="28"/>
      <c r="R437" s="28"/>
      <c r="S437" s="28"/>
      <c r="T437" s="28"/>
      <c r="U437" s="28"/>
      <c r="V437" s="28"/>
      <c r="W437" s="28"/>
      <c r="X437" s="28"/>
      <c r="Y437" s="28"/>
      <c r="Z437" s="28"/>
      <c r="AA437" s="28"/>
    </row>
    <row r="438" ht="18.75" customHeight="1">
      <c r="A438" s="28"/>
      <c r="B438" s="28"/>
      <c r="C438" s="28"/>
      <c r="D438" s="28"/>
      <c r="E438" s="28"/>
      <c r="F438" s="28"/>
      <c r="G438" s="28"/>
      <c r="H438" s="28"/>
      <c r="I438" s="28"/>
      <c r="J438" s="28"/>
      <c r="K438" s="28"/>
      <c r="L438" s="28"/>
      <c r="M438" s="33"/>
      <c r="N438" s="33"/>
      <c r="O438" s="33"/>
      <c r="P438" s="33"/>
      <c r="Q438" s="28"/>
      <c r="R438" s="28"/>
      <c r="S438" s="28"/>
      <c r="T438" s="28"/>
      <c r="U438" s="28"/>
      <c r="V438" s="28"/>
      <c r="W438" s="28"/>
      <c r="X438" s="28"/>
      <c r="Y438" s="28"/>
      <c r="Z438" s="28"/>
      <c r="AA438" s="28"/>
    </row>
    <row r="439" ht="18.75" customHeight="1">
      <c r="A439" s="28"/>
      <c r="B439" s="28"/>
      <c r="C439" s="28"/>
      <c r="D439" s="28"/>
      <c r="E439" s="28"/>
      <c r="F439" s="28"/>
      <c r="G439" s="28"/>
      <c r="H439" s="28"/>
      <c r="I439" s="28"/>
      <c r="J439" s="28"/>
      <c r="K439" s="28"/>
      <c r="L439" s="28"/>
      <c r="M439" s="33"/>
      <c r="N439" s="33"/>
      <c r="O439" s="33"/>
      <c r="P439" s="33"/>
      <c r="Q439" s="28"/>
      <c r="R439" s="28"/>
      <c r="S439" s="28"/>
      <c r="T439" s="28"/>
      <c r="U439" s="28"/>
      <c r="V439" s="28"/>
      <c r="W439" s="28"/>
      <c r="X439" s="28"/>
      <c r="Y439" s="28"/>
      <c r="Z439" s="28"/>
      <c r="AA439" s="28"/>
    </row>
    <row r="440" ht="18.75" customHeight="1">
      <c r="A440" s="28"/>
      <c r="B440" s="28"/>
      <c r="C440" s="28"/>
      <c r="D440" s="28"/>
      <c r="E440" s="28"/>
      <c r="F440" s="28"/>
      <c r="G440" s="28"/>
      <c r="H440" s="28"/>
      <c r="I440" s="28"/>
      <c r="J440" s="28"/>
      <c r="K440" s="28"/>
      <c r="L440" s="28"/>
      <c r="M440" s="33"/>
      <c r="N440" s="33"/>
      <c r="O440" s="33"/>
      <c r="P440" s="33"/>
      <c r="Q440" s="28"/>
      <c r="R440" s="28"/>
      <c r="S440" s="28"/>
      <c r="T440" s="28"/>
      <c r="U440" s="28"/>
      <c r="V440" s="28"/>
      <c r="W440" s="28"/>
      <c r="X440" s="28"/>
      <c r="Y440" s="28"/>
      <c r="Z440" s="28"/>
      <c r="AA440" s="28"/>
    </row>
    <row r="441" ht="18.75" customHeight="1">
      <c r="A441" s="28"/>
      <c r="B441" s="28"/>
      <c r="C441" s="28"/>
      <c r="D441" s="28"/>
      <c r="E441" s="28"/>
      <c r="F441" s="28"/>
      <c r="G441" s="28"/>
      <c r="H441" s="28"/>
      <c r="I441" s="28"/>
      <c r="J441" s="28"/>
      <c r="K441" s="28"/>
      <c r="L441" s="28"/>
      <c r="M441" s="33"/>
      <c r="N441" s="33"/>
      <c r="O441" s="33"/>
      <c r="P441" s="33"/>
      <c r="Q441" s="28"/>
      <c r="R441" s="28"/>
      <c r="S441" s="28"/>
      <c r="T441" s="28"/>
      <c r="U441" s="28"/>
      <c r="V441" s="28"/>
      <c r="W441" s="28"/>
      <c r="X441" s="28"/>
      <c r="Y441" s="28"/>
      <c r="Z441" s="28"/>
      <c r="AA441" s="28"/>
    </row>
    <row r="442" ht="18.75" customHeight="1">
      <c r="A442" s="28"/>
      <c r="B442" s="28"/>
      <c r="C442" s="28"/>
      <c r="D442" s="28"/>
      <c r="E442" s="28"/>
      <c r="F442" s="28"/>
      <c r="G442" s="28"/>
      <c r="H442" s="28"/>
      <c r="I442" s="28"/>
      <c r="J442" s="28"/>
      <c r="K442" s="28"/>
      <c r="L442" s="28"/>
      <c r="M442" s="33"/>
      <c r="N442" s="33"/>
      <c r="O442" s="33"/>
      <c r="P442" s="33"/>
      <c r="Q442" s="28"/>
      <c r="R442" s="28"/>
      <c r="S442" s="28"/>
      <c r="T442" s="28"/>
      <c r="U442" s="28"/>
      <c r="V442" s="28"/>
      <c r="W442" s="28"/>
      <c r="X442" s="28"/>
      <c r="Y442" s="28"/>
      <c r="Z442" s="28"/>
      <c r="AA442" s="28"/>
    </row>
    <row r="443" ht="18.75" customHeight="1">
      <c r="A443" s="28"/>
      <c r="B443" s="28"/>
      <c r="C443" s="28"/>
      <c r="D443" s="28"/>
      <c r="E443" s="28"/>
      <c r="F443" s="28"/>
      <c r="G443" s="28"/>
      <c r="H443" s="28"/>
      <c r="I443" s="28"/>
      <c r="J443" s="28"/>
      <c r="K443" s="28"/>
      <c r="L443" s="28"/>
      <c r="M443" s="33"/>
      <c r="N443" s="33"/>
      <c r="O443" s="33"/>
      <c r="P443" s="33"/>
      <c r="Q443" s="28"/>
      <c r="R443" s="28"/>
      <c r="S443" s="28"/>
      <c r="T443" s="28"/>
      <c r="U443" s="28"/>
      <c r="V443" s="28"/>
      <c r="W443" s="28"/>
      <c r="X443" s="28"/>
      <c r="Y443" s="28"/>
      <c r="Z443" s="28"/>
      <c r="AA443" s="28"/>
    </row>
    <row r="444" ht="18.75" customHeight="1">
      <c r="A444" s="28"/>
      <c r="B444" s="28"/>
      <c r="C444" s="28"/>
      <c r="D444" s="28"/>
      <c r="E444" s="28"/>
      <c r="F444" s="28"/>
      <c r="G444" s="28"/>
      <c r="H444" s="28"/>
      <c r="I444" s="28"/>
      <c r="J444" s="28"/>
      <c r="K444" s="28"/>
      <c r="L444" s="28"/>
      <c r="M444" s="33"/>
      <c r="N444" s="33"/>
      <c r="O444" s="33"/>
      <c r="P444" s="33"/>
      <c r="Q444" s="28"/>
      <c r="R444" s="28"/>
      <c r="S444" s="28"/>
      <c r="T444" s="28"/>
      <c r="U444" s="28"/>
      <c r="V444" s="28"/>
      <c r="W444" s="28"/>
      <c r="X444" s="28"/>
      <c r="Y444" s="28"/>
      <c r="Z444" s="28"/>
      <c r="AA444" s="28"/>
    </row>
    <row r="445" ht="18.75" customHeight="1">
      <c r="A445" s="28"/>
      <c r="B445" s="28"/>
      <c r="C445" s="28"/>
      <c r="D445" s="28"/>
      <c r="E445" s="28"/>
      <c r="F445" s="28"/>
      <c r="G445" s="28"/>
      <c r="H445" s="28"/>
      <c r="I445" s="28"/>
      <c r="J445" s="28"/>
      <c r="K445" s="28"/>
      <c r="L445" s="28"/>
      <c r="M445" s="33"/>
      <c r="N445" s="33"/>
      <c r="O445" s="33"/>
      <c r="P445" s="33"/>
      <c r="Q445" s="28"/>
      <c r="R445" s="28"/>
      <c r="S445" s="28"/>
      <c r="T445" s="28"/>
      <c r="U445" s="28"/>
      <c r="V445" s="28"/>
      <c r="W445" s="28"/>
      <c r="X445" s="28"/>
      <c r="Y445" s="28"/>
      <c r="Z445" s="28"/>
      <c r="AA445" s="28"/>
    </row>
    <row r="446" ht="18.75" customHeight="1">
      <c r="A446" s="28"/>
      <c r="B446" s="28"/>
      <c r="C446" s="28"/>
      <c r="D446" s="28"/>
      <c r="E446" s="28"/>
      <c r="F446" s="28"/>
      <c r="G446" s="28"/>
      <c r="H446" s="28"/>
      <c r="I446" s="28"/>
      <c r="J446" s="28"/>
      <c r="K446" s="28"/>
      <c r="L446" s="28"/>
      <c r="M446" s="33"/>
      <c r="N446" s="33"/>
      <c r="O446" s="33"/>
      <c r="P446" s="33"/>
      <c r="Q446" s="28"/>
      <c r="R446" s="28"/>
      <c r="S446" s="28"/>
      <c r="T446" s="28"/>
      <c r="U446" s="28"/>
      <c r="V446" s="28"/>
      <c r="W446" s="28"/>
      <c r="X446" s="28"/>
      <c r="Y446" s="28"/>
      <c r="Z446" s="28"/>
      <c r="AA446" s="28"/>
    </row>
    <row r="447" ht="18.75" customHeight="1">
      <c r="A447" s="28"/>
      <c r="B447" s="28"/>
      <c r="C447" s="28"/>
      <c r="D447" s="28"/>
      <c r="E447" s="28"/>
      <c r="F447" s="28"/>
      <c r="G447" s="28"/>
      <c r="H447" s="28"/>
      <c r="I447" s="28"/>
      <c r="J447" s="28"/>
      <c r="K447" s="28"/>
      <c r="L447" s="28"/>
      <c r="M447" s="33"/>
      <c r="N447" s="33"/>
      <c r="O447" s="33"/>
      <c r="P447" s="33"/>
      <c r="Q447" s="28"/>
      <c r="R447" s="28"/>
      <c r="S447" s="28"/>
      <c r="T447" s="28"/>
      <c r="U447" s="28"/>
      <c r="V447" s="28"/>
      <c r="W447" s="28"/>
      <c r="X447" s="28"/>
      <c r="Y447" s="28"/>
      <c r="Z447" s="28"/>
      <c r="AA447" s="28"/>
    </row>
    <row r="448" ht="18.75" customHeight="1">
      <c r="A448" s="28"/>
      <c r="B448" s="28"/>
      <c r="C448" s="28"/>
      <c r="D448" s="28"/>
      <c r="E448" s="28"/>
      <c r="F448" s="28"/>
      <c r="G448" s="28"/>
      <c r="H448" s="28"/>
      <c r="I448" s="28"/>
      <c r="J448" s="28"/>
      <c r="K448" s="28"/>
      <c r="L448" s="28"/>
      <c r="M448" s="33"/>
      <c r="N448" s="33"/>
      <c r="O448" s="33"/>
      <c r="P448" s="33"/>
      <c r="Q448" s="28"/>
      <c r="R448" s="28"/>
      <c r="S448" s="28"/>
      <c r="T448" s="28"/>
      <c r="U448" s="28"/>
      <c r="V448" s="28"/>
      <c r="W448" s="28"/>
      <c r="X448" s="28"/>
      <c r="Y448" s="28"/>
      <c r="Z448" s="28"/>
      <c r="AA448" s="28"/>
    </row>
    <row r="449" ht="18.75" customHeight="1">
      <c r="A449" s="28"/>
      <c r="B449" s="28"/>
      <c r="C449" s="28"/>
      <c r="D449" s="28"/>
      <c r="E449" s="28"/>
      <c r="F449" s="28"/>
      <c r="G449" s="28"/>
      <c r="H449" s="28"/>
      <c r="I449" s="28"/>
      <c r="J449" s="28"/>
      <c r="K449" s="28"/>
      <c r="L449" s="28"/>
      <c r="M449" s="33"/>
      <c r="N449" s="33"/>
      <c r="O449" s="33"/>
      <c r="P449" s="33"/>
      <c r="Q449" s="28"/>
      <c r="R449" s="28"/>
      <c r="S449" s="28"/>
      <c r="T449" s="28"/>
      <c r="U449" s="28"/>
      <c r="V449" s="28"/>
      <c r="W449" s="28"/>
      <c r="X449" s="28"/>
      <c r="Y449" s="28"/>
      <c r="Z449" s="28"/>
      <c r="AA449" s="28"/>
    </row>
    <row r="450" ht="18.75" customHeight="1">
      <c r="A450" s="28"/>
      <c r="B450" s="28"/>
      <c r="C450" s="28"/>
      <c r="D450" s="28"/>
      <c r="E450" s="28"/>
      <c r="F450" s="28"/>
      <c r="G450" s="28"/>
      <c r="H450" s="28"/>
      <c r="I450" s="28"/>
      <c r="J450" s="28"/>
      <c r="K450" s="28"/>
      <c r="L450" s="28"/>
      <c r="M450" s="33"/>
      <c r="N450" s="33"/>
      <c r="O450" s="33"/>
      <c r="P450" s="33"/>
      <c r="Q450" s="28"/>
      <c r="R450" s="28"/>
      <c r="S450" s="28"/>
      <c r="T450" s="28"/>
      <c r="U450" s="28"/>
      <c r="V450" s="28"/>
      <c r="W450" s="28"/>
      <c r="X450" s="28"/>
      <c r="Y450" s="28"/>
      <c r="Z450" s="28"/>
      <c r="AA450" s="28"/>
    </row>
    <row r="451" ht="18.75" customHeight="1">
      <c r="A451" s="28"/>
      <c r="B451" s="28"/>
      <c r="C451" s="28"/>
      <c r="D451" s="28"/>
      <c r="E451" s="28"/>
      <c r="F451" s="28"/>
      <c r="G451" s="28"/>
      <c r="H451" s="28"/>
      <c r="I451" s="28"/>
      <c r="J451" s="28"/>
      <c r="K451" s="28"/>
      <c r="L451" s="28"/>
      <c r="M451" s="33"/>
      <c r="N451" s="33"/>
      <c r="O451" s="33"/>
      <c r="P451" s="33"/>
      <c r="Q451" s="28"/>
      <c r="R451" s="28"/>
      <c r="S451" s="28"/>
      <c r="T451" s="28"/>
      <c r="U451" s="28"/>
      <c r="V451" s="28"/>
      <c r="W451" s="28"/>
      <c r="X451" s="28"/>
      <c r="Y451" s="28"/>
      <c r="Z451" s="28"/>
      <c r="AA451" s="28"/>
    </row>
    <row r="452" ht="18.75" customHeight="1">
      <c r="A452" s="28"/>
      <c r="B452" s="28"/>
      <c r="C452" s="28"/>
      <c r="D452" s="28"/>
      <c r="E452" s="28"/>
      <c r="F452" s="28"/>
      <c r="G452" s="28"/>
      <c r="H452" s="28"/>
      <c r="I452" s="28"/>
      <c r="J452" s="28"/>
      <c r="K452" s="28"/>
      <c r="L452" s="28"/>
      <c r="M452" s="33"/>
      <c r="N452" s="33"/>
      <c r="O452" s="33"/>
      <c r="P452" s="33"/>
      <c r="Q452" s="28"/>
      <c r="R452" s="28"/>
      <c r="S452" s="28"/>
      <c r="T452" s="28"/>
      <c r="U452" s="28"/>
      <c r="V452" s="28"/>
      <c r="W452" s="28"/>
      <c r="X452" s="28"/>
      <c r="Y452" s="28"/>
      <c r="Z452" s="28"/>
      <c r="AA452" s="28"/>
    </row>
    <row r="453" ht="18.75" customHeight="1">
      <c r="A453" s="28"/>
      <c r="B453" s="28"/>
      <c r="C453" s="28"/>
      <c r="D453" s="28"/>
      <c r="E453" s="28"/>
      <c r="F453" s="28"/>
      <c r="G453" s="28"/>
      <c r="H453" s="28"/>
      <c r="I453" s="28"/>
      <c r="J453" s="28"/>
      <c r="K453" s="28"/>
      <c r="L453" s="28"/>
      <c r="M453" s="33"/>
      <c r="N453" s="33"/>
      <c r="O453" s="33"/>
      <c r="P453" s="33"/>
      <c r="Q453" s="28"/>
      <c r="R453" s="28"/>
      <c r="S453" s="28"/>
      <c r="T453" s="28"/>
      <c r="U453" s="28"/>
      <c r="V453" s="28"/>
      <c r="W453" s="28"/>
      <c r="X453" s="28"/>
      <c r="Y453" s="28"/>
      <c r="Z453" s="28"/>
      <c r="AA453" s="28"/>
    </row>
    <row r="454" ht="18.75" customHeight="1">
      <c r="A454" s="28"/>
      <c r="B454" s="28"/>
      <c r="C454" s="28"/>
      <c r="D454" s="28"/>
      <c r="E454" s="28"/>
      <c r="F454" s="28"/>
      <c r="G454" s="28"/>
      <c r="H454" s="28"/>
      <c r="I454" s="28"/>
      <c r="J454" s="28"/>
      <c r="K454" s="28"/>
      <c r="L454" s="28"/>
      <c r="M454" s="33"/>
      <c r="N454" s="33"/>
      <c r="O454" s="33"/>
      <c r="P454" s="33"/>
      <c r="Q454" s="28"/>
      <c r="R454" s="28"/>
      <c r="S454" s="28"/>
      <c r="T454" s="28"/>
      <c r="U454" s="28"/>
      <c r="V454" s="28"/>
      <c r="W454" s="28"/>
      <c r="X454" s="28"/>
      <c r="Y454" s="28"/>
      <c r="Z454" s="28"/>
      <c r="AA454" s="28"/>
    </row>
    <row r="455" ht="18.75" customHeight="1">
      <c r="A455" s="28"/>
      <c r="B455" s="28"/>
      <c r="C455" s="28"/>
      <c r="D455" s="28"/>
      <c r="E455" s="28"/>
      <c r="F455" s="28"/>
      <c r="G455" s="28"/>
      <c r="H455" s="28"/>
      <c r="I455" s="28"/>
      <c r="J455" s="28"/>
      <c r="K455" s="28"/>
      <c r="L455" s="28"/>
      <c r="M455" s="33"/>
      <c r="N455" s="33"/>
      <c r="O455" s="33"/>
      <c r="P455" s="33"/>
      <c r="Q455" s="28"/>
      <c r="R455" s="28"/>
      <c r="S455" s="28"/>
      <c r="T455" s="28"/>
      <c r="U455" s="28"/>
      <c r="V455" s="28"/>
      <c r="W455" s="28"/>
      <c r="X455" s="28"/>
      <c r="Y455" s="28"/>
      <c r="Z455" s="28"/>
      <c r="AA455" s="28"/>
    </row>
    <row r="456" ht="18.75" customHeight="1">
      <c r="A456" s="28"/>
      <c r="B456" s="28"/>
      <c r="C456" s="28"/>
      <c r="D456" s="28"/>
      <c r="E456" s="28"/>
      <c r="F456" s="28"/>
      <c r="G456" s="28"/>
      <c r="H456" s="28"/>
      <c r="I456" s="28"/>
      <c r="J456" s="28"/>
      <c r="K456" s="28"/>
      <c r="L456" s="28"/>
      <c r="M456" s="33"/>
      <c r="N456" s="33"/>
      <c r="O456" s="33"/>
      <c r="P456" s="33"/>
      <c r="Q456" s="28"/>
      <c r="R456" s="28"/>
      <c r="S456" s="28"/>
      <c r="T456" s="28"/>
      <c r="U456" s="28"/>
      <c r="V456" s="28"/>
      <c r="W456" s="28"/>
      <c r="X456" s="28"/>
      <c r="Y456" s="28"/>
      <c r="Z456" s="28"/>
      <c r="AA456" s="28"/>
    </row>
    <row r="457" ht="18.75" customHeight="1">
      <c r="A457" s="28"/>
      <c r="B457" s="28"/>
      <c r="C457" s="28"/>
      <c r="D457" s="28"/>
      <c r="E457" s="28"/>
      <c r="F457" s="28"/>
      <c r="G457" s="28"/>
      <c r="H457" s="28"/>
      <c r="I457" s="28"/>
      <c r="J457" s="28"/>
      <c r="K457" s="28"/>
      <c r="L457" s="28"/>
      <c r="M457" s="33"/>
      <c r="N457" s="33"/>
      <c r="O457" s="33"/>
      <c r="P457" s="33"/>
      <c r="Q457" s="28"/>
      <c r="R457" s="28"/>
      <c r="S457" s="28"/>
      <c r="T457" s="28"/>
      <c r="U457" s="28"/>
      <c r="V457" s="28"/>
      <c r="W457" s="28"/>
      <c r="X457" s="28"/>
      <c r="Y457" s="28"/>
      <c r="Z457" s="28"/>
      <c r="AA457" s="28"/>
    </row>
    <row r="458" ht="18.75" customHeight="1">
      <c r="A458" s="28"/>
      <c r="B458" s="28"/>
      <c r="C458" s="28"/>
      <c r="D458" s="28"/>
      <c r="E458" s="28"/>
      <c r="F458" s="28"/>
      <c r="G458" s="28"/>
      <c r="H458" s="28"/>
      <c r="I458" s="28"/>
      <c r="J458" s="28"/>
      <c r="K458" s="28"/>
      <c r="L458" s="28"/>
      <c r="M458" s="33"/>
      <c r="N458" s="33"/>
      <c r="O458" s="33"/>
      <c r="P458" s="33"/>
      <c r="Q458" s="28"/>
      <c r="R458" s="28"/>
      <c r="S458" s="28"/>
      <c r="T458" s="28"/>
      <c r="U458" s="28"/>
      <c r="V458" s="28"/>
      <c r="W458" s="28"/>
      <c r="X458" s="28"/>
      <c r="Y458" s="28"/>
      <c r="Z458" s="28"/>
      <c r="AA458" s="28"/>
    </row>
    <row r="459" ht="18.75" customHeight="1">
      <c r="A459" s="28"/>
      <c r="B459" s="28"/>
      <c r="C459" s="28"/>
      <c r="D459" s="28"/>
      <c r="E459" s="28"/>
      <c r="F459" s="28"/>
      <c r="G459" s="28"/>
      <c r="H459" s="28"/>
      <c r="I459" s="28"/>
      <c r="J459" s="28"/>
      <c r="K459" s="28"/>
      <c r="L459" s="28"/>
      <c r="M459" s="33"/>
      <c r="N459" s="33"/>
      <c r="O459" s="33"/>
      <c r="P459" s="33"/>
      <c r="Q459" s="28"/>
      <c r="R459" s="28"/>
      <c r="S459" s="28"/>
      <c r="T459" s="28"/>
      <c r="U459" s="28"/>
      <c r="V459" s="28"/>
      <c r="W459" s="28"/>
      <c r="X459" s="28"/>
      <c r="Y459" s="28"/>
      <c r="Z459" s="28"/>
      <c r="AA459" s="28"/>
    </row>
    <row r="460" ht="18.75" customHeight="1">
      <c r="A460" s="28"/>
      <c r="B460" s="28"/>
      <c r="C460" s="28"/>
      <c r="D460" s="28"/>
      <c r="E460" s="28"/>
      <c r="F460" s="28"/>
      <c r="G460" s="28"/>
      <c r="H460" s="28"/>
      <c r="I460" s="28"/>
      <c r="J460" s="28"/>
      <c r="K460" s="28"/>
      <c r="L460" s="28"/>
      <c r="M460" s="33"/>
      <c r="N460" s="33"/>
      <c r="O460" s="33"/>
      <c r="P460" s="33"/>
      <c r="Q460" s="28"/>
      <c r="R460" s="28"/>
      <c r="S460" s="28"/>
      <c r="T460" s="28"/>
      <c r="U460" s="28"/>
      <c r="V460" s="28"/>
      <c r="W460" s="28"/>
      <c r="X460" s="28"/>
      <c r="Y460" s="28"/>
      <c r="Z460" s="28"/>
      <c r="AA460" s="28"/>
    </row>
    <row r="461" ht="18.75" customHeight="1">
      <c r="A461" s="28"/>
      <c r="B461" s="28"/>
      <c r="C461" s="28"/>
      <c r="D461" s="28"/>
      <c r="E461" s="28"/>
      <c r="F461" s="28"/>
      <c r="G461" s="28"/>
      <c r="H461" s="28"/>
      <c r="I461" s="28"/>
      <c r="J461" s="28"/>
      <c r="K461" s="28"/>
      <c r="L461" s="28"/>
      <c r="M461" s="33"/>
      <c r="N461" s="33"/>
      <c r="O461" s="33"/>
      <c r="P461" s="33"/>
      <c r="Q461" s="28"/>
      <c r="R461" s="28"/>
      <c r="S461" s="28"/>
      <c r="T461" s="28"/>
      <c r="U461" s="28"/>
      <c r="V461" s="28"/>
      <c r="W461" s="28"/>
      <c r="X461" s="28"/>
      <c r="Y461" s="28"/>
      <c r="Z461" s="28"/>
      <c r="AA461" s="28"/>
    </row>
    <row r="462" ht="18.75" customHeight="1">
      <c r="A462" s="28"/>
      <c r="B462" s="28"/>
      <c r="C462" s="28"/>
      <c r="D462" s="28"/>
      <c r="E462" s="28"/>
      <c r="F462" s="28"/>
      <c r="G462" s="28"/>
      <c r="H462" s="28"/>
      <c r="I462" s="28"/>
      <c r="J462" s="28"/>
      <c r="K462" s="28"/>
      <c r="L462" s="28"/>
      <c r="M462" s="33"/>
      <c r="N462" s="33"/>
      <c r="O462" s="33"/>
      <c r="P462" s="33"/>
      <c r="Q462" s="28"/>
      <c r="R462" s="28"/>
      <c r="S462" s="28"/>
      <c r="T462" s="28"/>
      <c r="U462" s="28"/>
      <c r="V462" s="28"/>
      <c r="W462" s="28"/>
      <c r="X462" s="28"/>
      <c r="Y462" s="28"/>
      <c r="Z462" s="28"/>
      <c r="AA462" s="28"/>
    </row>
    <row r="463" ht="18.75" customHeight="1">
      <c r="A463" s="28"/>
      <c r="B463" s="28"/>
      <c r="C463" s="28"/>
      <c r="D463" s="28"/>
      <c r="E463" s="28"/>
      <c r="F463" s="28"/>
      <c r="G463" s="28"/>
      <c r="H463" s="28"/>
      <c r="I463" s="28"/>
      <c r="J463" s="28"/>
      <c r="K463" s="28"/>
      <c r="L463" s="28"/>
      <c r="M463" s="33"/>
      <c r="N463" s="33"/>
      <c r="O463" s="33"/>
      <c r="P463" s="33"/>
      <c r="Q463" s="28"/>
      <c r="R463" s="28"/>
      <c r="S463" s="28"/>
      <c r="T463" s="28"/>
      <c r="U463" s="28"/>
      <c r="V463" s="28"/>
      <c r="W463" s="28"/>
      <c r="X463" s="28"/>
      <c r="Y463" s="28"/>
      <c r="Z463" s="28"/>
      <c r="AA463" s="28"/>
    </row>
    <row r="464" ht="18.75" customHeight="1">
      <c r="A464" s="28"/>
      <c r="B464" s="28"/>
      <c r="C464" s="28"/>
      <c r="D464" s="28"/>
      <c r="E464" s="28"/>
      <c r="F464" s="28"/>
      <c r="G464" s="28"/>
      <c r="H464" s="28"/>
      <c r="I464" s="28"/>
      <c r="J464" s="28"/>
      <c r="K464" s="28"/>
      <c r="L464" s="28"/>
      <c r="M464" s="33"/>
      <c r="N464" s="33"/>
      <c r="O464" s="33"/>
      <c r="P464" s="33"/>
      <c r="Q464" s="28"/>
      <c r="R464" s="28"/>
      <c r="S464" s="28"/>
      <c r="T464" s="28"/>
      <c r="U464" s="28"/>
      <c r="V464" s="28"/>
      <c r="W464" s="28"/>
      <c r="X464" s="28"/>
      <c r="Y464" s="28"/>
      <c r="Z464" s="28"/>
      <c r="AA464" s="28"/>
    </row>
    <row r="465" ht="18.75" customHeight="1">
      <c r="A465" s="28"/>
      <c r="B465" s="28"/>
      <c r="C465" s="28"/>
      <c r="D465" s="28"/>
      <c r="E465" s="28"/>
      <c r="F465" s="28"/>
      <c r="G465" s="28"/>
      <c r="H465" s="28"/>
      <c r="I465" s="28"/>
      <c r="J465" s="28"/>
      <c r="K465" s="28"/>
      <c r="L465" s="28"/>
      <c r="M465" s="33"/>
      <c r="N465" s="33"/>
      <c r="O465" s="33"/>
      <c r="P465" s="33"/>
      <c r="Q465" s="28"/>
      <c r="R465" s="28"/>
      <c r="S465" s="28"/>
      <c r="T465" s="28"/>
      <c r="U465" s="28"/>
      <c r="V465" s="28"/>
      <c r="W465" s="28"/>
      <c r="X465" s="28"/>
      <c r="Y465" s="28"/>
      <c r="Z465" s="28"/>
      <c r="AA465" s="28"/>
    </row>
    <row r="466" ht="18.75" customHeight="1">
      <c r="A466" s="28"/>
      <c r="B466" s="28"/>
      <c r="C466" s="28"/>
      <c r="D466" s="28"/>
      <c r="E466" s="28"/>
      <c r="F466" s="28"/>
      <c r="G466" s="28"/>
      <c r="H466" s="28"/>
      <c r="I466" s="28"/>
      <c r="J466" s="28"/>
      <c r="K466" s="28"/>
      <c r="L466" s="28"/>
      <c r="M466" s="33"/>
      <c r="N466" s="33"/>
      <c r="O466" s="33"/>
      <c r="P466" s="33"/>
      <c r="Q466" s="28"/>
      <c r="R466" s="28"/>
      <c r="S466" s="28"/>
      <c r="T466" s="28"/>
      <c r="U466" s="28"/>
      <c r="V466" s="28"/>
      <c r="W466" s="28"/>
      <c r="X466" s="28"/>
      <c r="Y466" s="28"/>
      <c r="Z466" s="28"/>
      <c r="AA466" s="28"/>
    </row>
    <row r="467" ht="18.75" customHeight="1">
      <c r="A467" s="28"/>
      <c r="B467" s="28"/>
      <c r="C467" s="28"/>
      <c r="D467" s="28"/>
      <c r="E467" s="28"/>
      <c r="F467" s="28"/>
      <c r="G467" s="28"/>
      <c r="H467" s="28"/>
      <c r="I467" s="28"/>
      <c r="J467" s="28"/>
      <c r="K467" s="28"/>
      <c r="L467" s="28"/>
      <c r="M467" s="33"/>
      <c r="N467" s="33"/>
      <c r="O467" s="33"/>
      <c r="P467" s="33"/>
      <c r="Q467" s="28"/>
      <c r="R467" s="28"/>
      <c r="S467" s="28"/>
      <c r="T467" s="28"/>
      <c r="U467" s="28"/>
      <c r="V467" s="28"/>
      <c r="W467" s="28"/>
      <c r="X467" s="28"/>
      <c r="Y467" s="28"/>
      <c r="Z467" s="28"/>
      <c r="AA467" s="28"/>
    </row>
    <row r="468" ht="18.75" customHeight="1">
      <c r="A468" s="28"/>
      <c r="B468" s="28"/>
      <c r="C468" s="28"/>
      <c r="D468" s="28"/>
      <c r="E468" s="28"/>
      <c r="F468" s="28"/>
      <c r="G468" s="28"/>
      <c r="H468" s="28"/>
      <c r="I468" s="28"/>
      <c r="J468" s="28"/>
      <c r="K468" s="28"/>
      <c r="L468" s="28"/>
      <c r="M468" s="33"/>
      <c r="N468" s="33"/>
      <c r="O468" s="33"/>
      <c r="P468" s="33"/>
      <c r="Q468" s="28"/>
      <c r="R468" s="28"/>
      <c r="S468" s="28"/>
      <c r="T468" s="28"/>
      <c r="U468" s="28"/>
      <c r="V468" s="28"/>
      <c r="W468" s="28"/>
      <c r="X468" s="28"/>
      <c r="Y468" s="28"/>
      <c r="Z468" s="28"/>
      <c r="AA468" s="28"/>
    </row>
    <row r="469" ht="18.75" customHeight="1">
      <c r="A469" s="28"/>
      <c r="B469" s="28"/>
      <c r="C469" s="28"/>
      <c r="D469" s="28"/>
      <c r="E469" s="28"/>
      <c r="F469" s="28"/>
      <c r="G469" s="28"/>
      <c r="H469" s="28"/>
      <c r="I469" s="28"/>
      <c r="J469" s="28"/>
      <c r="K469" s="28"/>
      <c r="L469" s="28"/>
      <c r="M469" s="33"/>
      <c r="N469" s="33"/>
      <c r="O469" s="33"/>
      <c r="P469" s="33"/>
      <c r="Q469" s="28"/>
      <c r="R469" s="28"/>
      <c r="S469" s="28"/>
      <c r="T469" s="28"/>
      <c r="U469" s="28"/>
      <c r="V469" s="28"/>
      <c r="W469" s="28"/>
      <c r="X469" s="28"/>
      <c r="Y469" s="28"/>
      <c r="Z469" s="28"/>
      <c r="AA469" s="28"/>
    </row>
    <row r="470" ht="18.75" customHeight="1">
      <c r="A470" s="28"/>
      <c r="B470" s="28"/>
      <c r="C470" s="28"/>
      <c r="D470" s="28"/>
      <c r="E470" s="28"/>
      <c r="F470" s="28"/>
      <c r="G470" s="28"/>
      <c r="H470" s="28"/>
      <c r="I470" s="28"/>
      <c r="J470" s="28"/>
      <c r="K470" s="28"/>
      <c r="L470" s="28"/>
      <c r="M470" s="33"/>
      <c r="N470" s="33"/>
      <c r="O470" s="33"/>
      <c r="P470" s="33"/>
      <c r="Q470" s="28"/>
      <c r="R470" s="28"/>
      <c r="S470" s="28"/>
      <c r="T470" s="28"/>
      <c r="U470" s="28"/>
      <c r="V470" s="28"/>
      <c r="W470" s="28"/>
      <c r="X470" s="28"/>
      <c r="Y470" s="28"/>
      <c r="Z470" s="28"/>
      <c r="AA470" s="28"/>
    </row>
    <row r="471" ht="18.75" customHeight="1">
      <c r="A471" s="28"/>
      <c r="B471" s="28"/>
      <c r="C471" s="28"/>
      <c r="D471" s="28"/>
      <c r="E471" s="28"/>
      <c r="F471" s="28"/>
      <c r="G471" s="28"/>
      <c r="H471" s="28"/>
      <c r="I471" s="28"/>
      <c r="J471" s="28"/>
      <c r="K471" s="28"/>
      <c r="L471" s="28"/>
      <c r="M471" s="33"/>
      <c r="N471" s="33"/>
      <c r="O471" s="33"/>
      <c r="P471" s="33"/>
      <c r="Q471" s="28"/>
      <c r="R471" s="28"/>
      <c r="S471" s="28"/>
      <c r="T471" s="28"/>
      <c r="U471" s="28"/>
      <c r="V471" s="28"/>
      <c r="W471" s="28"/>
      <c r="X471" s="28"/>
      <c r="Y471" s="28"/>
      <c r="Z471" s="28"/>
      <c r="AA471" s="28"/>
    </row>
    <row r="472" ht="18.75" customHeight="1">
      <c r="A472" s="28"/>
      <c r="B472" s="28"/>
      <c r="C472" s="28"/>
      <c r="D472" s="28"/>
      <c r="E472" s="28"/>
      <c r="F472" s="28"/>
      <c r="G472" s="28"/>
      <c r="H472" s="28"/>
      <c r="I472" s="28"/>
      <c r="J472" s="28"/>
      <c r="K472" s="28"/>
      <c r="L472" s="28"/>
      <c r="M472" s="33"/>
      <c r="N472" s="33"/>
      <c r="O472" s="33"/>
      <c r="P472" s="33"/>
      <c r="Q472" s="28"/>
      <c r="R472" s="28"/>
      <c r="S472" s="28"/>
      <c r="T472" s="28"/>
      <c r="U472" s="28"/>
      <c r="V472" s="28"/>
      <c r="W472" s="28"/>
      <c r="X472" s="28"/>
      <c r="Y472" s="28"/>
      <c r="Z472" s="28"/>
      <c r="AA472" s="28"/>
    </row>
    <row r="473" ht="18.75" customHeight="1">
      <c r="A473" s="28"/>
      <c r="B473" s="28"/>
      <c r="C473" s="28"/>
      <c r="D473" s="28"/>
      <c r="E473" s="28"/>
      <c r="F473" s="28"/>
      <c r="G473" s="28"/>
      <c r="H473" s="28"/>
      <c r="I473" s="28"/>
      <c r="J473" s="28"/>
      <c r="K473" s="28"/>
      <c r="L473" s="28"/>
      <c r="M473" s="33"/>
      <c r="N473" s="33"/>
      <c r="O473" s="33"/>
      <c r="P473" s="33"/>
      <c r="Q473" s="28"/>
      <c r="R473" s="28"/>
      <c r="S473" s="28"/>
      <c r="T473" s="28"/>
      <c r="U473" s="28"/>
      <c r="V473" s="28"/>
      <c r="W473" s="28"/>
      <c r="X473" s="28"/>
      <c r="Y473" s="28"/>
      <c r="Z473" s="28"/>
      <c r="AA473" s="28"/>
    </row>
    <row r="474" ht="18.75" customHeight="1">
      <c r="A474" s="28"/>
      <c r="B474" s="28"/>
      <c r="C474" s="28"/>
      <c r="D474" s="28"/>
      <c r="E474" s="28"/>
      <c r="F474" s="28"/>
      <c r="G474" s="28"/>
      <c r="H474" s="28"/>
      <c r="I474" s="28"/>
      <c r="J474" s="28"/>
      <c r="K474" s="28"/>
      <c r="L474" s="28"/>
      <c r="M474" s="33"/>
      <c r="N474" s="33"/>
      <c r="O474" s="33"/>
      <c r="P474" s="33"/>
      <c r="Q474" s="28"/>
      <c r="R474" s="28"/>
      <c r="S474" s="28"/>
      <c r="T474" s="28"/>
      <c r="U474" s="28"/>
      <c r="V474" s="28"/>
      <c r="W474" s="28"/>
      <c r="X474" s="28"/>
      <c r="Y474" s="28"/>
      <c r="Z474" s="28"/>
      <c r="AA474" s="28"/>
    </row>
    <row r="475" ht="18.75" customHeight="1">
      <c r="A475" s="28"/>
      <c r="B475" s="28"/>
      <c r="C475" s="28"/>
      <c r="D475" s="28"/>
      <c r="E475" s="28"/>
      <c r="F475" s="28"/>
      <c r="G475" s="28"/>
      <c r="H475" s="28"/>
      <c r="I475" s="28"/>
      <c r="J475" s="28"/>
      <c r="K475" s="28"/>
      <c r="L475" s="28"/>
      <c r="M475" s="33"/>
      <c r="N475" s="33"/>
      <c r="O475" s="33"/>
      <c r="P475" s="33"/>
      <c r="Q475" s="28"/>
      <c r="R475" s="28"/>
      <c r="S475" s="28"/>
      <c r="T475" s="28"/>
      <c r="U475" s="28"/>
      <c r="V475" s="28"/>
      <c r="W475" s="28"/>
      <c r="X475" s="28"/>
      <c r="Y475" s="28"/>
      <c r="Z475" s="28"/>
      <c r="AA475" s="28"/>
    </row>
    <row r="476" ht="18.75" customHeight="1">
      <c r="A476" s="28"/>
      <c r="B476" s="28"/>
      <c r="C476" s="28"/>
      <c r="D476" s="28"/>
      <c r="E476" s="28"/>
      <c r="F476" s="28"/>
      <c r="G476" s="28"/>
      <c r="H476" s="28"/>
      <c r="I476" s="28"/>
      <c r="J476" s="28"/>
      <c r="K476" s="28"/>
      <c r="L476" s="28"/>
      <c r="M476" s="33"/>
      <c r="N476" s="33"/>
      <c r="O476" s="33"/>
      <c r="P476" s="33"/>
      <c r="Q476" s="28"/>
      <c r="R476" s="28"/>
      <c r="S476" s="28"/>
      <c r="T476" s="28"/>
      <c r="U476" s="28"/>
      <c r="V476" s="28"/>
      <c r="W476" s="28"/>
      <c r="X476" s="28"/>
      <c r="Y476" s="28"/>
      <c r="Z476" s="28"/>
      <c r="AA476" s="28"/>
    </row>
    <row r="477" ht="18.75" customHeight="1">
      <c r="A477" s="28"/>
      <c r="B477" s="28"/>
      <c r="C477" s="28"/>
      <c r="D477" s="28"/>
      <c r="E477" s="28"/>
      <c r="F477" s="28"/>
      <c r="G477" s="28"/>
      <c r="H477" s="28"/>
      <c r="I477" s="28"/>
      <c r="J477" s="28"/>
      <c r="K477" s="28"/>
      <c r="L477" s="28"/>
      <c r="M477" s="33"/>
      <c r="N477" s="33"/>
      <c r="O477" s="33"/>
      <c r="P477" s="33"/>
      <c r="Q477" s="28"/>
      <c r="R477" s="28"/>
      <c r="S477" s="28"/>
      <c r="T477" s="28"/>
      <c r="U477" s="28"/>
      <c r="V477" s="28"/>
      <c r="W477" s="28"/>
      <c r="X477" s="28"/>
      <c r="Y477" s="28"/>
      <c r="Z477" s="28"/>
      <c r="AA477" s="28"/>
    </row>
    <row r="478" ht="18.75" customHeight="1">
      <c r="A478" s="28"/>
      <c r="B478" s="28"/>
      <c r="C478" s="28"/>
      <c r="D478" s="28"/>
      <c r="E478" s="28"/>
      <c r="F478" s="28"/>
      <c r="G478" s="28"/>
      <c r="H478" s="28"/>
      <c r="I478" s="28"/>
      <c r="J478" s="28"/>
      <c r="K478" s="28"/>
      <c r="L478" s="28"/>
      <c r="M478" s="33"/>
      <c r="N478" s="33"/>
      <c r="O478" s="33"/>
      <c r="P478" s="33"/>
      <c r="Q478" s="28"/>
      <c r="R478" s="28"/>
      <c r="S478" s="28"/>
      <c r="T478" s="28"/>
      <c r="U478" s="28"/>
      <c r="V478" s="28"/>
      <c r="W478" s="28"/>
      <c r="X478" s="28"/>
      <c r="Y478" s="28"/>
      <c r="Z478" s="28"/>
      <c r="AA478" s="28"/>
    </row>
    <row r="479" ht="18.75" customHeight="1">
      <c r="A479" s="28"/>
      <c r="B479" s="28"/>
      <c r="C479" s="28"/>
      <c r="D479" s="28"/>
      <c r="E479" s="28"/>
      <c r="F479" s="28"/>
      <c r="G479" s="28"/>
      <c r="H479" s="28"/>
      <c r="I479" s="28"/>
      <c r="J479" s="28"/>
      <c r="K479" s="28"/>
      <c r="L479" s="28"/>
      <c r="M479" s="33"/>
      <c r="N479" s="33"/>
      <c r="O479" s="33"/>
      <c r="P479" s="33"/>
      <c r="Q479" s="28"/>
      <c r="R479" s="28"/>
      <c r="S479" s="28"/>
      <c r="T479" s="28"/>
      <c r="U479" s="28"/>
      <c r="V479" s="28"/>
      <c r="W479" s="28"/>
      <c r="X479" s="28"/>
      <c r="Y479" s="28"/>
      <c r="Z479" s="28"/>
      <c r="AA479" s="28"/>
    </row>
    <row r="480" ht="18.75" customHeight="1">
      <c r="A480" s="28"/>
      <c r="B480" s="28"/>
      <c r="C480" s="28"/>
      <c r="D480" s="28"/>
      <c r="E480" s="28"/>
      <c r="F480" s="28"/>
      <c r="G480" s="28"/>
      <c r="H480" s="28"/>
      <c r="I480" s="28"/>
      <c r="J480" s="28"/>
      <c r="K480" s="28"/>
      <c r="L480" s="28"/>
      <c r="M480" s="33"/>
      <c r="N480" s="33"/>
      <c r="O480" s="33"/>
      <c r="P480" s="33"/>
      <c r="Q480" s="28"/>
      <c r="R480" s="28"/>
      <c r="S480" s="28"/>
      <c r="T480" s="28"/>
      <c r="U480" s="28"/>
      <c r="V480" s="28"/>
      <c r="W480" s="28"/>
      <c r="X480" s="28"/>
      <c r="Y480" s="28"/>
      <c r="Z480" s="28"/>
      <c r="AA480" s="28"/>
    </row>
    <row r="481" ht="18.75" customHeight="1">
      <c r="A481" s="28"/>
      <c r="B481" s="28"/>
      <c r="C481" s="28"/>
      <c r="D481" s="28"/>
      <c r="E481" s="28"/>
      <c r="F481" s="28"/>
      <c r="G481" s="28"/>
      <c r="H481" s="28"/>
      <c r="I481" s="28"/>
      <c r="J481" s="28"/>
      <c r="K481" s="28"/>
      <c r="L481" s="28"/>
      <c r="M481" s="33"/>
      <c r="N481" s="33"/>
      <c r="O481" s="33"/>
      <c r="P481" s="33"/>
      <c r="Q481" s="28"/>
      <c r="R481" s="28"/>
      <c r="S481" s="28"/>
      <c r="T481" s="28"/>
      <c r="U481" s="28"/>
      <c r="V481" s="28"/>
      <c r="W481" s="28"/>
      <c r="X481" s="28"/>
      <c r="Y481" s="28"/>
      <c r="Z481" s="28"/>
      <c r="AA481" s="28"/>
    </row>
    <row r="482" ht="18.75" customHeight="1">
      <c r="A482" s="28"/>
      <c r="B482" s="28"/>
      <c r="C482" s="28"/>
      <c r="D482" s="28"/>
      <c r="E482" s="28"/>
      <c r="F482" s="28"/>
      <c r="G482" s="28"/>
      <c r="H482" s="28"/>
      <c r="I482" s="28"/>
      <c r="J482" s="28"/>
      <c r="K482" s="28"/>
      <c r="L482" s="28"/>
      <c r="M482" s="33"/>
      <c r="N482" s="33"/>
      <c r="O482" s="33"/>
      <c r="P482" s="33"/>
      <c r="Q482" s="28"/>
      <c r="R482" s="28"/>
      <c r="S482" s="28"/>
      <c r="T482" s="28"/>
      <c r="U482" s="28"/>
      <c r="V482" s="28"/>
      <c r="W482" s="28"/>
      <c r="X482" s="28"/>
      <c r="Y482" s="28"/>
      <c r="Z482" s="28"/>
      <c r="AA482" s="28"/>
    </row>
    <row r="483" ht="18.75" customHeight="1">
      <c r="A483" s="28"/>
      <c r="B483" s="28"/>
      <c r="C483" s="28"/>
      <c r="D483" s="28"/>
      <c r="E483" s="28"/>
      <c r="F483" s="28"/>
      <c r="G483" s="28"/>
      <c r="H483" s="28"/>
      <c r="I483" s="28"/>
      <c r="J483" s="28"/>
      <c r="K483" s="28"/>
      <c r="L483" s="28"/>
      <c r="M483" s="33"/>
      <c r="N483" s="33"/>
      <c r="O483" s="33"/>
      <c r="P483" s="33"/>
      <c r="Q483" s="28"/>
      <c r="R483" s="28"/>
      <c r="S483" s="28"/>
      <c r="T483" s="28"/>
      <c r="U483" s="28"/>
      <c r="V483" s="28"/>
      <c r="W483" s="28"/>
      <c r="X483" s="28"/>
      <c r="Y483" s="28"/>
      <c r="Z483" s="28"/>
      <c r="AA483" s="28"/>
    </row>
    <row r="484" ht="18.75" customHeight="1">
      <c r="A484" s="28"/>
      <c r="B484" s="28"/>
      <c r="C484" s="28"/>
      <c r="D484" s="28"/>
      <c r="E484" s="28"/>
      <c r="F484" s="28"/>
      <c r="G484" s="28"/>
      <c r="H484" s="28"/>
      <c r="I484" s="28"/>
      <c r="J484" s="28"/>
      <c r="K484" s="28"/>
      <c r="L484" s="28"/>
      <c r="M484" s="33"/>
      <c r="N484" s="33"/>
      <c r="O484" s="33"/>
      <c r="P484" s="33"/>
      <c r="Q484" s="28"/>
      <c r="R484" s="28"/>
      <c r="S484" s="28"/>
      <c r="T484" s="28"/>
      <c r="U484" s="28"/>
      <c r="V484" s="28"/>
      <c r="W484" s="28"/>
      <c r="X484" s="28"/>
      <c r="Y484" s="28"/>
      <c r="Z484" s="28"/>
      <c r="AA484" s="28"/>
    </row>
    <row r="485" ht="18.75" customHeight="1">
      <c r="A485" s="28"/>
      <c r="B485" s="28"/>
      <c r="C485" s="28"/>
      <c r="D485" s="28"/>
      <c r="E485" s="28"/>
      <c r="F485" s="28"/>
      <c r="G485" s="28"/>
      <c r="H485" s="28"/>
      <c r="I485" s="28"/>
      <c r="J485" s="28"/>
      <c r="K485" s="28"/>
      <c r="L485" s="28"/>
      <c r="M485" s="33"/>
      <c r="N485" s="33"/>
      <c r="O485" s="33"/>
      <c r="P485" s="33"/>
      <c r="Q485" s="28"/>
      <c r="R485" s="28"/>
      <c r="S485" s="28"/>
      <c r="T485" s="28"/>
      <c r="U485" s="28"/>
      <c r="V485" s="28"/>
      <c r="W485" s="28"/>
      <c r="X485" s="28"/>
      <c r="Y485" s="28"/>
      <c r="Z485" s="28"/>
      <c r="AA485" s="28"/>
    </row>
    <row r="486" ht="18.75" customHeight="1">
      <c r="A486" s="28"/>
      <c r="B486" s="28"/>
      <c r="C486" s="28"/>
      <c r="D486" s="28"/>
      <c r="E486" s="28"/>
      <c r="F486" s="28"/>
      <c r="G486" s="28"/>
      <c r="H486" s="28"/>
      <c r="I486" s="28"/>
      <c r="J486" s="28"/>
      <c r="K486" s="28"/>
      <c r="L486" s="28"/>
      <c r="M486" s="33"/>
      <c r="N486" s="33"/>
      <c r="O486" s="33"/>
      <c r="P486" s="33"/>
      <c r="Q486" s="28"/>
      <c r="R486" s="28"/>
      <c r="S486" s="28"/>
      <c r="T486" s="28"/>
      <c r="U486" s="28"/>
      <c r="V486" s="28"/>
      <c r="W486" s="28"/>
      <c r="X486" s="28"/>
      <c r="Y486" s="28"/>
      <c r="Z486" s="28"/>
      <c r="AA486" s="28"/>
    </row>
    <row r="487" ht="18.75" customHeight="1">
      <c r="A487" s="28"/>
      <c r="B487" s="28"/>
      <c r="C487" s="28"/>
      <c r="D487" s="28"/>
      <c r="E487" s="28"/>
      <c r="F487" s="28"/>
      <c r="G487" s="28"/>
      <c r="H487" s="28"/>
      <c r="I487" s="28"/>
      <c r="J487" s="28"/>
      <c r="K487" s="28"/>
      <c r="L487" s="28"/>
      <c r="M487" s="33"/>
      <c r="N487" s="33"/>
      <c r="O487" s="33"/>
      <c r="P487" s="33"/>
      <c r="Q487" s="28"/>
      <c r="R487" s="28"/>
      <c r="S487" s="28"/>
      <c r="T487" s="28"/>
      <c r="U487" s="28"/>
      <c r="V487" s="28"/>
      <c r="W487" s="28"/>
      <c r="X487" s="28"/>
      <c r="Y487" s="28"/>
      <c r="Z487" s="28"/>
      <c r="AA487" s="28"/>
    </row>
    <row r="488" ht="18.75" customHeight="1">
      <c r="A488" s="28"/>
      <c r="B488" s="28"/>
      <c r="C488" s="28"/>
      <c r="D488" s="28"/>
      <c r="E488" s="28"/>
      <c r="F488" s="28"/>
      <c r="G488" s="28"/>
      <c r="H488" s="28"/>
      <c r="I488" s="28"/>
      <c r="J488" s="28"/>
      <c r="K488" s="28"/>
      <c r="L488" s="28"/>
      <c r="M488" s="33"/>
      <c r="N488" s="33"/>
      <c r="O488" s="33"/>
      <c r="P488" s="33"/>
      <c r="Q488" s="28"/>
      <c r="R488" s="28"/>
      <c r="S488" s="28"/>
      <c r="T488" s="28"/>
      <c r="U488" s="28"/>
      <c r="V488" s="28"/>
      <c r="W488" s="28"/>
      <c r="X488" s="28"/>
      <c r="Y488" s="28"/>
      <c r="Z488" s="28"/>
      <c r="AA488" s="28"/>
    </row>
    <row r="489" ht="18.75" customHeight="1">
      <c r="A489" s="28"/>
      <c r="B489" s="28"/>
      <c r="C489" s="28"/>
      <c r="D489" s="28"/>
      <c r="E489" s="28"/>
      <c r="F489" s="28"/>
      <c r="G489" s="28"/>
      <c r="H489" s="28"/>
      <c r="I489" s="28"/>
      <c r="J489" s="28"/>
      <c r="K489" s="28"/>
      <c r="L489" s="28"/>
      <c r="M489" s="33"/>
      <c r="N489" s="33"/>
      <c r="O489" s="33"/>
      <c r="P489" s="33"/>
      <c r="Q489" s="28"/>
      <c r="R489" s="28"/>
      <c r="S489" s="28"/>
      <c r="T489" s="28"/>
      <c r="U489" s="28"/>
      <c r="V489" s="28"/>
      <c r="W489" s="28"/>
      <c r="X489" s="28"/>
      <c r="Y489" s="28"/>
      <c r="Z489" s="28"/>
      <c r="AA489" s="28"/>
    </row>
    <row r="490" ht="18.75" customHeight="1">
      <c r="A490" s="28"/>
      <c r="B490" s="28"/>
      <c r="C490" s="28"/>
      <c r="D490" s="28"/>
      <c r="E490" s="28"/>
      <c r="F490" s="28"/>
      <c r="G490" s="28"/>
      <c r="H490" s="28"/>
      <c r="I490" s="28"/>
      <c r="J490" s="28"/>
      <c r="K490" s="28"/>
      <c r="L490" s="28"/>
      <c r="M490" s="33"/>
      <c r="N490" s="33"/>
      <c r="O490" s="33"/>
      <c r="P490" s="33"/>
      <c r="Q490" s="28"/>
      <c r="R490" s="28"/>
      <c r="S490" s="28"/>
      <c r="T490" s="28"/>
      <c r="U490" s="28"/>
      <c r="V490" s="28"/>
      <c r="W490" s="28"/>
      <c r="X490" s="28"/>
      <c r="Y490" s="28"/>
      <c r="Z490" s="28"/>
      <c r="AA490" s="28"/>
    </row>
    <row r="491" ht="18.75" customHeight="1">
      <c r="A491" s="28"/>
      <c r="B491" s="28"/>
      <c r="C491" s="28"/>
      <c r="D491" s="28"/>
      <c r="E491" s="28"/>
      <c r="F491" s="28"/>
      <c r="G491" s="28"/>
      <c r="H491" s="28"/>
      <c r="I491" s="28"/>
      <c r="J491" s="28"/>
      <c r="K491" s="28"/>
      <c r="L491" s="28"/>
      <c r="M491" s="33"/>
      <c r="N491" s="33"/>
      <c r="O491" s="33"/>
      <c r="P491" s="33"/>
      <c r="Q491" s="28"/>
      <c r="R491" s="28"/>
      <c r="S491" s="28"/>
      <c r="T491" s="28"/>
      <c r="U491" s="28"/>
      <c r="V491" s="28"/>
      <c r="W491" s="28"/>
      <c r="X491" s="28"/>
      <c r="Y491" s="28"/>
      <c r="Z491" s="28"/>
      <c r="AA491" s="28"/>
    </row>
    <row r="492" ht="18.75" customHeight="1">
      <c r="A492" s="28"/>
      <c r="B492" s="28"/>
      <c r="C492" s="28"/>
      <c r="D492" s="28"/>
      <c r="E492" s="28"/>
      <c r="F492" s="28"/>
      <c r="G492" s="28"/>
      <c r="H492" s="28"/>
      <c r="I492" s="28"/>
      <c r="J492" s="28"/>
      <c r="K492" s="28"/>
      <c r="L492" s="28"/>
      <c r="M492" s="33"/>
      <c r="N492" s="33"/>
      <c r="O492" s="33"/>
      <c r="P492" s="33"/>
      <c r="Q492" s="28"/>
      <c r="R492" s="28"/>
      <c r="S492" s="28"/>
      <c r="T492" s="28"/>
      <c r="U492" s="28"/>
      <c r="V492" s="28"/>
      <c r="W492" s="28"/>
      <c r="X492" s="28"/>
      <c r="Y492" s="28"/>
      <c r="Z492" s="28"/>
      <c r="AA492" s="28"/>
    </row>
    <row r="493" ht="18.75" customHeight="1">
      <c r="A493" s="28"/>
      <c r="B493" s="28"/>
      <c r="C493" s="28"/>
      <c r="D493" s="28"/>
      <c r="E493" s="28"/>
      <c r="F493" s="28"/>
      <c r="G493" s="28"/>
      <c r="H493" s="28"/>
      <c r="I493" s="28"/>
      <c r="J493" s="28"/>
      <c r="K493" s="28"/>
      <c r="L493" s="28"/>
      <c r="M493" s="33"/>
      <c r="N493" s="33"/>
      <c r="O493" s="33"/>
      <c r="P493" s="33"/>
      <c r="Q493" s="28"/>
      <c r="R493" s="28"/>
      <c r="S493" s="28"/>
      <c r="T493" s="28"/>
      <c r="U493" s="28"/>
      <c r="V493" s="28"/>
      <c r="W493" s="28"/>
      <c r="X493" s="28"/>
      <c r="Y493" s="28"/>
      <c r="Z493" s="28"/>
      <c r="AA493" s="28"/>
    </row>
    <row r="494" ht="18.75" customHeight="1">
      <c r="A494" s="28"/>
      <c r="B494" s="28"/>
      <c r="C494" s="28"/>
      <c r="D494" s="28"/>
      <c r="E494" s="28"/>
      <c r="F494" s="28"/>
      <c r="G494" s="28"/>
      <c r="H494" s="28"/>
      <c r="I494" s="28"/>
      <c r="J494" s="28"/>
      <c r="K494" s="28"/>
      <c r="L494" s="28"/>
      <c r="M494" s="33"/>
      <c r="N494" s="33"/>
      <c r="O494" s="33"/>
      <c r="P494" s="33"/>
      <c r="Q494" s="28"/>
      <c r="R494" s="28"/>
      <c r="S494" s="28"/>
      <c r="T494" s="28"/>
      <c r="U494" s="28"/>
      <c r="V494" s="28"/>
      <c r="W494" s="28"/>
      <c r="X494" s="28"/>
      <c r="Y494" s="28"/>
      <c r="Z494" s="28"/>
      <c r="AA494" s="28"/>
    </row>
    <row r="495" ht="18.75" customHeight="1">
      <c r="A495" s="28"/>
      <c r="B495" s="28"/>
      <c r="C495" s="28"/>
      <c r="D495" s="28"/>
      <c r="E495" s="28"/>
      <c r="F495" s="28"/>
      <c r="G495" s="28"/>
      <c r="H495" s="28"/>
      <c r="I495" s="28"/>
      <c r="J495" s="28"/>
      <c r="K495" s="28"/>
      <c r="L495" s="28"/>
      <c r="M495" s="33"/>
      <c r="N495" s="33"/>
      <c r="O495" s="33"/>
      <c r="P495" s="33"/>
      <c r="Q495" s="28"/>
      <c r="R495" s="28"/>
      <c r="S495" s="28"/>
      <c r="T495" s="28"/>
      <c r="U495" s="28"/>
      <c r="V495" s="28"/>
      <c r="W495" s="28"/>
      <c r="X495" s="28"/>
      <c r="Y495" s="28"/>
      <c r="Z495" s="28"/>
      <c r="AA495" s="28"/>
    </row>
    <row r="496" ht="18.75" customHeight="1">
      <c r="A496" s="28"/>
      <c r="B496" s="28"/>
      <c r="C496" s="28"/>
      <c r="D496" s="28"/>
      <c r="E496" s="28"/>
      <c r="F496" s="28"/>
      <c r="G496" s="28"/>
      <c r="H496" s="28"/>
      <c r="I496" s="28"/>
      <c r="J496" s="28"/>
      <c r="K496" s="28"/>
      <c r="L496" s="28"/>
      <c r="M496" s="33"/>
      <c r="N496" s="33"/>
      <c r="O496" s="33"/>
      <c r="P496" s="33"/>
      <c r="Q496" s="28"/>
      <c r="R496" s="28"/>
      <c r="S496" s="28"/>
      <c r="T496" s="28"/>
      <c r="U496" s="28"/>
      <c r="V496" s="28"/>
      <c r="W496" s="28"/>
      <c r="X496" s="28"/>
      <c r="Y496" s="28"/>
      <c r="Z496" s="28"/>
      <c r="AA496" s="28"/>
    </row>
    <row r="497" ht="18.75" customHeight="1">
      <c r="A497" s="28"/>
      <c r="B497" s="28"/>
      <c r="C497" s="28"/>
      <c r="D497" s="28"/>
      <c r="E497" s="28"/>
      <c r="F497" s="28"/>
      <c r="G497" s="28"/>
      <c r="H497" s="28"/>
      <c r="I497" s="28"/>
      <c r="J497" s="28"/>
      <c r="K497" s="28"/>
      <c r="L497" s="28"/>
      <c r="M497" s="33"/>
      <c r="N497" s="33"/>
      <c r="O497" s="33"/>
      <c r="P497" s="33"/>
      <c r="Q497" s="28"/>
      <c r="R497" s="28"/>
      <c r="S497" s="28"/>
      <c r="T497" s="28"/>
      <c r="U497" s="28"/>
      <c r="V497" s="28"/>
      <c r="W497" s="28"/>
      <c r="X497" s="28"/>
      <c r="Y497" s="28"/>
      <c r="Z497" s="28"/>
      <c r="AA497" s="28"/>
    </row>
    <row r="498" ht="18.75" customHeight="1">
      <c r="A498" s="28"/>
      <c r="B498" s="28"/>
      <c r="C498" s="28"/>
      <c r="D498" s="28"/>
      <c r="E498" s="28"/>
      <c r="F498" s="28"/>
      <c r="G498" s="28"/>
      <c r="H498" s="28"/>
      <c r="I498" s="28"/>
      <c r="J498" s="28"/>
      <c r="K498" s="28"/>
      <c r="L498" s="28"/>
      <c r="M498" s="33"/>
      <c r="N498" s="33"/>
      <c r="O498" s="33"/>
      <c r="P498" s="33"/>
      <c r="Q498" s="28"/>
      <c r="R498" s="28"/>
      <c r="S498" s="28"/>
      <c r="T498" s="28"/>
      <c r="U498" s="28"/>
      <c r="V498" s="28"/>
      <c r="W498" s="28"/>
      <c r="X498" s="28"/>
      <c r="Y498" s="28"/>
      <c r="Z498" s="28"/>
      <c r="AA498" s="28"/>
    </row>
    <row r="499" ht="18.75" customHeight="1">
      <c r="A499" s="28"/>
      <c r="B499" s="28"/>
      <c r="C499" s="28"/>
      <c r="D499" s="28"/>
      <c r="E499" s="28"/>
      <c r="F499" s="28"/>
      <c r="G499" s="28"/>
      <c r="H499" s="28"/>
      <c r="I499" s="28"/>
      <c r="J499" s="28"/>
      <c r="K499" s="28"/>
      <c r="L499" s="28"/>
      <c r="M499" s="33"/>
      <c r="N499" s="33"/>
      <c r="O499" s="33"/>
      <c r="P499" s="33"/>
      <c r="Q499" s="28"/>
      <c r="R499" s="28"/>
      <c r="S499" s="28"/>
      <c r="T499" s="28"/>
      <c r="U499" s="28"/>
      <c r="V499" s="28"/>
      <c r="W499" s="28"/>
      <c r="X499" s="28"/>
      <c r="Y499" s="28"/>
      <c r="Z499" s="28"/>
      <c r="AA499" s="28"/>
    </row>
    <row r="500" ht="18.75" customHeight="1">
      <c r="A500" s="28"/>
      <c r="B500" s="28"/>
      <c r="C500" s="28"/>
      <c r="D500" s="28"/>
      <c r="E500" s="28"/>
      <c r="F500" s="28"/>
      <c r="G500" s="28"/>
      <c r="H500" s="28"/>
      <c r="I500" s="28"/>
      <c r="J500" s="28"/>
      <c r="K500" s="28"/>
      <c r="L500" s="28"/>
      <c r="M500" s="33"/>
      <c r="N500" s="33"/>
      <c r="O500" s="33"/>
      <c r="P500" s="33"/>
      <c r="Q500" s="28"/>
      <c r="R500" s="28"/>
      <c r="S500" s="28"/>
      <c r="T500" s="28"/>
      <c r="U500" s="28"/>
      <c r="V500" s="28"/>
      <c r="W500" s="28"/>
      <c r="X500" s="28"/>
      <c r="Y500" s="28"/>
      <c r="Z500" s="28"/>
      <c r="AA500" s="28"/>
    </row>
    <row r="501" ht="18.75" customHeight="1">
      <c r="A501" s="28"/>
      <c r="B501" s="28"/>
      <c r="C501" s="28"/>
      <c r="D501" s="28"/>
      <c r="E501" s="28"/>
      <c r="F501" s="28"/>
      <c r="G501" s="28"/>
      <c r="H501" s="28"/>
      <c r="I501" s="28"/>
      <c r="J501" s="28"/>
      <c r="K501" s="28"/>
      <c r="L501" s="28"/>
      <c r="M501" s="33"/>
      <c r="N501" s="33"/>
      <c r="O501" s="33"/>
      <c r="P501" s="33"/>
      <c r="Q501" s="28"/>
      <c r="R501" s="28"/>
      <c r="S501" s="28"/>
      <c r="T501" s="28"/>
      <c r="U501" s="28"/>
      <c r="V501" s="28"/>
      <c r="W501" s="28"/>
      <c r="X501" s="28"/>
      <c r="Y501" s="28"/>
      <c r="Z501" s="28"/>
      <c r="AA501" s="28"/>
    </row>
    <row r="502" ht="18.75" customHeight="1">
      <c r="A502" s="28"/>
      <c r="B502" s="28"/>
      <c r="C502" s="28"/>
      <c r="D502" s="28"/>
      <c r="E502" s="28"/>
      <c r="F502" s="28"/>
      <c r="G502" s="28"/>
      <c r="H502" s="28"/>
      <c r="I502" s="28"/>
      <c r="J502" s="28"/>
      <c r="K502" s="28"/>
      <c r="L502" s="28"/>
      <c r="M502" s="33"/>
      <c r="N502" s="33"/>
      <c r="O502" s="33"/>
      <c r="P502" s="33"/>
      <c r="Q502" s="28"/>
      <c r="R502" s="28"/>
      <c r="S502" s="28"/>
      <c r="T502" s="28"/>
      <c r="U502" s="28"/>
      <c r="V502" s="28"/>
      <c r="W502" s="28"/>
      <c r="X502" s="28"/>
      <c r="Y502" s="28"/>
      <c r="Z502" s="28"/>
      <c r="AA502" s="28"/>
    </row>
    <row r="503" ht="18.75" customHeight="1">
      <c r="A503" s="28"/>
      <c r="B503" s="28"/>
      <c r="C503" s="28"/>
      <c r="D503" s="28"/>
      <c r="E503" s="28"/>
      <c r="F503" s="28"/>
      <c r="G503" s="28"/>
      <c r="H503" s="28"/>
      <c r="I503" s="28"/>
      <c r="J503" s="28"/>
      <c r="K503" s="28"/>
      <c r="L503" s="28"/>
      <c r="M503" s="33"/>
      <c r="N503" s="33"/>
      <c r="O503" s="33"/>
      <c r="P503" s="33"/>
      <c r="Q503" s="28"/>
      <c r="R503" s="28"/>
      <c r="S503" s="28"/>
      <c r="T503" s="28"/>
      <c r="U503" s="28"/>
      <c r="V503" s="28"/>
      <c r="W503" s="28"/>
      <c r="X503" s="28"/>
      <c r="Y503" s="28"/>
      <c r="Z503" s="28"/>
      <c r="AA503" s="28"/>
    </row>
    <row r="504" ht="18.75" customHeight="1">
      <c r="A504" s="28"/>
      <c r="B504" s="28"/>
      <c r="C504" s="28"/>
      <c r="D504" s="28"/>
      <c r="E504" s="28"/>
      <c r="F504" s="28"/>
      <c r="G504" s="28"/>
      <c r="H504" s="28"/>
      <c r="I504" s="28"/>
      <c r="J504" s="28"/>
      <c r="K504" s="28"/>
      <c r="L504" s="28"/>
      <c r="M504" s="33"/>
      <c r="N504" s="33"/>
      <c r="O504" s="33"/>
      <c r="P504" s="33"/>
      <c r="Q504" s="28"/>
      <c r="R504" s="28"/>
      <c r="S504" s="28"/>
      <c r="T504" s="28"/>
      <c r="U504" s="28"/>
      <c r="V504" s="28"/>
      <c r="W504" s="28"/>
      <c r="X504" s="28"/>
      <c r="Y504" s="28"/>
      <c r="Z504" s="28"/>
      <c r="AA504" s="28"/>
    </row>
    <row r="505" ht="18.75" customHeight="1">
      <c r="A505" s="28"/>
      <c r="B505" s="28"/>
      <c r="C505" s="28"/>
      <c r="D505" s="28"/>
      <c r="E505" s="28"/>
      <c r="F505" s="28"/>
      <c r="G505" s="28"/>
      <c r="H505" s="28"/>
      <c r="I505" s="28"/>
      <c r="J505" s="28"/>
      <c r="K505" s="28"/>
      <c r="L505" s="28"/>
      <c r="M505" s="33"/>
      <c r="N505" s="33"/>
      <c r="O505" s="33"/>
      <c r="P505" s="33"/>
      <c r="Q505" s="28"/>
      <c r="R505" s="28"/>
      <c r="S505" s="28"/>
      <c r="T505" s="28"/>
      <c r="U505" s="28"/>
      <c r="V505" s="28"/>
      <c r="W505" s="28"/>
      <c r="X505" s="28"/>
      <c r="Y505" s="28"/>
      <c r="Z505" s="28"/>
      <c r="AA505" s="28"/>
    </row>
    <row r="506" ht="18.75" customHeight="1">
      <c r="A506" s="28"/>
      <c r="B506" s="28"/>
      <c r="C506" s="28"/>
      <c r="D506" s="28"/>
      <c r="E506" s="28"/>
      <c r="F506" s="28"/>
      <c r="G506" s="28"/>
      <c r="H506" s="28"/>
      <c r="I506" s="28"/>
      <c r="J506" s="28"/>
      <c r="K506" s="28"/>
      <c r="L506" s="28"/>
      <c r="M506" s="33"/>
      <c r="N506" s="33"/>
      <c r="O506" s="33"/>
      <c r="P506" s="33"/>
      <c r="Q506" s="28"/>
      <c r="R506" s="28"/>
      <c r="S506" s="28"/>
      <c r="T506" s="28"/>
      <c r="U506" s="28"/>
      <c r="V506" s="28"/>
      <c r="W506" s="28"/>
      <c r="X506" s="28"/>
      <c r="Y506" s="28"/>
      <c r="Z506" s="28"/>
      <c r="AA506" s="28"/>
    </row>
    <row r="507" ht="18.75" customHeight="1">
      <c r="A507" s="28"/>
      <c r="B507" s="28"/>
      <c r="C507" s="28"/>
      <c r="D507" s="28"/>
      <c r="E507" s="28"/>
      <c r="F507" s="28"/>
      <c r="G507" s="28"/>
      <c r="H507" s="28"/>
      <c r="I507" s="28"/>
      <c r="J507" s="28"/>
      <c r="K507" s="28"/>
      <c r="L507" s="28"/>
      <c r="M507" s="33"/>
      <c r="N507" s="33"/>
      <c r="O507" s="33"/>
      <c r="P507" s="33"/>
      <c r="Q507" s="28"/>
      <c r="R507" s="28"/>
      <c r="S507" s="28"/>
      <c r="T507" s="28"/>
      <c r="U507" s="28"/>
      <c r="V507" s="28"/>
      <c r="W507" s="28"/>
      <c r="X507" s="28"/>
      <c r="Y507" s="28"/>
      <c r="Z507" s="28"/>
      <c r="AA507" s="28"/>
    </row>
    <row r="508" ht="18.75" customHeight="1">
      <c r="A508" s="28"/>
      <c r="B508" s="28"/>
      <c r="C508" s="28"/>
      <c r="D508" s="28"/>
      <c r="E508" s="28"/>
      <c r="F508" s="28"/>
      <c r="G508" s="28"/>
      <c r="H508" s="28"/>
      <c r="I508" s="28"/>
      <c r="J508" s="28"/>
      <c r="K508" s="28"/>
      <c r="L508" s="28"/>
      <c r="M508" s="33"/>
      <c r="N508" s="33"/>
      <c r="O508" s="33"/>
      <c r="P508" s="33"/>
      <c r="Q508" s="28"/>
      <c r="R508" s="28"/>
      <c r="S508" s="28"/>
      <c r="T508" s="28"/>
      <c r="U508" s="28"/>
      <c r="V508" s="28"/>
      <c r="W508" s="28"/>
      <c r="X508" s="28"/>
      <c r="Y508" s="28"/>
      <c r="Z508" s="28"/>
      <c r="AA508" s="28"/>
    </row>
    <row r="509" ht="18.75" customHeight="1">
      <c r="A509" s="28"/>
      <c r="B509" s="28"/>
      <c r="C509" s="28"/>
      <c r="D509" s="28"/>
      <c r="E509" s="28"/>
      <c r="F509" s="28"/>
      <c r="G509" s="28"/>
      <c r="H509" s="28"/>
      <c r="I509" s="28"/>
      <c r="J509" s="28"/>
      <c r="K509" s="28"/>
      <c r="L509" s="28"/>
      <c r="M509" s="33"/>
      <c r="N509" s="33"/>
      <c r="O509" s="33"/>
      <c r="P509" s="33"/>
      <c r="Q509" s="28"/>
      <c r="R509" s="28"/>
      <c r="S509" s="28"/>
      <c r="T509" s="28"/>
      <c r="U509" s="28"/>
      <c r="V509" s="28"/>
      <c r="W509" s="28"/>
      <c r="X509" s="28"/>
      <c r="Y509" s="28"/>
      <c r="Z509" s="28"/>
      <c r="AA509" s="28"/>
    </row>
    <row r="510" ht="18.75" customHeight="1">
      <c r="A510" s="28"/>
      <c r="B510" s="28"/>
      <c r="C510" s="28"/>
      <c r="D510" s="28"/>
      <c r="E510" s="28"/>
      <c r="F510" s="28"/>
      <c r="G510" s="28"/>
      <c r="H510" s="28"/>
      <c r="I510" s="28"/>
      <c r="J510" s="28"/>
      <c r="K510" s="28"/>
      <c r="L510" s="28"/>
      <c r="M510" s="33"/>
      <c r="N510" s="33"/>
      <c r="O510" s="33"/>
      <c r="P510" s="33"/>
      <c r="Q510" s="28"/>
      <c r="R510" s="28"/>
      <c r="S510" s="28"/>
      <c r="T510" s="28"/>
      <c r="U510" s="28"/>
      <c r="V510" s="28"/>
      <c r="W510" s="28"/>
      <c r="X510" s="28"/>
      <c r="Y510" s="28"/>
      <c r="Z510" s="28"/>
      <c r="AA510" s="28"/>
    </row>
    <row r="511" ht="18.75" customHeight="1">
      <c r="A511" s="28"/>
      <c r="B511" s="28"/>
      <c r="C511" s="28"/>
      <c r="D511" s="28"/>
      <c r="E511" s="28"/>
      <c r="F511" s="28"/>
      <c r="G511" s="28"/>
      <c r="H511" s="28"/>
      <c r="I511" s="28"/>
      <c r="J511" s="28"/>
      <c r="K511" s="28"/>
      <c r="L511" s="28"/>
      <c r="M511" s="33"/>
      <c r="N511" s="33"/>
      <c r="O511" s="33"/>
      <c r="P511" s="33"/>
      <c r="Q511" s="28"/>
      <c r="R511" s="28"/>
      <c r="S511" s="28"/>
      <c r="T511" s="28"/>
      <c r="U511" s="28"/>
      <c r="V511" s="28"/>
      <c r="W511" s="28"/>
      <c r="X511" s="28"/>
      <c r="Y511" s="28"/>
      <c r="Z511" s="28"/>
      <c r="AA511" s="28"/>
    </row>
    <row r="512" ht="18.75" customHeight="1">
      <c r="A512" s="28"/>
      <c r="B512" s="28"/>
      <c r="C512" s="28"/>
      <c r="D512" s="28"/>
      <c r="E512" s="28"/>
      <c r="F512" s="28"/>
      <c r="G512" s="28"/>
      <c r="H512" s="28"/>
      <c r="I512" s="28"/>
      <c r="J512" s="28"/>
      <c r="K512" s="28"/>
      <c r="L512" s="28"/>
      <c r="M512" s="33"/>
      <c r="N512" s="33"/>
      <c r="O512" s="33"/>
      <c r="P512" s="33"/>
      <c r="Q512" s="28"/>
      <c r="R512" s="28"/>
      <c r="S512" s="28"/>
      <c r="T512" s="28"/>
      <c r="U512" s="28"/>
      <c r="V512" s="28"/>
      <c r="W512" s="28"/>
      <c r="X512" s="28"/>
      <c r="Y512" s="28"/>
      <c r="Z512" s="28"/>
      <c r="AA512" s="28"/>
    </row>
    <row r="513" ht="18.75" customHeight="1">
      <c r="A513" s="28"/>
      <c r="B513" s="28"/>
      <c r="C513" s="28"/>
      <c r="D513" s="28"/>
      <c r="E513" s="28"/>
      <c r="F513" s="28"/>
      <c r="G513" s="28"/>
      <c r="H513" s="28"/>
      <c r="I513" s="28"/>
      <c r="J513" s="28"/>
      <c r="K513" s="28"/>
      <c r="L513" s="28"/>
      <c r="M513" s="33"/>
      <c r="N513" s="33"/>
      <c r="O513" s="33"/>
      <c r="P513" s="33"/>
      <c r="Q513" s="28"/>
      <c r="R513" s="28"/>
      <c r="S513" s="28"/>
      <c r="T513" s="28"/>
      <c r="U513" s="28"/>
      <c r="V513" s="28"/>
      <c r="W513" s="28"/>
      <c r="X513" s="28"/>
      <c r="Y513" s="28"/>
      <c r="Z513" s="28"/>
      <c r="AA513" s="28"/>
    </row>
    <row r="514" ht="18.75" customHeight="1">
      <c r="A514" s="28"/>
      <c r="B514" s="28"/>
      <c r="C514" s="28"/>
      <c r="D514" s="28"/>
      <c r="E514" s="28"/>
      <c r="F514" s="28"/>
      <c r="G514" s="28"/>
      <c r="H514" s="28"/>
      <c r="I514" s="28"/>
      <c r="J514" s="28"/>
      <c r="K514" s="28"/>
      <c r="L514" s="28"/>
      <c r="M514" s="33"/>
      <c r="N514" s="33"/>
      <c r="O514" s="33"/>
      <c r="P514" s="33"/>
      <c r="Q514" s="28"/>
      <c r="R514" s="28"/>
      <c r="S514" s="28"/>
      <c r="T514" s="28"/>
      <c r="U514" s="28"/>
      <c r="V514" s="28"/>
      <c r="W514" s="28"/>
      <c r="X514" s="28"/>
      <c r="Y514" s="28"/>
      <c r="Z514" s="28"/>
      <c r="AA514" s="28"/>
    </row>
    <row r="515" ht="18.75" customHeight="1">
      <c r="A515" s="28"/>
      <c r="B515" s="28"/>
      <c r="C515" s="28"/>
      <c r="D515" s="28"/>
      <c r="E515" s="28"/>
      <c r="F515" s="28"/>
      <c r="G515" s="28"/>
      <c r="H515" s="28"/>
      <c r="I515" s="28"/>
      <c r="J515" s="28"/>
      <c r="K515" s="28"/>
      <c r="L515" s="28"/>
      <c r="M515" s="33"/>
      <c r="N515" s="33"/>
      <c r="O515" s="33"/>
      <c r="P515" s="33"/>
      <c r="Q515" s="28"/>
      <c r="R515" s="28"/>
      <c r="S515" s="28"/>
      <c r="T515" s="28"/>
      <c r="U515" s="28"/>
      <c r="V515" s="28"/>
      <c r="W515" s="28"/>
      <c r="X515" s="28"/>
      <c r="Y515" s="28"/>
      <c r="Z515" s="28"/>
      <c r="AA515" s="28"/>
    </row>
    <row r="516" ht="18.75" customHeight="1">
      <c r="A516" s="28"/>
      <c r="B516" s="28"/>
      <c r="C516" s="28"/>
      <c r="D516" s="28"/>
      <c r="E516" s="28"/>
      <c r="F516" s="28"/>
      <c r="G516" s="28"/>
      <c r="H516" s="28"/>
      <c r="I516" s="28"/>
      <c r="J516" s="28"/>
      <c r="K516" s="28"/>
      <c r="L516" s="28"/>
      <c r="M516" s="33"/>
      <c r="N516" s="33"/>
      <c r="O516" s="33"/>
      <c r="P516" s="33"/>
      <c r="Q516" s="28"/>
      <c r="R516" s="28"/>
      <c r="S516" s="28"/>
      <c r="T516" s="28"/>
      <c r="U516" s="28"/>
      <c r="V516" s="28"/>
      <c r="W516" s="28"/>
      <c r="X516" s="28"/>
      <c r="Y516" s="28"/>
      <c r="Z516" s="28"/>
      <c r="AA516" s="28"/>
    </row>
    <row r="517" ht="18.75" customHeight="1">
      <c r="A517" s="28"/>
      <c r="B517" s="28"/>
      <c r="C517" s="28"/>
      <c r="D517" s="28"/>
      <c r="E517" s="28"/>
      <c r="F517" s="28"/>
      <c r="G517" s="28"/>
      <c r="H517" s="28"/>
      <c r="I517" s="28"/>
      <c r="J517" s="28"/>
      <c r="K517" s="28"/>
      <c r="L517" s="28"/>
      <c r="M517" s="33"/>
      <c r="N517" s="33"/>
      <c r="O517" s="33"/>
      <c r="P517" s="33"/>
      <c r="Q517" s="28"/>
      <c r="R517" s="28"/>
      <c r="S517" s="28"/>
      <c r="T517" s="28"/>
      <c r="U517" s="28"/>
      <c r="V517" s="28"/>
      <c r="W517" s="28"/>
      <c r="X517" s="28"/>
      <c r="Y517" s="28"/>
      <c r="Z517" s="28"/>
      <c r="AA517" s="28"/>
    </row>
    <row r="518" ht="18.75" customHeight="1">
      <c r="A518" s="28"/>
      <c r="B518" s="28"/>
      <c r="C518" s="28"/>
      <c r="D518" s="28"/>
      <c r="E518" s="28"/>
      <c r="F518" s="28"/>
      <c r="G518" s="28"/>
      <c r="H518" s="28"/>
      <c r="I518" s="28"/>
      <c r="J518" s="28"/>
      <c r="K518" s="28"/>
      <c r="L518" s="28"/>
      <c r="M518" s="33"/>
      <c r="N518" s="33"/>
      <c r="O518" s="33"/>
      <c r="P518" s="33"/>
      <c r="Q518" s="28"/>
      <c r="R518" s="28"/>
      <c r="S518" s="28"/>
      <c r="T518" s="28"/>
      <c r="U518" s="28"/>
      <c r="V518" s="28"/>
      <c r="W518" s="28"/>
      <c r="X518" s="28"/>
      <c r="Y518" s="28"/>
      <c r="Z518" s="28"/>
      <c r="AA518" s="28"/>
    </row>
    <row r="519" ht="18.75" customHeight="1">
      <c r="A519" s="28"/>
      <c r="B519" s="28"/>
      <c r="C519" s="28"/>
      <c r="D519" s="28"/>
      <c r="E519" s="28"/>
      <c r="F519" s="28"/>
      <c r="G519" s="28"/>
      <c r="H519" s="28"/>
      <c r="I519" s="28"/>
      <c r="J519" s="28"/>
      <c r="K519" s="28"/>
      <c r="L519" s="28"/>
      <c r="M519" s="33"/>
      <c r="N519" s="33"/>
      <c r="O519" s="33"/>
      <c r="P519" s="33"/>
      <c r="Q519" s="28"/>
      <c r="R519" s="28"/>
      <c r="S519" s="28"/>
      <c r="T519" s="28"/>
      <c r="U519" s="28"/>
      <c r="V519" s="28"/>
      <c r="W519" s="28"/>
      <c r="X519" s="28"/>
      <c r="Y519" s="28"/>
      <c r="Z519" s="28"/>
      <c r="AA519" s="28"/>
    </row>
    <row r="520" ht="18.75" customHeight="1">
      <c r="A520" s="28"/>
      <c r="B520" s="28"/>
      <c r="C520" s="28"/>
      <c r="D520" s="28"/>
      <c r="E520" s="28"/>
      <c r="F520" s="28"/>
      <c r="G520" s="28"/>
      <c r="H520" s="28"/>
      <c r="I520" s="28"/>
      <c r="J520" s="28"/>
      <c r="K520" s="28"/>
      <c r="L520" s="28"/>
      <c r="M520" s="33"/>
      <c r="N520" s="33"/>
      <c r="O520" s="33"/>
      <c r="P520" s="33"/>
      <c r="Q520" s="28"/>
      <c r="R520" s="28"/>
      <c r="S520" s="28"/>
      <c r="T520" s="28"/>
      <c r="U520" s="28"/>
      <c r="V520" s="28"/>
      <c r="W520" s="28"/>
      <c r="X520" s="28"/>
      <c r="Y520" s="28"/>
      <c r="Z520" s="28"/>
      <c r="AA520" s="28"/>
    </row>
    <row r="521" ht="18.75" customHeight="1">
      <c r="A521" s="28"/>
      <c r="B521" s="28"/>
      <c r="C521" s="28"/>
      <c r="D521" s="28"/>
      <c r="E521" s="28"/>
      <c r="F521" s="28"/>
      <c r="G521" s="28"/>
      <c r="H521" s="28"/>
      <c r="I521" s="28"/>
      <c r="J521" s="28"/>
      <c r="K521" s="28"/>
      <c r="L521" s="28"/>
      <c r="M521" s="33"/>
      <c r="N521" s="33"/>
      <c r="O521" s="33"/>
      <c r="P521" s="33"/>
      <c r="Q521" s="28"/>
      <c r="R521" s="28"/>
      <c r="S521" s="28"/>
      <c r="T521" s="28"/>
      <c r="U521" s="28"/>
      <c r="V521" s="28"/>
      <c r="W521" s="28"/>
      <c r="X521" s="28"/>
      <c r="Y521" s="28"/>
      <c r="Z521" s="28"/>
      <c r="AA521" s="28"/>
    </row>
    <row r="522" ht="18.75" customHeight="1">
      <c r="A522" s="28"/>
      <c r="B522" s="28"/>
      <c r="C522" s="28"/>
      <c r="D522" s="28"/>
      <c r="E522" s="28"/>
      <c r="F522" s="28"/>
      <c r="G522" s="28"/>
      <c r="H522" s="28"/>
      <c r="I522" s="28"/>
      <c r="J522" s="28"/>
      <c r="K522" s="28"/>
      <c r="L522" s="28"/>
      <c r="M522" s="33"/>
      <c r="N522" s="33"/>
      <c r="O522" s="33"/>
      <c r="P522" s="33"/>
      <c r="Q522" s="28"/>
      <c r="R522" s="28"/>
      <c r="S522" s="28"/>
      <c r="T522" s="28"/>
      <c r="U522" s="28"/>
      <c r="V522" s="28"/>
      <c r="W522" s="28"/>
      <c r="X522" s="28"/>
      <c r="Y522" s="28"/>
      <c r="Z522" s="28"/>
      <c r="AA522" s="28"/>
    </row>
    <row r="523" ht="18.75" customHeight="1">
      <c r="A523" s="28"/>
      <c r="B523" s="28"/>
      <c r="C523" s="28"/>
      <c r="D523" s="28"/>
      <c r="E523" s="28"/>
      <c r="F523" s="28"/>
      <c r="G523" s="28"/>
      <c r="H523" s="28"/>
      <c r="I523" s="28"/>
      <c r="J523" s="28"/>
      <c r="K523" s="28"/>
      <c r="L523" s="28"/>
      <c r="M523" s="33"/>
      <c r="N523" s="33"/>
      <c r="O523" s="33"/>
      <c r="P523" s="33"/>
      <c r="Q523" s="28"/>
      <c r="R523" s="28"/>
      <c r="S523" s="28"/>
      <c r="T523" s="28"/>
      <c r="U523" s="28"/>
      <c r="V523" s="28"/>
      <c r="W523" s="28"/>
      <c r="X523" s="28"/>
      <c r="Y523" s="28"/>
      <c r="Z523" s="28"/>
      <c r="AA523" s="28"/>
    </row>
    <row r="524" ht="18.75" customHeight="1">
      <c r="A524" s="28"/>
      <c r="B524" s="28"/>
      <c r="C524" s="28"/>
      <c r="D524" s="28"/>
      <c r="E524" s="28"/>
      <c r="F524" s="28"/>
      <c r="G524" s="28"/>
      <c r="H524" s="28"/>
      <c r="I524" s="28"/>
      <c r="J524" s="28"/>
      <c r="K524" s="28"/>
      <c r="L524" s="28"/>
      <c r="M524" s="33"/>
      <c r="N524" s="33"/>
      <c r="O524" s="33"/>
      <c r="P524" s="33"/>
      <c r="Q524" s="28"/>
      <c r="R524" s="28"/>
      <c r="S524" s="28"/>
      <c r="T524" s="28"/>
      <c r="U524" s="28"/>
      <c r="V524" s="28"/>
      <c r="W524" s="28"/>
      <c r="X524" s="28"/>
      <c r="Y524" s="28"/>
      <c r="Z524" s="28"/>
      <c r="AA524" s="28"/>
    </row>
    <row r="525" ht="18.75" customHeight="1">
      <c r="A525" s="28"/>
      <c r="B525" s="28"/>
      <c r="C525" s="28"/>
      <c r="D525" s="28"/>
      <c r="E525" s="28"/>
      <c r="F525" s="28"/>
      <c r="G525" s="28"/>
      <c r="H525" s="28"/>
      <c r="I525" s="28"/>
      <c r="J525" s="28"/>
      <c r="K525" s="28"/>
      <c r="L525" s="28"/>
      <c r="M525" s="33"/>
      <c r="N525" s="33"/>
      <c r="O525" s="33"/>
      <c r="P525" s="33"/>
      <c r="Q525" s="28"/>
      <c r="R525" s="28"/>
      <c r="S525" s="28"/>
      <c r="T525" s="28"/>
      <c r="U525" s="28"/>
      <c r="V525" s="28"/>
      <c r="W525" s="28"/>
      <c r="X525" s="28"/>
      <c r="Y525" s="28"/>
      <c r="Z525" s="28"/>
      <c r="AA525" s="28"/>
    </row>
    <row r="526" ht="18.75" customHeight="1">
      <c r="A526" s="28"/>
      <c r="B526" s="28"/>
      <c r="C526" s="28"/>
      <c r="D526" s="28"/>
      <c r="E526" s="28"/>
      <c r="F526" s="28"/>
      <c r="G526" s="28"/>
      <c r="H526" s="28"/>
      <c r="I526" s="28"/>
      <c r="J526" s="28"/>
      <c r="K526" s="28"/>
      <c r="L526" s="28"/>
      <c r="M526" s="33"/>
      <c r="N526" s="33"/>
      <c r="O526" s="33"/>
      <c r="P526" s="33"/>
      <c r="Q526" s="28"/>
      <c r="R526" s="28"/>
      <c r="S526" s="28"/>
      <c r="T526" s="28"/>
      <c r="U526" s="28"/>
      <c r="V526" s="28"/>
      <c r="W526" s="28"/>
      <c r="X526" s="28"/>
      <c r="Y526" s="28"/>
      <c r="Z526" s="28"/>
      <c r="AA526" s="28"/>
    </row>
    <row r="527" ht="18.75" customHeight="1">
      <c r="A527" s="28"/>
      <c r="B527" s="28"/>
      <c r="C527" s="28"/>
      <c r="D527" s="28"/>
      <c r="E527" s="28"/>
      <c r="F527" s="28"/>
      <c r="G527" s="28"/>
      <c r="H527" s="28"/>
      <c r="I527" s="28"/>
      <c r="J527" s="28"/>
      <c r="K527" s="28"/>
      <c r="L527" s="28"/>
      <c r="M527" s="33"/>
      <c r="N527" s="33"/>
      <c r="O527" s="33"/>
      <c r="P527" s="33"/>
      <c r="Q527" s="28"/>
      <c r="R527" s="28"/>
      <c r="S527" s="28"/>
      <c r="T527" s="28"/>
      <c r="U527" s="28"/>
      <c r="V527" s="28"/>
      <c r="W527" s="28"/>
      <c r="X527" s="28"/>
      <c r="Y527" s="28"/>
      <c r="Z527" s="28"/>
      <c r="AA527" s="28"/>
    </row>
    <row r="528" ht="18.75" customHeight="1">
      <c r="A528" s="28"/>
      <c r="B528" s="28"/>
      <c r="C528" s="28"/>
      <c r="D528" s="28"/>
      <c r="E528" s="28"/>
      <c r="F528" s="28"/>
      <c r="G528" s="28"/>
      <c r="H528" s="28"/>
      <c r="I528" s="28"/>
      <c r="J528" s="28"/>
      <c r="K528" s="28"/>
      <c r="L528" s="28"/>
      <c r="M528" s="33"/>
      <c r="N528" s="33"/>
      <c r="O528" s="33"/>
      <c r="P528" s="33"/>
      <c r="Q528" s="28"/>
      <c r="R528" s="28"/>
      <c r="S528" s="28"/>
      <c r="T528" s="28"/>
      <c r="U528" s="28"/>
      <c r="V528" s="28"/>
      <c r="W528" s="28"/>
      <c r="X528" s="28"/>
      <c r="Y528" s="28"/>
      <c r="Z528" s="28"/>
      <c r="AA528" s="28"/>
    </row>
    <row r="529" ht="18.75" customHeight="1">
      <c r="A529" s="28"/>
      <c r="B529" s="28"/>
      <c r="C529" s="28"/>
      <c r="D529" s="28"/>
      <c r="E529" s="28"/>
      <c r="F529" s="28"/>
      <c r="G529" s="28"/>
      <c r="H529" s="28"/>
      <c r="I529" s="28"/>
      <c r="J529" s="28"/>
      <c r="K529" s="28"/>
      <c r="L529" s="28"/>
      <c r="M529" s="33"/>
      <c r="N529" s="33"/>
      <c r="O529" s="33"/>
      <c r="P529" s="33"/>
      <c r="Q529" s="28"/>
      <c r="R529" s="28"/>
      <c r="S529" s="28"/>
      <c r="T529" s="28"/>
      <c r="U529" s="28"/>
      <c r="V529" s="28"/>
      <c r="W529" s="28"/>
      <c r="X529" s="28"/>
      <c r="Y529" s="28"/>
      <c r="Z529" s="28"/>
      <c r="AA529" s="28"/>
    </row>
    <row r="530" ht="18.75" customHeight="1">
      <c r="A530" s="28"/>
      <c r="B530" s="28"/>
      <c r="C530" s="28"/>
      <c r="D530" s="28"/>
      <c r="E530" s="28"/>
      <c r="F530" s="28"/>
      <c r="G530" s="28"/>
      <c r="H530" s="28"/>
      <c r="I530" s="28"/>
      <c r="J530" s="28"/>
      <c r="K530" s="28"/>
      <c r="L530" s="28"/>
      <c r="M530" s="33"/>
      <c r="N530" s="33"/>
      <c r="O530" s="33"/>
      <c r="P530" s="33"/>
      <c r="Q530" s="28"/>
      <c r="R530" s="28"/>
      <c r="S530" s="28"/>
      <c r="T530" s="28"/>
      <c r="U530" s="28"/>
      <c r="V530" s="28"/>
      <c r="W530" s="28"/>
      <c r="X530" s="28"/>
      <c r="Y530" s="28"/>
      <c r="Z530" s="28"/>
      <c r="AA530" s="28"/>
    </row>
    <row r="531" ht="18.75" customHeight="1">
      <c r="A531" s="28"/>
      <c r="B531" s="28"/>
      <c r="C531" s="28"/>
      <c r="D531" s="28"/>
      <c r="E531" s="28"/>
      <c r="F531" s="28"/>
      <c r="G531" s="28"/>
      <c r="H531" s="28"/>
      <c r="I531" s="28"/>
      <c r="J531" s="28"/>
      <c r="K531" s="28"/>
      <c r="L531" s="28"/>
      <c r="M531" s="33"/>
      <c r="N531" s="33"/>
      <c r="O531" s="33"/>
      <c r="P531" s="33"/>
      <c r="Q531" s="28"/>
      <c r="R531" s="28"/>
      <c r="S531" s="28"/>
      <c r="T531" s="28"/>
      <c r="U531" s="28"/>
      <c r="V531" s="28"/>
      <c r="W531" s="28"/>
      <c r="X531" s="28"/>
      <c r="Y531" s="28"/>
      <c r="Z531" s="28"/>
      <c r="AA531" s="28"/>
    </row>
    <row r="532" ht="18.75" customHeight="1">
      <c r="A532" s="28"/>
      <c r="B532" s="28"/>
      <c r="C532" s="28"/>
      <c r="D532" s="28"/>
      <c r="E532" s="28"/>
      <c r="F532" s="28"/>
      <c r="G532" s="28"/>
      <c r="H532" s="28"/>
      <c r="I532" s="28"/>
      <c r="J532" s="28"/>
      <c r="K532" s="28"/>
      <c r="L532" s="28"/>
      <c r="M532" s="33"/>
      <c r="N532" s="33"/>
      <c r="O532" s="33"/>
      <c r="P532" s="33"/>
      <c r="Q532" s="28"/>
      <c r="R532" s="28"/>
      <c r="S532" s="28"/>
      <c r="T532" s="28"/>
      <c r="U532" s="28"/>
      <c r="V532" s="28"/>
      <c r="W532" s="28"/>
      <c r="X532" s="28"/>
      <c r="Y532" s="28"/>
      <c r="Z532" s="28"/>
      <c r="AA532" s="28"/>
    </row>
    <row r="533" ht="18.75" customHeight="1">
      <c r="A533" s="28"/>
      <c r="B533" s="28"/>
      <c r="C533" s="28"/>
      <c r="D533" s="28"/>
      <c r="E533" s="28"/>
      <c r="F533" s="28"/>
      <c r="G533" s="28"/>
      <c r="H533" s="28"/>
      <c r="I533" s="28"/>
      <c r="J533" s="28"/>
      <c r="K533" s="28"/>
      <c r="L533" s="28"/>
      <c r="M533" s="33"/>
      <c r="N533" s="33"/>
      <c r="O533" s="33"/>
      <c r="P533" s="33"/>
      <c r="Q533" s="28"/>
      <c r="R533" s="28"/>
      <c r="S533" s="28"/>
      <c r="T533" s="28"/>
      <c r="U533" s="28"/>
      <c r="V533" s="28"/>
      <c r="W533" s="28"/>
      <c r="X533" s="28"/>
      <c r="Y533" s="28"/>
      <c r="Z533" s="28"/>
      <c r="AA533" s="28"/>
    </row>
    <row r="534" ht="18.75" customHeight="1">
      <c r="A534" s="28"/>
      <c r="B534" s="28"/>
      <c r="C534" s="28"/>
      <c r="D534" s="28"/>
      <c r="E534" s="28"/>
      <c r="F534" s="28"/>
      <c r="G534" s="28"/>
      <c r="H534" s="28"/>
      <c r="I534" s="28"/>
      <c r="J534" s="28"/>
      <c r="K534" s="28"/>
      <c r="L534" s="28"/>
      <c r="M534" s="33"/>
      <c r="N534" s="33"/>
      <c r="O534" s="33"/>
      <c r="P534" s="33"/>
      <c r="Q534" s="28"/>
      <c r="R534" s="28"/>
      <c r="S534" s="28"/>
      <c r="T534" s="28"/>
      <c r="U534" s="28"/>
      <c r="V534" s="28"/>
      <c r="W534" s="28"/>
      <c r="X534" s="28"/>
      <c r="Y534" s="28"/>
      <c r="Z534" s="28"/>
      <c r="AA534" s="28"/>
    </row>
    <row r="535" ht="18.75" customHeight="1">
      <c r="A535" s="28"/>
      <c r="B535" s="28"/>
      <c r="C535" s="28"/>
      <c r="D535" s="28"/>
      <c r="E535" s="28"/>
      <c r="F535" s="28"/>
      <c r="G535" s="28"/>
      <c r="H535" s="28"/>
      <c r="I535" s="28"/>
      <c r="J535" s="28"/>
      <c r="K535" s="28"/>
      <c r="L535" s="28"/>
      <c r="M535" s="33"/>
      <c r="N535" s="33"/>
      <c r="O535" s="33"/>
      <c r="P535" s="33"/>
      <c r="Q535" s="28"/>
      <c r="R535" s="28"/>
      <c r="S535" s="28"/>
      <c r="T535" s="28"/>
      <c r="U535" s="28"/>
      <c r="V535" s="28"/>
      <c r="W535" s="28"/>
      <c r="X535" s="28"/>
      <c r="Y535" s="28"/>
      <c r="Z535" s="28"/>
      <c r="AA535" s="28"/>
    </row>
    <row r="536" ht="18.75" customHeight="1">
      <c r="A536" s="28"/>
      <c r="B536" s="28"/>
      <c r="C536" s="28"/>
      <c r="D536" s="28"/>
      <c r="E536" s="28"/>
      <c r="F536" s="28"/>
      <c r="G536" s="28"/>
      <c r="H536" s="28"/>
      <c r="I536" s="28"/>
      <c r="J536" s="28"/>
      <c r="K536" s="28"/>
      <c r="L536" s="28"/>
      <c r="M536" s="33"/>
      <c r="N536" s="33"/>
      <c r="O536" s="33"/>
      <c r="P536" s="33"/>
      <c r="Q536" s="28"/>
      <c r="R536" s="28"/>
      <c r="S536" s="28"/>
      <c r="T536" s="28"/>
      <c r="U536" s="28"/>
      <c r="V536" s="28"/>
      <c r="W536" s="28"/>
      <c r="X536" s="28"/>
      <c r="Y536" s="28"/>
      <c r="Z536" s="28"/>
      <c r="AA536" s="28"/>
    </row>
    <row r="537" ht="18.75" customHeight="1">
      <c r="A537" s="28"/>
      <c r="B537" s="28"/>
      <c r="C537" s="28"/>
      <c r="D537" s="28"/>
      <c r="E537" s="28"/>
      <c r="F537" s="28"/>
      <c r="G537" s="28"/>
      <c r="H537" s="28"/>
      <c r="I537" s="28"/>
      <c r="J537" s="28"/>
      <c r="K537" s="28"/>
      <c r="L537" s="28"/>
      <c r="M537" s="33"/>
      <c r="N537" s="33"/>
      <c r="O537" s="33"/>
      <c r="P537" s="33"/>
      <c r="Q537" s="28"/>
      <c r="R537" s="28"/>
      <c r="S537" s="28"/>
      <c r="T537" s="28"/>
      <c r="U537" s="28"/>
      <c r="V537" s="28"/>
      <c r="W537" s="28"/>
      <c r="X537" s="28"/>
      <c r="Y537" s="28"/>
      <c r="Z537" s="28"/>
      <c r="AA537" s="28"/>
    </row>
    <row r="538" ht="18.75" customHeight="1">
      <c r="A538" s="28"/>
      <c r="B538" s="28"/>
      <c r="C538" s="28"/>
      <c r="D538" s="28"/>
      <c r="E538" s="28"/>
      <c r="F538" s="28"/>
      <c r="G538" s="28"/>
      <c r="H538" s="28"/>
      <c r="I538" s="28"/>
      <c r="J538" s="28"/>
      <c r="K538" s="28"/>
      <c r="L538" s="28"/>
      <c r="M538" s="33"/>
      <c r="N538" s="33"/>
      <c r="O538" s="33"/>
      <c r="P538" s="33"/>
      <c r="Q538" s="28"/>
      <c r="R538" s="28"/>
      <c r="S538" s="28"/>
      <c r="T538" s="28"/>
      <c r="U538" s="28"/>
      <c r="V538" s="28"/>
      <c r="W538" s="28"/>
      <c r="X538" s="28"/>
      <c r="Y538" s="28"/>
      <c r="Z538" s="28"/>
      <c r="AA538" s="28"/>
    </row>
    <row r="539" ht="18.75" customHeight="1">
      <c r="A539" s="28"/>
      <c r="B539" s="28"/>
      <c r="C539" s="28"/>
      <c r="D539" s="28"/>
      <c r="E539" s="28"/>
      <c r="F539" s="28"/>
      <c r="G539" s="28"/>
      <c r="H539" s="28"/>
      <c r="I539" s="28"/>
      <c r="J539" s="28"/>
      <c r="K539" s="28"/>
      <c r="L539" s="28"/>
      <c r="M539" s="33"/>
      <c r="N539" s="33"/>
      <c r="O539" s="33"/>
      <c r="P539" s="33"/>
      <c r="Q539" s="28"/>
      <c r="R539" s="28"/>
      <c r="S539" s="28"/>
      <c r="T539" s="28"/>
      <c r="U539" s="28"/>
      <c r="V539" s="28"/>
      <c r="W539" s="28"/>
      <c r="X539" s="28"/>
      <c r="Y539" s="28"/>
      <c r="Z539" s="28"/>
      <c r="AA539" s="28"/>
    </row>
    <row r="540" ht="18.75" customHeight="1">
      <c r="A540" s="28"/>
      <c r="B540" s="28"/>
      <c r="C540" s="28"/>
      <c r="D540" s="28"/>
      <c r="E540" s="28"/>
      <c r="F540" s="28"/>
      <c r="G540" s="28"/>
      <c r="H540" s="28"/>
      <c r="I540" s="28"/>
      <c r="J540" s="28"/>
      <c r="K540" s="28"/>
      <c r="L540" s="28"/>
      <c r="M540" s="33"/>
      <c r="N540" s="33"/>
      <c r="O540" s="33"/>
      <c r="P540" s="33"/>
      <c r="Q540" s="28"/>
      <c r="R540" s="28"/>
      <c r="S540" s="28"/>
      <c r="T540" s="28"/>
      <c r="U540" s="28"/>
      <c r="V540" s="28"/>
      <c r="W540" s="28"/>
      <c r="X540" s="28"/>
      <c r="Y540" s="28"/>
      <c r="Z540" s="28"/>
      <c r="AA540" s="28"/>
    </row>
    <row r="541" ht="18.75" customHeight="1">
      <c r="A541" s="28"/>
      <c r="B541" s="28"/>
      <c r="C541" s="28"/>
      <c r="D541" s="28"/>
      <c r="E541" s="28"/>
      <c r="F541" s="28"/>
      <c r="G541" s="28"/>
      <c r="H541" s="28"/>
      <c r="I541" s="28"/>
      <c r="J541" s="28"/>
      <c r="K541" s="28"/>
      <c r="L541" s="28"/>
      <c r="M541" s="33"/>
      <c r="N541" s="33"/>
      <c r="O541" s="33"/>
      <c r="P541" s="33"/>
      <c r="Q541" s="28"/>
      <c r="R541" s="28"/>
      <c r="S541" s="28"/>
      <c r="T541" s="28"/>
      <c r="U541" s="28"/>
      <c r="V541" s="28"/>
      <c r="W541" s="28"/>
      <c r="X541" s="28"/>
      <c r="Y541" s="28"/>
      <c r="Z541" s="28"/>
      <c r="AA541" s="28"/>
    </row>
    <row r="542" ht="18.75" customHeight="1">
      <c r="A542" s="28"/>
      <c r="B542" s="28"/>
      <c r="C542" s="28"/>
      <c r="D542" s="28"/>
      <c r="E542" s="28"/>
      <c r="F542" s="28"/>
      <c r="G542" s="28"/>
      <c r="H542" s="28"/>
      <c r="I542" s="28"/>
      <c r="J542" s="28"/>
      <c r="K542" s="28"/>
      <c r="L542" s="28"/>
      <c r="M542" s="33"/>
      <c r="N542" s="33"/>
      <c r="O542" s="33"/>
      <c r="P542" s="33"/>
      <c r="Q542" s="28"/>
      <c r="R542" s="28"/>
      <c r="S542" s="28"/>
      <c r="T542" s="28"/>
      <c r="U542" s="28"/>
      <c r="V542" s="28"/>
      <c r="W542" s="28"/>
      <c r="X542" s="28"/>
      <c r="Y542" s="28"/>
      <c r="Z542" s="28"/>
      <c r="AA542" s="28"/>
    </row>
    <row r="543" ht="18.75" customHeight="1">
      <c r="A543" s="28"/>
      <c r="B543" s="28"/>
      <c r="C543" s="28"/>
      <c r="D543" s="28"/>
      <c r="E543" s="28"/>
      <c r="F543" s="28"/>
      <c r="G543" s="28"/>
      <c r="H543" s="28"/>
      <c r="I543" s="28"/>
      <c r="J543" s="28"/>
      <c r="K543" s="28"/>
      <c r="L543" s="28"/>
      <c r="M543" s="33"/>
      <c r="N543" s="33"/>
      <c r="O543" s="33"/>
      <c r="P543" s="33"/>
      <c r="Q543" s="28"/>
      <c r="R543" s="28"/>
      <c r="S543" s="28"/>
      <c r="T543" s="28"/>
      <c r="U543" s="28"/>
      <c r="V543" s="28"/>
      <c r="W543" s="28"/>
      <c r="X543" s="28"/>
      <c r="Y543" s="28"/>
      <c r="Z543" s="28"/>
      <c r="AA543" s="28"/>
    </row>
    <row r="544" ht="18.75" customHeight="1">
      <c r="A544" s="28"/>
      <c r="B544" s="28"/>
      <c r="C544" s="28"/>
      <c r="D544" s="28"/>
      <c r="E544" s="28"/>
      <c r="F544" s="28"/>
      <c r="G544" s="28"/>
      <c r="H544" s="28"/>
      <c r="I544" s="28"/>
      <c r="J544" s="28"/>
      <c r="K544" s="28"/>
      <c r="L544" s="28"/>
      <c r="M544" s="33"/>
      <c r="N544" s="33"/>
      <c r="O544" s="33"/>
      <c r="P544" s="33"/>
      <c r="Q544" s="28"/>
      <c r="R544" s="28"/>
      <c r="S544" s="28"/>
      <c r="T544" s="28"/>
      <c r="U544" s="28"/>
      <c r="V544" s="28"/>
      <c r="W544" s="28"/>
      <c r="X544" s="28"/>
      <c r="Y544" s="28"/>
      <c r="Z544" s="28"/>
      <c r="AA544" s="28"/>
    </row>
    <row r="545" ht="18.75" customHeight="1">
      <c r="A545" s="28"/>
      <c r="B545" s="28"/>
      <c r="C545" s="28"/>
      <c r="D545" s="28"/>
      <c r="E545" s="28"/>
      <c r="F545" s="28"/>
      <c r="G545" s="28"/>
      <c r="H545" s="28"/>
      <c r="I545" s="28"/>
      <c r="J545" s="28"/>
      <c r="K545" s="28"/>
      <c r="L545" s="28"/>
      <c r="M545" s="33"/>
      <c r="N545" s="33"/>
      <c r="O545" s="33"/>
      <c r="P545" s="33"/>
      <c r="Q545" s="28"/>
      <c r="R545" s="28"/>
      <c r="S545" s="28"/>
      <c r="T545" s="28"/>
      <c r="U545" s="28"/>
      <c r="V545" s="28"/>
      <c r="W545" s="28"/>
      <c r="X545" s="28"/>
      <c r="Y545" s="28"/>
      <c r="Z545" s="28"/>
      <c r="AA545" s="28"/>
    </row>
    <row r="546" ht="18.75" customHeight="1">
      <c r="A546" s="28"/>
      <c r="B546" s="28"/>
      <c r="C546" s="28"/>
      <c r="D546" s="28"/>
      <c r="E546" s="28"/>
      <c r="F546" s="28"/>
      <c r="G546" s="28"/>
      <c r="H546" s="28"/>
      <c r="I546" s="28"/>
      <c r="J546" s="28"/>
      <c r="K546" s="28"/>
      <c r="L546" s="28"/>
      <c r="M546" s="33"/>
      <c r="N546" s="33"/>
      <c r="O546" s="33"/>
      <c r="P546" s="33"/>
      <c r="Q546" s="28"/>
      <c r="R546" s="28"/>
      <c r="S546" s="28"/>
      <c r="T546" s="28"/>
      <c r="U546" s="28"/>
      <c r="V546" s="28"/>
      <c r="W546" s="28"/>
      <c r="X546" s="28"/>
      <c r="Y546" s="28"/>
      <c r="Z546" s="28"/>
      <c r="AA546" s="28"/>
    </row>
    <row r="547" ht="18.75" customHeight="1">
      <c r="A547" s="28"/>
      <c r="B547" s="28"/>
      <c r="C547" s="28"/>
      <c r="D547" s="28"/>
      <c r="E547" s="28"/>
      <c r="F547" s="28"/>
      <c r="G547" s="28"/>
      <c r="H547" s="28"/>
      <c r="I547" s="28"/>
      <c r="J547" s="28"/>
      <c r="K547" s="28"/>
      <c r="L547" s="28"/>
      <c r="M547" s="33"/>
      <c r="N547" s="33"/>
      <c r="O547" s="33"/>
      <c r="P547" s="33"/>
      <c r="Q547" s="28"/>
      <c r="R547" s="28"/>
      <c r="S547" s="28"/>
      <c r="T547" s="28"/>
      <c r="U547" s="28"/>
      <c r="V547" s="28"/>
      <c r="W547" s="28"/>
      <c r="X547" s="28"/>
      <c r="Y547" s="28"/>
      <c r="Z547" s="28"/>
      <c r="AA547" s="28"/>
    </row>
    <row r="548" ht="18.75" customHeight="1">
      <c r="A548" s="28"/>
      <c r="B548" s="28"/>
      <c r="C548" s="28"/>
      <c r="D548" s="28"/>
      <c r="E548" s="28"/>
      <c r="F548" s="28"/>
      <c r="G548" s="28"/>
      <c r="H548" s="28"/>
      <c r="I548" s="28"/>
      <c r="J548" s="28"/>
      <c r="K548" s="28"/>
      <c r="L548" s="28"/>
      <c r="M548" s="33"/>
      <c r="N548" s="33"/>
      <c r="O548" s="33"/>
      <c r="P548" s="33"/>
      <c r="Q548" s="28"/>
      <c r="R548" s="28"/>
      <c r="S548" s="28"/>
      <c r="T548" s="28"/>
      <c r="U548" s="28"/>
      <c r="V548" s="28"/>
      <c r="W548" s="28"/>
      <c r="X548" s="28"/>
      <c r="Y548" s="28"/>
      <c r="Z548" s="28"/>
      <c r="AA548" s="28"/>
    </row>
    <row r="549" ht="18.75" customHeight="1">
      <c r="A549" s="28"/>
      <c r="B549" s="28"/>
      <c r="C549" s="28"/>
      <c r="D549" s="28"/>
      <c r="E549" s="28"/>
      <c r="F549" s="28"/>
      <c r="G549" s="28"/>
      <c r="H549" s="28"/>
      <c r="I549" s="28"/>
      <c r="J549" s="28"/>
      <c r="K549" s="28"/>
      <c r="L549" s="28"/>
      <c r="M549" s="33"/>
      <c r="N549" s="33"/>
      <c r="O549" s="33"/>
      <c r="P549" s="33"/>
      <c r="Q549" s="28"/>
      <c r="R549" s="28"/>
      <c r="S549" s="28"/>
      <c r="T549" s="28"/>
      <c r="U549" s="28"/>
      <c r="V549" s="28"/>
      <c r="W549" s="28"/>
      <c r="X549" s="28"/>
      <c r="Y549" s="28"/>
      <c r="Z549" s="28"/>
      <c r="AA549" s="28"/>
    </row>
    <row r="550" ht="18.75" customHeight="1">
      <c r="A550" s="28"/>
      <c r="B550" s="28"/>
      <c r="C550" s="28"/>
      <c r="D550" s="28"/>
      <c r="E550" s="28"/>
      <c r="F550" s="28"/>
      <c r="G550" s="28"/>
      <c r="H550" s="28"/>
      <c r="I550" s="28"/>
      <c r="J550" s="28"/>
      <c r="K550" s="28"/>
      <c r="L550" s="28"/>
      <c r="M550" s="33"/>
      <c r="N550" s="33"/>
      <c r="O550" s="33"/>
      <c r="P550" s="33"/>
      <c r="Q550" s="28"/>
      <c r="R550" s="28"/>
      <c r="S550" s="28"/>
      <c r="T550" s="28"/>
      <c r="U550" s="28"/>
      <c r="V550" s="28"/>
      <c r="W550" s="28"/>
      <c r="X550" s="28"/>
      <c r="Y550" s="28"/>
      <c r="Z550" s="28"/>
      <c r="AA550" s="28"/>
    </row>
    <row r="551" ht="18.75" customHeight="1">
      <c r="A551" s="28"/>
      <c r="B551" s="28"/>
      <c r="C551" s="28"/>
      <c r="D551" s="28"/>
      <c r="E551" s="28"/>
      <c r="F551" s="28"/>
      <c r="G551" s="28"/>
      <c r="H551" s="28"/>
      <c r="I551" s="28"/>
      <c r="J551" s="28"/>
      <c r="K551" s="28"/>
      <c r="L551" s="28"/>
      <c r="M551" s="33"/>
      <c r="N551" s="33"/>
      <c r="O551" s="33"/>
      <c r="P551" s="33"/>
      <c r="Q551" s="28"/>
      <c r="R551" s="28"/>
      <c r="S551" s="28"/>
      <c r="T551" s="28"/>
      <c r="U551" s="28"/>
      <c r="V551" s="28"/>
      <c r="W551" s="28"/>
      <c r="X551" s="28"/>
      <c r="Y551" s="28"/>
      <c r="Z551" s="28"/>
      <c r="AA551" s="28"/>
    </row>
    <row r="552" ht="18.75" customHeight="1">
      <c r="A552" s="28"/>
      <c r="B552" s="28"/>
      <c r="C552" s="28"/>
      <c r="D552" s="28"/>
      <c r="E552" s="28"/>
      <c r="F552" s="28"/>
      <c r="G552" s="28"/>
      <c r="H552" s="28"/>
      <c r="I552" s="28"/>
      <c r="J552" s="28"/>
      <c r="K552" s="28"/>
      <c r="L552" s="28"/>
      <c r="M552" s="33"/>
      <c r="N552" s="33"/>
      <c r="O552" s="33"/>
      <c r="P552" s="33"/>
      <c r="Q552" s="28"/>
      <c r="R552" s="28"/>
      <c r="S552" s="28"/>
      <c r="T552" s="28"/>
      <c r="U552" s="28"/>
      <c r="V552" s="28"/>
      <c r="W552" s="28"/>
      <c r="X552" s="28"/>
      <c r="Y552" s="28"/>
      <c r="Z552" s="28"/>
      <c r="AA552" s="28"/>
    </row>
    <row r="553" ht="18.75" customHeight="1">
      <c r="A553" s="28"/>
      <c r="B553" s="28"/>
      <c r="C553" s="28"/>
      <c r="D553" s="28"/>
      <c r="E553" s="28"/>
      <c r="F553" s="28"/>
      <c r="G553" s="28"/>
      <c r="H553" s="28"/>
      <c r="I553" s="28"/>
      <c r="J553" s="28"/>
      <c r="K553" s="28"/>
      <c r="L553" s="28"/>
      <c r="M553" s="33"/>
      <c r="N553" s="33"/>
      <c r="O553" s="33"/>
      <c r="P553" s="33"/>
      <c r="Q553" s="28"/>
      <c r="R553" s="28"/>
      <c r="S553" s="28"/>
      <c r="T553" s="28"/>
      <c r="U553" s="28"/>
      <c r="V553" s="28"/>
      <c r="W553" s="28"/>
      <c r="X553" s="28"/>
      <c r="Y553" s="28"/>
      <c r="Z553" s="28"/>
      <c r="AA553" s="28"/>
    </row>
    <row r="554" ht="18.75" customHeight="1">
      <c r="A554" s="28"/>
      <c r="B554" s="28"/>
      <c r="C554" s="28"/>
      <c r="D554" s="28"/>
      <c r="E554" s="28"/>
      <c r="F554" s="28"/>
      <c r="G554" s="28"/>
      <c r="H554" s="28"/>
      <c r="I554" s="28"/>
      <c r="J554" s="28"/>
      <c r="K554" s="28"/>
      <c r="L554" s="28"/>
      <c r="M554" s="33"/>
      <c r="N554" s="33"/>
      <c r="O554" s="33"/>
      <c r="P554" s="33"/>
      <c r="Q554" s="28"/>
      <c r="R554" s="28"/>
      <c r="S554" s="28"/>
      <c r="T554" s="28"/>
      <c r="U554" s="28"/>
      <c r="V554" s="28"/>
      <c r="W554" s="28"/>
      <c r="X554" s="28"/>
      <c r="Y554" s="28"/>
      <c r="Z554" s="28"/>
      <c r="AA554" s="28"/>
    </row>
    <row r="555" ht="18.75" customHeight="1">
      <c r="A555" s="28"/>
      <c r="B555" s="28"/>
      <c r="C555" s="28"/>
      <c r="D555" s="28"/>
      <c r="E555" s="28"/>
      <c r="F555" s="28"/>
      <c r="G555" s="28"/>
      <c r="H555" s="28"/>
      <c r="I555" s="28"/>
      <c r="J555" s="28"/>
      <c r="K555" s="28"/>
      <c r="L555" s="28"/>
      <c r="M555" s="33"/>
      <c r="N555" s="33"/>
      <c r="O555" s="33"/>
      <c r="P555" s="33"/>
      <c r="Q555" s="28"/>
      <c r="R555" s="28"/>
      <c r="S555" s="28"/>
      <c r="T555" s="28"/>
      <c r="U555" s="28"/>
      <c r="V555" s="28"/>
      <c r="W555" s="28"/>
      <c r="X555" s="28"/>
      <c r="Y555" s="28"/>
      <c r="Z555" s="28"/>
      <c r="AA555" s="28"/>
    </row>
    <row r="556" ht="18.75" customHeight="1">
      <c r="A556" s="28"/>
      <c r="B556" s="28"/>
      <c r="C556" s="28"/>
      <c r="D556" s="28"/>
      <c r="E556" s="28"/>
      <c r="F556" s="28"/>
      <c r="G556" s="28"/>
      <c r="H556" s="28"/>
      <c r="I556" s="28"/>
      <c r="J556" s="28"/>
      <c r="K556" s="28"/>
      <c r="L556" s="28"/>
      <c r="M556" s="33"/>
      <c r="N556" s="33"/>
      <c r="O556" s="33"/>
      <c r="P556" s="33"/>
      <c r="Q556" s="28"/>
      <c r="R556" s="28"/>
      <c r="S556" s="28"/>
      <c r="T556" s="28"/>
      <c r="U556" s="28"/>
      <c r="V556" s="28"/>
      <c r="W556" s="28"/>
      <c r="X556" s="28"/>
      <c r="Y556" s="28"/>
      <c r="Z556" s="28"/>
      <c r="AA556" s="28"/>
    </row>
    <row r="557" ht="18.75" customHeight="1">
      <c r="A557" s="28"/>
      <c r="B557" s="28"/>
      <c r="C557" s="28"/>
      <c r="D557" s="28"/>
      <c r="E557" s="28"/>
      <c r="F557" s="28"/>
      <c r="G557" s="28"/>
      <c r="H557" s="28"/>
      <c r="I557" s="28"/>
      <c r="J557" s="28"/>
      <c r="K557" s="28"/>
      <c r="L557" s="28"/>
      <c r="M557" s="33"/>
      <c r="N557" s="33"/>
      <c r="O557" s="33"/>
      <c r="P557" s="33"/>
      <c r="Q557" s="28"/>
      <c r="R557" s="28"/>
      <c r="S557" s="28"/>
      <c r="T557" s="28"/>
      <c r="U557" s="28"/>
      <c r="V557" s="28"/>
      <c r="W557" s="28"/>
      <c r="X557" s="28"/>
      <c r="Y557" s="28"/>
      <c r="Z557" s="28"/>
      <c r="AA557" s="28"/>
    </row>
    <row r="558" ht="18.75" customHeight="1">
      <c r="A558" s="28"/>
      <c r="B558" s="28"/>
      <c r="C558" s="28"/>
      <c r="D558" s="28"/>
      <c r="E558" s="28"/>
      <c r="F558" s="28"/>
      <c r="G558" s="28"/>
      <c r="H558" s="28"/>
      <c r="I558" s="28"/>
      <c r="J558" s="28"/>
      <c r="K558" s="28"/>
      <c r="L558" s="28"/>
      <c r="M558" s="33"/>
      <c r="N558" s="33"/>
      <c r="O558" s="33"/>
      <c r="P558" s="33"/>
      <c r="Q558" s="28"/>
      <c r="R558" s="28"/>
      <c r="S558" s="28"/>
      <c r="T558" s="28"/>
      <c r="U558" s="28"/>
      <c r="V558" s="28"/>
      <c r="W558" s="28"/>
      <c r="X558" s="28"/>
      <c r="Y558" s="28"/>
      <c r="Z558" s="28"/>
      <c r="AA558" s="28"/>
    </row>
    <row r="559" ht="18.75" customHeight="1">
      <c r="A559" s="28"/>
      <c r="B559" s="28"/>
      <c r="C559" s="28"/>
      <c r="D559" s="28"/>
      <c r="E559" s="28"/>
      <c r="F559" s="28"/>
      <c r="G559" s="28"/>
      <c r="H559" s="28"/>
      <c r="I559" s="28"/>
      <c r="J559" s="28"/>
      <c r="K559" s="28"/>
      <c r="L559" s="28"/>
      <c r="M559" s="33"/>
      <c r="N559" s="33"/>
      <c r="O559" s="33"/>
      <c r="P559" s="33"/>
      <c r="Q559" s="28"/>
      <c r="R559" s="28"/>
      <c r="S559" s="28"/>
      <c r="T559" s="28"/>
      <c r="U559" s="28"/>
      <c r="V559" s="28"/>
      <c r="W559" s="28"/>
      <c r="X559" s="28"/>
      <c r="Y559" s="28"/>
      <c r="Z559" s="28"/>
      <c r="AA559" s="28"/>
    </row>
    <row r="560" ht="18.75" customHeight="1">
      <c r="A560" s="28"/>
      <c r="B560" s="28"/>
      <c r="C560" s="28"/>
      <c r="D560" s="28"/>
      <c r="E560" s="28"/>
      <c r="F560" s="28"/>
      <c r="G560" s="28"/>
      <c r="H560" s="28"/>
      <c r="I560" s="28"/>
      <c r="J560" s="28"/>
      <c r="K560" s="28"/>
      <c r="L560" s="28"/>
      <c r="M560" s="33"/>
      <c r="N560" s="33"/>
      <c r="O560" s="33"/>
      <c r="P560" s="33"/>
      <c r="Q560" s="28"/>
      <c r="R560" s="28"/>
      <c r="S560" s="28"/>
      <c r="T560" s="28"/>
      <c r="U560" s="28"/>
      <c r="V560" s="28"/>
      <c r="W560" s="28"/>
      <c r="X560" s="28"/>
      <c r="Y560" s="28"/>
      <c r="Z560" s="28"/>
      <c r="AA560" s="28"/>
    </row>
    <row r="561" ht="18.75" customHeight="1">
      <c r="A561" s="28"/>
      <c r="B561" s="28"/>
      <c r="C561" s="28"/>
      <c r="D561" s="28"/>
      <c r="E561" s="28"/>
      <c r="F561" s="28"/>
      <c r="G561" s="28"/>
      <c r="H561" s="28"/>
      <c r="I561" s="28"/>
      <c r="J561" s="28"/>
      <c r="K561" s="28"/>
      <c r="L561" s="28"/>
      <c r="M561" s="33"/>
      <c r="N561" s="33"/>
      <c r="O561" s="33"/>
      <c r="P561" s="33"/>
      <c r="Q561" s="28"/>
      <c r="R561" s="28"/>
      <c r="S561" s="28"/>
      <c r="T561" s="28"/>
      <c r="U561" s="28"/>
      <c r="V561" s="28"/>
      <c r="W561" s="28"/>
      <c r="X561" s="28"/>
      <c r="Y561" s="28"/>
      <c r="Z561" s="28"/>
      <c r="AA561" s="28"/>
    </row>
    <row r="562" ht="18.75" customHeight="1">
      <c r="A562" s="28"/>
      <c r="B562" s="28"/>
      <c r="C562" s="28"/>
      <c r="D562" s="28"/>
      <c r="E562" s="28"/>
      <c r="F562" s="28"/>
      <c r="G562" s="28"/>
      <c r="H562" s="28"/>
      <c r="I562" s="28"/>
      <c r="J562" s="28"/>
      <c r="K562" s="28"/>
      <c r="L562" s="28"/>
      <c r="M562" s="33"/>
      <c r="N562" s="33"/>
      <c r="O562" s="33"/>
      <c r="P562" s="33"/>
      <c r="Q562" s="28"/>
      <c r="R562" s="28"/>
      <c r="S562" s="28"/>
      <c r="T562" s="28"/>
      <c r="U562" s="28"/>
      <c r="V562" s="28"/>
      <c r="W562" s="28"/>
      <c r="X562" s="28"/>
      <c r="Y562" s="28"/>
      <c r="Z562" s="28"/>
      <c r="AA562" s="28"/>
    </row>
    <row r="563" ht="18.75" customHeight="1">
      <c r="A563" s="28"/>
      <c r="B563" s="28"/>
      <c r="C563" s="28"/>
      <c r="D563" s="28"/>
      <c r="E563" s="28"/>
      <c r="F563" s="28"/>
      <c r="G563" s="28"/>
      <c r="H563" s="28"/>
      <c r="I563" s="28"/>
      <c r="J563" s="28"/>
      <c r="K563" s="28"/>
      <c r="L563" s="28"/>
      <c r="M563" s="33"/>
      <c r="N563" s="33"/>
      <c r="O563" s="33"/>
      <c r="P563" s="33"/>
      <c r="Q563" s="28"/>
      <c r="R563" s="28"/>
      <c r="S563" s="28"/>
      <c r="T563" s="28"/>
      <c r="U563" s="28"/>
      <c r="V563" s="28"/>
      <c r="W563" s="28"/>
      <c r="X563" s="28"/>
      <c r="Y563" s="28"/>
      <c r="Z563" s="28"/>
      <c r="AA563" s="28"/>
    </row>
    <row r="564" ht="18.75" customHeight="1">
      <c r="A564" s="28"/>
      <c r="B564" s="28"/>
      <c r="C564" s="28"/>
      <c r="D564" s="28"/>
      <c r="E564" s="28"/>
      <c r="F564" s="28"/>
      <c r="G564" s="28"/>
      <c r="H564" s="28"/>
      <c r="I564" s="28"/>
      <c r="J564" s="28"/>
      <c r="K564" s="28"/>
      <c r="L564" s="28"/>
      <c r="M564" s="33"/>
      <c r="N564" s="33"/>
      <c r="O564" s="33"/>
      <c r="P564" s="33"/>
      <c r="Q564" s="28"/>
      <c r="R564" s="28"/>
      <c r="S564" s="28"/>
      <c r="T564" s="28"/>
      <c r="U564" s="28"/>
      <c r="V564" s="28"/>
      <c r="W564" s="28"/>
      <c r="X564" s="28"/>
      <c r="Y564" s="28"/>
      <c r="Z564" s="28"/>
      <c r="AA564" s="28"/>
    </row>
    <row r="565" ht="18.75" customHeight="1">
      <c r="A565" s="28"/>
      <c r="B565" s="28"/>
      <c r="C565" s="28"/>
      <c r="D565" s="28"/>
      <c r="E565" s="28"/>
      <c r="F565" s="28"/>
      <c r="G565" s="28"/>
      <c r="H565" s="28"/>
      <c r="I565" s="28"/>
      <c r="J565" s="28"/>
      <c r="K565" s="28"/>
      <c r="L565" s="28"/>
      <c r="M565" s="33"/>
      <c r="N565" s="33"/>
      <c r="O565" s="33"/>
      <c r="P565" s="33"/>
      <c r="Q565" s="28"/>
      <c r="R565" s="28"/>
      <c r="S565" s="28"/>
      <c r="T565" s="28"/>
      <c r="U565" s="28"/>
      <c r="V565" s="28"/>
      <c r="W565" s="28"/>
      <c r="X565" s="28"/>
      <c r="Y565" s="28"/>
      <c r="Z565" s="28"/>
      <c r="AA565" s="28"/>
    </row>
    <row r="566" ht="18.75" customHeight="1">
      <c r="A566" s="28"/>
      <c r="B566" s="28"/>
      <c r="C566" s="28"/>
      <c r="D566" s="28"/>
      <c r="E566" s="28"/>
      <c r="F566" s="28"/>
      <c r="G566" s="28"/>
      <c r="H566" s="28"/>
      <c r="I566" s="28"/>
      <c r="J566" s="28"/>
      <c r="K566" s="28"/>
      <c r="L566" s="28"/>
      <c r="M566" s="33"/>
      <c r="N566" s="33"/>
      <c r="O566" s="33"/>
      <c r="P566" s="33"/>
      <c r="Q566" s="28"/>
      <c r="R566" s="28"/>
      <c r="S566" s="28"/>
      <c r="T566" s="28"/>
      <c r="U566" s="28"/>
      <c r="V566" s="28"/>
      <c r="W566" s="28"/>
      <c r="X566" s="28"/>
      <c r="Y566" s="28"/>
      <c r="Z566" s="28"/>
      <c r="AA566" s="28"/>
    </row>
    <row r="567" ht="18.75" customHeight="1">
      <c r="A567" s="28"/>
      <c r="B567" s="28"/>
      <c r="C567" s="28"/>
      <c r="D567" s="28"/>
      <c r="E567" s="28"/>
      <c r="F567" s="28"/>
      <c r="G567" s="28"/>
      <c r="H567" s="28"/>
      <c r="I567" s="28"/>
      <c r="J567" s="28"/>
      <c r="K567" s="28"/>
      <c r="L567" s="28"/>
      <c r="M567" s="33"/>
      <c r="N567" s="33"/>
      <c r="O567" s="33"/>
      <c r="P567" s="33"/>
      <c r="Q567" s="28"/>
      <c r="R567" s="28"/>
      <c r="S567" s="28"/>
      <c r="T567" s="28"/>
      <c r="U567" s="28"/>
      <c r="V567" s="28"/>
      <c r="W567" s="28"/>
      <c r="X567" s="28"/>
      <c r="Y567" s="28"/>
      <c r="Z567" s="28"/>
      <c r="AA567" s="28"/>
    </row>
    <row r="568" ht="18.75" customHeight="1">
      <c r="A568" s="28"/>
      <c r="B568" s="28"/>
      <c r="C568" s="28"/>
      <c r="D568" s="28"/>
      <c r="E568" s="28"/>
      <c r="F568" s="28"/>
      <c r="G568" s="28"/>
      <c r="H568" s="28"/>
      <c r="I568" s="28"/>
      <c r="J568" s="28"/>
      <c r="K568" s="28"/>
      <c r="L568" s="28"/>
      <c r="M568" s="33"/>
      <c r="N568" s="33"/>
      <c r="O568" s="33"/>
      <c r="P568" s="33"/>
      <c r="Q568" s="28"/>
      <c r="R568" s="28"/>
      <c r="S568" s="28"/>
      <c r="T568" s="28"/>
      <c r="U568" s="28"/>
      <c r="V568" s="28"/>
      <c r="W568" s="28"/>
      <c r="X568" s="28"/>
      <c r="Y568" s="28"/>
      <c r="Z568" s="28"/>
      <c r="AA568" s="28"/>
    </row>
    <row r="569" ht="18.75" customHeight="1">
      <c r="A569" s="28"/>
      <c r="B569" s="28"/>
      <c r="C569" s="28"/>
      <c r="D569" s="28"/>
      <c r="E569" s="28"/>
      <c r="F569" s="28"/>
      <c r="G569" s="28"/>
      <c r="H569" s="28"/>
      <c r="I569" s="28"/>
      <c r="J569" s="28"/>
      <c r="K569" s="28"/>
      <c r="L569" s="28"/>
      <c r="M569" s="33"/>
      <c r="N569" s="33"/>
      <c r="O569" s="33"/>
      <c r="P569" s="33"/>
      <c r="Q569" s="28"/>
      <c r="R569" s="28"/>
      <c r="S569" s="28"/>
      <c r="T569" s="28"/>
      <c r="U569" s="28"/>
      <c r="V569" s="28"/>
      <c r="W569" s="28"/>
      <c r="X569" s="28"/>
      <c r="Y569" s="28"/>
      <c r="Z569" s="28"/>
      <c r="AA569" s="28"/>
    </row>
    <row r="570" ht="18.75" customHeight="1">
      <c r="A570" s="28"/>
      <c r="B570" s="28"/>
      <c r="C570" s="28"/>
      <c r="D570" s="28"/>
      <c r="E570" s="28"/>
      <c r="F570" s="28"/>
      <c r="G570" s="28"/>
      <c r="H570" s="28"/>
      <c r="I570" s="28"/>
      <c r="J570" s="28"/>
      <c r="K570" s="28"/>
      <c r="L570" s="28"/>
      <c r="M570" s="33"/>
      <c r="N570" s="33"/>
      <c r="O570" s="33"/>
      <c r="P570" s="33"/>
      <c r="Q570" s="28"/>
      <c r="R570" s="28"/>
      <c r="S570" s="28"/>
      <c r="T570" s="28"/>
      <c r="U570" s="28"/>
      <c r="V570" s="28"/>
      <c r="W570" s="28"/>
      <c r="X570" s="28"/>
      <c r="Y570" s="28"/>
      <c r="Z570" s="28"/>
      <c r="AA570" s="28"/>
    </row>
    <row r="571" ht="18.75" customHeight="1">
      <c r="A571" s="28"/>
      <c r="B571" s="28"/>
      <c r="C571" s="28"/>
      <c r="D571" s="28"/>
      <c r="E571" s="28"/>
      <c r="F571" s="28"/>
      <c r="G571" s="28"/>
      <c r="H571" s="28"/>
      <c r="I571" s="28"/>
      <c r="J571" s="28"/>
      <c r="K571" s="28"/>
      <c r="L571" s="28"/>
      <c r="M571" s="33"/>
      <c r="N571" s="33"/>
      <c r="O571" s="33"/>
      <c r="P571" s="33"/>
      <c r="Q571" s="28"/>
      <c r="R571" s="28"/>
      <c r="S571" s="28"/>
      <c r="T571" s="28"/>
      <c r="U571" s="28"/>
      <c r="V571" s="28"/>
      <c r="W571" s="28"/>
      <c r="X571" s="28"/>
      <c r="Y571" s="28"/>
      <c r="Z571" s="28"/>
      <c r="AA571" s="28"/>
    </row>
    <row r="572" ht="18.75" customHeight="1">
      <c r="A572" s="28"/>
      <c r="B572" s="28"/>
      <c r="C572" s="28"/>
      <c r="D572" s="28"/>
      <c r="E572" s="28"/>
      <c r="F572" s="28"/>
      <c r="G572" s="28"/>
      <c r="H572" s="28"/>
      <c r="I572" s="28"/>
      <c r="J572" s="28"/>
      <c r="K572" s="28"/>
      <c r="L572" s="28"/>
      <c r="M572" s="33"/>
      <c r="N572" s="33"/>
      <c r="O572" s="33"/>
      <c r="P572" s="33"/>
      <c r="Q572" s="28"/>
      <c r="R572" s="28"/>
      <c r="S572" s="28"/>
      <c r="T572" s="28"/>
      <c r="U572" s="28"/>
      <c r="V572" s="28"/>
      <c r="W572" s="28"/>
      <c r="X572" s="28"/>
      <c r="Y572" s="28"/>
      <c r="Z572" s="28"/>
      <c r="AA572" s="28"/>
    </row>
    <row r="573" ht="18.75" customHeight="1">
      <c r="A573" s="28"/>
      <c r="B573" s="28"/>
      <c r="C573" s="28"/>
      <c r="D573" s="28"/>
      <c r="E573" s="28"/>
      <c r="F573" s="28"/>
      <c r="G573" s="28"/>
      <c r="H573" s="28"/>
      <c r="I573" s="28"/>
      <c r="J573" s="28"/>
      <c r="K573" s="28"/>
      <c r="L573" s="28"/>
      <c r="M573" s="33"/>
      <c r="N573" s="33"/>
      <c r="O573" s="33"/>
      <c r="P573" s="33"/>
      <c r="Q573" s="28"/>
      <c r="R573" s="28"/>
      <c r="S573" s="28"/>
      <c r="T573" s="28"/>
      <c r="U573" s="28"/>
      <c r="V573" s="28"/>
      <c r="W573" s="28"/>
      <c r="X573" s="28"/>
      <c r="Y573" s="28"/>
      <c r="Z573" s="28"/>
      <c r="AA573" s="28"/>
    </row>
    <row r="574" ht="18.75" customHeight="1">
      <c r="A574" s="28"/>
      <c r="B574" s="28"/>
      <c r="C574" s="28"/>
      <c r="D574" s="28"/>
      <c r="E574" s="28"/>
      <c r="F574" s="28"/>
      <c r="G574" s="28"/>
      <c r="H574" s="28"/>
      <c r="I574" s="28"/>
      <c r="J574" s="28"/>
      <c r="K574" s="28"/>
      <c r="L574" s="28"/>
      <c r="M574" s="33"/>
      <c r="N574" s="33"/>
      <c r="O574" s="33"/>
      <c r="P574" s="33"/>
      <c r="Q574" s="28"/>
      <c r="R574" s="28"/>
      <c r="S574" s="28"/>
      <c r="T574" s="28"/>
      <c r="U574" s="28"/>
      <c r="V574" s="28"/>
      <c r="W574" s="28"/>
      <c r="X574" s="28"/>
      <c r="Y574" s="28"/>
      <c r="Z574" s="28"/>
      <c r="AA574" s="28"/>
    </row>
    <row r="575" ht="18.75" customHeight="1">
      <c r="A575" s="28"/>
      <c r="B575" s="28"/>
      <c r="C575" s="28"/>
      <c r="D575" s="28"/>
      <c r="E575" s="28"/>
      <c r="F575" s="28"/>
      <c r="G575" s="28"/>
      <c r="H575" s="28"/>
      <c r="I575" s="28"/>
      <c r="J575" s="28"/>
      <c r="K575" s="28"/>
      <c r="L575" s="28"/>
      <c r="M575" s="33"/>
      <c r="N575" s="33"/>
      <c r="O575" s="33"/>
      <c r="P575" s="33"/>
      <c r="Q575" s="28"/>
      <c r="R575" s="28"/>
      <c r="S575" s="28"/>
      <c r="T575" s="28"/>
      <c r="U575" s="28"/>
      <c r="V575" s="28"/>
      <c r="W575" s="28"/>
      <c r="X575" s="28"/>
      <c r="Y575" s="28"/>
      <c r="Z575" s="28"/>
      <c r="AA575" s="28"/>
    </row>
    <row r="576" ht="18.75" customHeight="1">
      <c r="A576" s="28"/>
      <c r="B576" s="28"/>
      <c r="C576" s="28"/>
      <c r="D576" s="28"/>
      <c r="E576" s="28"/>
      <c r="F576" s="28"/>
      <c r="G576" s="28"/>
      <c r="H576" s="28"/>
      <c r="I576" s="28"/>
      <c r="J576" s="28"/>
      <c r="K576" s="28"/>
      <c r="L576" s="28"/>
      <c r="M576" s="33"/>
      <c r="N576" s="33"/>
      <c r="O576" s="33"/>
      <c r="P576" s="33"/>
      <c r="Q576" s="28"/>
      <c r="R576" s="28"/>
      <c r="S576" s="28"/>
      <c r="T576" s="28"/>
      <c r="U576" s="28"/>
      <c r="V576" s="28"/>
      <c r="W576" s="28"/>
      <c r="X576" s="28"/>
      <c r="Y576" s="28"/>
      <c r="Z576" s="28"/>
      <c r="AA576" s="28"/>
    </row>
    <row r="577" ht="18.75" customHeight="1">
      <c r="A577" s="28"/>
      <c r="B577" s="28"/>
      <c r="C577" s="28"/>
      <c r="D577" s="28"/>
      <c r="E577" s="28"/>
      <c r="F577" s="28"/>
      <c r="G577" s="28"/>
      <c r="H577" s="28"/>
      <c r="I577" s="28"/>
      <c r="J577" s="28"/>
      <c r="K577" s="28"/>
      <c r="L577" s="28"/>
      <c r="M577" s="33"/>
      <c r="N577" s="33"/>
      <c r="O577" s="33"/>
      <c r="P577" s="33"/>
      <c r="Q577" s="28"/>
      <c r="R577" s="28"/>
      <c r="S577" s="28"/>
      <c r="T577" s="28"/>
      <c r="U577" s="28"/>
      <c r="V577" s="28"/>
      <c r="W577" s="28"/>
      <c r="X577" s="28"/>
      <c r="Y577" s="28"/>
      <c r="Z577" s="28"/>
      <c r="AA577" s="28"/>
    </row>
    <row r="578" ht="18.75" customHeight="1">
      <c r="A578" s="28"/>
      <c r="B578" s="28"/>
      <c r="C578" s="28"/>
      <c r="D578" s="28"/>
      <c r="E578" s="28"/>
      <c r="F578" s="28"/>
      <c r="G578" s="28"/>
      <c r="H578" s="28"/>
      <c r="I578" s="28"/>
      <c r="J578" s="28"/>
      <c r="K578" s="28"/>
      <c r="L578" s="28"/>
      <c r="M578" s="33"/>
      <c r="N578" s="33"/>
      <c r="O578" s="33"/>
      <c r="P578" s="33"/>
      <c r="Q578" s="28"/>
      <c r="R578" s="28"/>
      <c r="S578" s="28"/>
      <c r="T578" s="28"/>
      <c r="U578" s="28"/>
      <c r="V578" s="28"/>
      <c r="W578" s="28"/>
      <c r="X578" s="28"/>
      <c r="Y578" s="28"/>
      <c r="Z578" s="28"/>
      <c r="AA578" s="28"/>
    </row>
    <row r="579" ht="18.75" customHeight="1">
      <c r="A579" s="28"/>
      <c r="B579" s="28"/>
      <c r="C579" s="28"/>
      <c r="D579" s="28"/>
      <c r="E579" s="28"/>
      <c r="F579" s="28"/>
      <c r="G579" s="28"/>
      <c r="H579" s="28"/>
      <c r="I579" s="28"/>
      <c r="J579" s="28"/>
      <c r="K579" s="28"/>
      <c r="L579" s="28"/>
      <c r="M579" s="33"/>
      <c r="N579" s="33"/>
      <c r="O579" s="33"/>
      <c r="P579" s="33"/>
      <c r="Q579" s="28"/>
      <c r="R579" s="28"/>
      <c r="S579" s="28"/>
      <c r="T579" s="28"/>
      <c r="U579" s="28"/>
      <c r="V579" s="28"/>
      <c r="W579" s="28"/>
      <c r="X579" s="28"/>
      <c r="Y579" s="28"/>
      <c r="Z579" s="28"/>
      <c r="AA579" s="28"/>
    </row>
    <row r="580" ht="18.75" customHeight="1">
      <c r="A580" s="28"/>
      <c r="B580" s="28"/>
      <c r="C580" s="28"/>
      <c r="D580" s="28"/>
      <c r="E580" s="28"/>
      <c r="F580" s="28"/>
      <c r="G580" s="28"/>
      <c r="H580" s="28"/>
      <c r="I580" s="28"/>
      <c r="J580" s="28"/>
      <c r="K580" s="28"/>
      <c r="L580" s="28"/>
      <c r="M580" s="33"/>
      <c r="N580" s="33"/>
      <c r="O580" s="33"/>
      <c r="P580" s="33"/>
      <c r="Q580" s="28"/>
      <c r="R580" s="28"/>
      <c r="S580" s="28"/>
      <c r="T580" s="28"/>
      <c r="U580" s="28"/>
      <c r="V580" s="28"/>
      <c r="W580" s="28"/>
      <c r="X580" s="28"/>
      <c r="Y580" s="28"/>
      <c r="Z580" s="28"/>
      <c r="AA580" s="28"/>
    </row>
    <row r="581" ht="18.75" customHeight="1">
      <c r="A581" s="28"/>
      <c r="B581" s="28"/>
      <c r="C581" s="28"/>
      <c r="D581" s="28"/>
      <c r="E581" s="28"/>
      <c r="F581" s="28"/>
      <c r="G581" s="28"/>
      <c r="H581" s="28"/>
      <c r="I581" s="28"/>
      <c r="J581" s="28"/>
      <c r="K581" s="28"/>
      <c r="L581" s="28"/>
      <c r="M581" s="33"/>
      <c r="N581" s="33"/>
      <c r="O581" s="33"/>
      <c r="P581" s="33"/>
      <c r="Q581" s="28"/>
      <c r="R581" s="28"/>
      <c r="S581" s="28"/>
      <c r="T581" s="28"/>
      <c r="U581" s="28"/>
      <c r="V581" s="28"/>
      <c r="W581" s="28"/>
      <c r="X581" s="28"/>
      <c r="Y581" s="28"/>
      <c r="Z581" s="28"/>
      <c r="AA581" s="28"/>
    </row>
    <row r="582" ht="18.75" customHeight="1">
      <c r="A582" s="28"/>
      <c r="B582" s="28"/>
      <c r="C582" s="28"/>
      <c r="D582" s="28"/>
      <c r="E582" s="28"/>
      <c r="F582" s="28"/>
      <c r="G582" s="28"/>
      <c r="H582" s="28"/>
      <c r="I582" s="28"/>
      <c r="J582" s="28"/>
      <c r="K582" s="28"/>
      <c r="L582" s="28"/>
      <c r="M582" s="33"/>
      <c r="N582" s="33"/>
      <c r="O582" s="33"/>
      <c r="P582" s="33"/>
      <c r="Q582" s="28"/>
      <c r="R582" s="28"/>
      <c r="S582" s="28"/>
      <c r="T582" s="28"/>
      <c r="U582" s="28"/>
      <c r="V582" s="28"/>
      <c r="W582" s="28"/>
      <c r="X582" s="28"/>
      <c r="Y582" s="28"/>
      <c r="Z582" s="28"/>
      <c r="AA582" s="28"/>
    </row>
    <row r="583" ht="18.75" customHeight="1">
      <c r="A583" s="28"/>
      <c r="B583" s="28"/>
      <c r="C583" s="28"/>
      <c r="D583" s="28"/>
      <c r="E583" s="28"/>
      <c r="F583" s="28"/>
      <c r="G583" s="28"/>
      <c r="H583" s="28"/>
      <c r="I583" s="28"/>
      <c r="J583" s="28"/>
      <c r="K583" s="28"/>
      <c r="L583" s="28"/>
      <c r="M583" s="33"/>
      <c r="N583" s="33"/>
      <c r="O583" s="33"/>
      <c r="P583" s="33"/>
      <c r="Q583" s="28"/>
      <c r="R583" s="28"/>
      <c r="S583" s="28"/>
      <c r="T583" s="28"/>
      <c r="U583" s="28"/>
      <c r="V583" s="28"/>
      <c r="W583" s="28"/>
      <c r="X583" s="28"/>
      <c r="Y583" s="28"/>
      <c r="Z583" s="28"/>
      <c r="AA583" s="28"/>
    </row>
    <row r="584" ht="18.75" customHeight="1">
      <c r="A584" s="28"/>
      <c r="B584" s="28"/>
      <c r="C584" s="28"/>
      <c r="D584" s="28"/>
      <c r="E584" s="28"/>
      <c r="F584" s="28"/>
      <c r="G584" s="28"/>
      <c r="H584" s="28"/>
      <c r="I584" s="28"/>
      <c r="J584" s="28"/>
      <c r="K584" s="28"/>
      <c r="L584" s="28"/>
      <c r="M584" s="33"/>
      <c r="N584" s="33"/>
      <c r="O584" s="33"/>
      <c r="P584" s="33"/>
      <c r="Q584" s="28"/>
      <c r="R584" s="28"/>
      <c r="S584" s="28"/>
      <c r="T584" s="28"/>
      <c r="U584" s="28"/>
      <c r="V584" s="28"/>
      <c r="W584" s="28"/>
      <c r="X584" s="28"/>
      <c r="Y584" s="28"/>
      <c r="Z584" s="28"/>
      <c r="AA584" s="28"/>
    </row>
    <row r="585" ht="18.75" customHeight="1">
      <c r="A585" s="28"/>
      <c r="B585" s="28"/>
      <c r="C585" s="28"/>
      <c r="D585" s="28"/>
      <c r="E585" s="28"/>
      <c r="F585" s="28"/>
      <c r="G585" s="28"/>
      <c r="H585" s="28"/>
      <c r="I585" s="28"/>
      <c r="J585" s="28"/>
      <c r="K585" s="28"/>
      <c r="L585" s="28"/>
      <c r="M585" s="33"/>
      <c r="N585" s="33"/>
      <c r="O585" s="33"/>
      <c r="P585" s="33"/>
      <c r="Q585" s="28"/>
      <c r="R585" s="28"/>
      <c r="S585" s="28"/>
      <c r="T585" s="28"/>
      <c r="U585" s="28"/>
      <c r="V585" s="28"/>
      <c r="W585" s="28"/>
      <c r="X585" s="28"/>
      <c r="Y585" s="28"/>
      <c r="Z585" s="28"/>
      <c r="AA585" s="28"/>
    </row>
    <row r="586" ht="18.75" customHeight="1">
      <c r="A586" s="28"/>
      <c r="B586" s="28"/>
      <c r="C586" s="28"/>
      <c r="D586" s="28"/>
      <c r="E586" s="28"/>
      <c r="F586" s="28"/>
      <c r="G586" s="28"/>
      <c r="H586" s="28"/>
      <c r="I586" s="28"/>
      <c r="J586" s="28"/>
      <c r="K586" s="28"/>
      <c r="L586" s="28"/>
      <c r="M586" s="33"/>
      <c r="N586" s="33"/>
      <c r="O586" s="33"/>
      <c r="P586" s="33"/>
      <c r="Q586" s="28"/>
      <c r="R586" s="28"/>
      <c r="S586" s="28"/>
      <c r="T586" s="28"/>
      <c r="U586" s="28"/>
      <c r="V586" s="28"/>
      <c r="W586" s="28"/>
      <c r="X586" s="28"/>
      <c r="Y586" s="28"/>
      <c r="Z586" s="28"/>
      <c r="AA586" s="28"/>
    </row>
    <row r="587" ht="18.75" customHeight="1">
      <c r="A587" s="28"/>
      <c r="B587" s="28"/>
      <c r="C587" s="28"/>
      <c r="D587" s="28"/>
      <c r="E587" s="28"/>
      <c r="F587" s="28"/>
      <c r="G587" s="28"/>
      <c r="H587" s="28"/>
      <c r="I587" s="28"/>
      <c r="J587" s="28"/>
      <c r="K587" s="28"/>
      <c r="L587" s="28"/>
      <c r="M587" s="33"/>
      <c r="N587" s="33"/>
      <c r="O587" s="33"/>
      <c r="P587" s="33"/>
      <c r="Q587" s="28"/>
      <c r="R587" s="28"/>
      <c r="S587" s="28"/>
      <c r="T587" s="28"/>
      <c r="U587" s="28"/>
      <c r="V587" s="28"/>
      <c r="W587" s="28"/>
      <c r="X587" s="28"/>
      <c r="Y587" s="28"/>
      <c r="Z587" s="28"/>
      <c r="AA587" s="28"/>
    </row>
    <row r="588" ht="18.75" customHeight="1">
      <c r="A588" s="28"/>
      <c r="B588" s="28"/>
      <c r="C588" s="28"/>
      <c r="D588" s="28"/>
      <c r="E588" s="28"/>
      <c r="F588" s="28"/>
      <c r="G588" s="28"/>
      <c r="H588" s="28"/>
      <c r="I588" s="28"/>
      <c r="J588" s="28"/>
      <c r="K588" s="28"/>
      <c r="L588" s="28"/>
      <c r="M588" s="33"/>
      <c r="N588" s="33"/>
      <c r="O588" s="33"/>
      <c r="P588" s="33"/>
      <c r="Q588" s="28"/>
      <c r="R588" s="28"/>
      <c r="S588" s="28"/>
      <c r="T588" s="28"/>
      <c r="U588" s="28"/>
      <c r="V588" s="28"/>
      <c r="W588" s="28"/>
      <c r="X588" s="28"/>
      <c r="Y588" s="28"/>
      <c r="Z588" s="28"/>
      <c r="AA588" s="28"/>
    </row>
    <row r="589" ht="18.75" customHeight="1">
      <c r="A589" s="28"/>
      <c r="B589" s="28"/>
      <c r="C589" s="28"/>
      <c r="D589" s="28"/>
      <c r="E589" s="28"/>
      <c r="F589" s="28"/>
      <c r="G589" s="28"/>
      <c r="H589" s="28"/>
      <c r="I589" s="28"/>
      <c r="J589" s="28"/>
      <c r="K589" s="28"/>
      <c r="L589" s="28"/>
      <c r="M589" s="33"/>
      <c r="N589" s="33"/>
      <c r="O589" s="33"/>
      <c r="P589" s="33"/>
      <c r="Q589" s="28"/>
      <c r="R589" s="28"/>
      <c r="S589" s="28"/>
      <c r="T589" s="28"/>
      <c r="U589" s="28"/>
      <c r="V589" s="28"/>
      <c r="W589" s="28"/>
      <c r="X589" s="28"/>
      <c r="Y589" s="28"/>
      <c r="Z589" s="28"/>
      <c r="AA589" s="28"/>
    </row>
    <row r="590" ht="18.75" customHeight="1">
      <c r="A590" s="28"/>
      <c r="B590" s="28"/>
      <c r="C590" s="28"/>
      <c r="D590" s="28"/>
      <c r="E590" s="28"/>
      <c r="F590" s="28"/>
      <c r="G590" s="28"/>
      <c r="H590" s="28"/>
      <c r="I590" s="28"/>
      <c r="J590" s="28"/>
      <c r="K590" s="28"/>
      <c r="L590" s="28"/>
      <c r="M590" s="33"/>
      <c r="N590" s="33"/>
      <c r="O590" s="33"/>
      <c r="P590" s="33"/>
      <c r="Q590" s="28"/>
      <c r="R590" s="28"/>
      <c r="S590" s="28"/>
      <c r="T590" s="28"/>
      <c r="U590" s="28"/>
      <c r="V590" s="28"/>
      <c r="W590" s="28"/>
      <c r="X590" s="28"/>
      <c r="Y590" s="28"/>
      <c r="Z590" s="28"/>
      <c r="AA590" s="28"/>
    </row>
    <row r="591" ht="18.75" customHeight="1">
      <c r="A591" s="28"/>
      <c r="B591" s="28"/>
      <c r="C591" s="28"/>
      <c r="D591" s="28"/>
      <c r="E591" s="28"/>
      <c r="F591" s="28"/>
      <c r="G591" s="28"/>
      <c r="H591" s="28"/>
      <c r="I591" s="28"/>
      <c r="J591" s="28"/>
      <c r="K591" s="28"/>
      <c r="L591" s="28"/>
      <c r="M591" s="33"/>
      <c r="N591" s="33"/>
      <c r="O591" s="33"/>
      <c r="P591" s="33"/>
      <c r="Q591" s="28"/>
      <c r="R591" s="28"/>
      <c r="S591" s="28"/>
      <c r="T591" s="28"/>
      <c r="U591" s="28"/>
      <c r="V591" s="28"/>
      <c r="W591" s="28"/>
      <c r="X591" s="28"/>
      <c r="Y591" s="28"/>
      <c r="Z591" s="28"/>
      <c r="AA591" s="28"/>
    </row>
    <row r="592" ht="18.75" customHeight="1">
      <c r="A592" s="28"/>
      <c r="B592" s="28"/>
      <c r="C592" s="28"/>
      <c r="D592" s="28"/>
      <c r="E592" s="28"/>
      <c r="F592" s="28"/>
      <c r="G592" s="28"/>
      <c r="H592" s="28"/>
      <c r="I592" s="28"/>
      <c r="J592" s="28"/>
      <c r="K592" s="28"/>
      <c r="L592" s="28"/>
      <c r="M592" s="33"/>
      <c r="N592" s="33"/>
      <c r="O592" s="33"/>
      <c r="P592" s="33"/>
      <c r="Q592" s="28"/>
      <c r="R592" s="28"/>
      <c r="S592" s="28"/>
      <c r="T592" s="28"/>
      <c r="U592" s="28"/>
      <c r="V592" s="28"/>
      <c r="W592" s="28"/>
      <c r="X592" s="28"/>
      <c r="Y592" s="28"/>
      <c r="Z592" s="28"/>
      <c r="AA592" s="28"/>
    </row>
    <row r="593" ht="18.75" customHeight="1">
      <c r="A593" s="28"/>
      <c r="B593" s="28"/>
      <c r="C593" s="28"/>
      <c r="D593" s="28"/>
      <c r="E593" s="28"/>
      <c r="F593" s="28"/>
      <c r="G593" s="28"/>
      <c r="H593" s="28"/>
      <c r="I593" s="28"/>
      <c r="J593" s="28"/>
      <c r="K593" s="28"/>
      <c r="L593" s="28"/>
      <c r="M593" s="33"/>
      <c r="N593" s="33"/>
      <c r="O593" s="33"/>
      <c r="P593" s="33"/>
      <c r="Q593" s="28"/>
      <c r="R593" s="28"/>
      <c r="S593" s="28"/>
      <c r="T593" s="28"/>
      <c r="U593" s="28"/>
      <c r="V593" s="28"/>
      <c r="W593" s="28"/>
      <c r="X593" s="28"/>
      <c r="Y593" s="28"/>
      <c r="Z593" s="28"/>
      <c r="AA593" s="28"/>
    </row>
    <row r="594" ht="18.75" customHeight="1">
      <c r="A594" s="28"/>
      <c r="B594" s="28"/>
      <c r="C594" s="28"/>
      <c r="D594" s="28"/>
      <c r="E594" s="28"/>
      <c r="F594" s="28"/>
      <c r="G594" s="28"/>
      <c r="H594" s="28"/>
      <c r="I594" s="28"/>
      <c r="J594" s="28"/>
      <c r="K594" s="28"/>
      <c r="L594" s="28"/>
      <c r="M594" s="33"/>
      <c r="N594" s="33"/>
      <c r="O594" s="33"/>
      <c r="P594" s="33"/>
      <c r="Q594" s="28"/>
      <c r="R594" s="28"/>
      <c r="S594" s="28"/>
      <c r="T594" s="28"/>
      <c r="U594" s="28"/>
      <c r="V594" s="28"/>
      <c r="W594" s="28"/>
      <c r="X594" s="28"/>
      <c r="Y594" s="28"/>
      <c r="Z594" s="28"/>
      <c r="AA594" s="28"/>
    </row>
    <row r="595" ht="18.75" customHeight="1">
      <c r="A595" s="28"/>
      <c r="B595" s="28"/>
      <c r="C595" s="28"/>
      <c r="D595" s="28"/>
      <c r="E595" s="28"/>
      <c r="F595" s="28"/>
      <c r="G595" s="28"/>
      <c r="H595" s="28"/>
      <c r="I595" s="28"/>
      <c r="J595" s="28"/>
      <c r="K595" s="28"/>
      <c r="L595" s="28"/>
      <c r="M595" s="33"/>
      <c r="N595" s="33"/>
      <c r="O595" s="33"/>
      <c r="P595" s="33"/>
      <c r="Q595" s="28"/>
      <c r="R595" s="28"/>
      <c r="S595" s="28"/>
      <c r="T595" s="28"/>
      <c r="U595" s="28"/>
      <c r="V595" s="28"/>
      <c r="W595" s="28"/>
      <c r="X595" s="28"/>
      <c r="Y595" s="28"/>
      <c r="Z595" s="28"/>
      <c r="AA595" s="28"/>
    </row>
    <row r="596" ht="18.75" customHeight="1">
      <c r="A596" s="28"/>
      <c r="B596" s="28"/>
      <c r="C596" s="28"/>
      <c r="D596" s="28"/>
      <c r="E596" s="28"/>
      <c r="F596" s="28"/>
      <c r="G596" s="28"/>
      <c r="H596" s="28"/>
      <c r="I596" s="28"/>
      <c r="J596" s="28"/>
      <c r="K596" s="28"/>
      <c r="L596" s="28"/>
      <c r="M596" s="33"/>
      <c r="N596" s="33"/>
      <c r="O596" s="33"/>
      <c r="P596" s="33"/>
      <c r="Q596" s="28"/>
      <c r="R596" s="28"/>
      <c r="S596" s="28"/>
      <c r="T596" s="28"/>
      <c r="U596" s="28"/>
      <c r="V596" s="28"/>
      <c r="W596" s="28"/>
      <c r="X596" s="28"/>
      <c r="Y596" s="28"/>
      <c r="Z596" s="28"/>
      <c r="AA596" s="28"/>
    </row>
    <row r="597" ht="18.75" customHeight="1">
      <c r="A597" s="28"/>
      <c r="B597" s="28"/>
      <c r="C597" s="28"/>
      <c r="D597" s="28"/>
      <c r="E597" s="28"/>
      <c r="F597" s="28"/>
      <c r="G597" s="28"/>
      <c r="H597" s="28"/>
      <c r="I597" s="28"/>
      <c r="J597" s="28"/>
      <c r="K597" s="28"/>
      <c r="L597" s="28"/>
      <c r="M597" s="33"/>
      <c r="N597" s="33"/>
      <c r="O597" s="33"/>
      <c r="P597" s="33"/>
      <c r="Q597" s="28"/>
      <c r="R597" s="28"/>
      <c r="S597" s="28"/>
      <c r="T597" s="28"/>
      <c r="U597" s="28"/>
      <c r="V597" s="28"/>
      <c r="W597" s="28"/>
      <c r="X597" s="28"/>
      <c r="Y597" s="28"/>
      <c r="Z597" s="28"/>
      <c r="AA597" s="28"/>
    </row>
    <row r="598" ht="18.75" customHeight="1">
      <c r="A598" s="28"/>
      <c r="B598" s="28"/>
      <c r="C598" s="28"/>
      <c r="D598" s="28"/>
      <c r="E598" s="28"/>
      <c r="F598" s="28"/>
      <c r="G598" s="28"/>
      <c r="H598" s="28"/>
      <c r="I598" s="28"/>
      <c r="J598" s="28"/>
      <c r="K598" s="28"/>
      <c r="L598" s="28"/>
      <c r="M598" s="33"/>
      <c r="N598" s="33"/>
      <c r="O598" s="33"/>
      <c r="P598" s="33"/>
      <c r="Q598" s="28"/>
      <c r="R598" s="28"/>
      <c r="S598" s="28"/>
      <c r="T598" s="28"/>
      <c r="U598" s="28"/>
      <c r="V598" s="28"/>
      <c r="W598" s="28"/>
      <c r="X598" s="28"/>
      <c r="Y598" s="28"/>
      <c r="Z598" s="28"/>
      <c r="AA598" s="28"/>
    </row>
    <row r="599" ht="18.75" customHeight="1">
      <c r="A599" s="28"/>
      <c r="B599" s="28"/>
      <c r="C599" s="28"/>
      <c r="D599" s="28"/>
      <c r="E599" s="28"/>
      <c r="F599" s="28"/>
      <c r="G599" s="28"/>
      <c r="H599" s="28"/>
      <c r="I599" s="28"/>
      <c r="J599" s="28"/>
      <c r="K599" s="28"/>
      <c r="L599" s="28"/>
      <c r="M599" s="33"/>
      <c r="N599" s="33"/>
      <c r="O599" s="33"/>
      <c r="P599" s="33"/>
      <c r="Q599" s="28"/>
      <c r="R599" s="28"/>
      <c r="S599" s="28"/>
      <c r="T599" s="28"/>
      <c r="U599" s="28"/>
      <c r="V599" s="28"/>
      <c r="W599" s="28"/>
      <c r="X599" s="28"/>
      <c r="Y599" s="28"/>
      <c r="Z599" s="28"/>
      <c r="AA599" s="28"/>
    </row>
    <row r="600" ht="18.75" customHeight="1">
      <c r="A600" s="28"/>
      <c r="B600" s="28"/>
      <c r="C600" s="28"/>
      <c r="D600" s="28"/>
      <c r="E600" s="28"/>
      <c r="F600" s="28"/>
      <c r="G600" s="28"/>
      <c r="H600" s="28"/>
      <c r="I600" s="28"/>
      <c r="J600" s="28"/>
      <c r="K600" s="28"/>
      <c r="L600" s="28"/>
      <c r="M600" s="33"/>
      <c r="N600" s="33"/>
      <c r="O600" s="33"/>
      <c r="P600" s="33"/>
      <c r="Q600" s="28"/>
      <c r="R600" s="28"/>
      <c r="S600" s="28"/>
      <c r="T600" s="28"/>
      <c r="U600" s="28"/>
      <c r="V600" s="28"/>
      <c r="W600" s="28"/>
      <c r="X600" s="28"/>
      <c r="Y600" s="28"/>
      <c r="Z600" s="28"/>
      <c r="AA600" s="28"/>
    </row>
    <row r="601" ht="18.75" customHeight="1">
      <c r="A601" s="28"/>
      <c r="B601" s="28"/>
      <c r="C601" s="28"/>
      <c r="D601" s="28"/>
      <c r="E601" s="28"/>
      <c r="F601" s="28"/>
      <c r="G601" s="28"/>
      <c r="H601" s="28"/>
      <c r="I601" s="28"/>
      <c r="J601" s="28"/>
      <c r="K601" s="28"/>
      <c r="L601" s="28"/>
      <c r="M601" s="33"/>
      <c r="N601" s="33"/>
      <c r="O601" s="33"/>
      <c r="P601" s="33"/>
      <c r="Q601" s="28"/>
      <c r="R601" s="28"/>
      <c r="S601" s="28"/>
      <c r="T601" s="28"/>
      <c r="U601" s="28"/>
      <c r="V601" s="28"/>
      <c r="W601" s="28"/>
      <c r="X601" s="28"/>
      <c r="Y601" s="28"/>
      <c r="Z601" s="28"/>
      <c r="AA601" s="28"/>
    </row>
    <row r="602" ht="18.75" customHeight="1">
      <c r="A602" s="28"/>
      <c r="B602" s="28"/>
      <c r="C602" s="28"/>
      <c r="D602" s="28"/>
      <c r="E602" s="28"/>
      <c r="F602" s="28"/>
      <c r="G602" s="28"/>
      <c r="H602" s="28"/>
      <c r="I602" s="28"/>
      <c r="J602" s="28"/>
      <c r="K602" s="28"/>
      <c r="L602" s="28"/>
      <c r="M602" s="33"/>
      <c r="N602" s="33"/>
      <c r="O602" s="33"/>
      <c r="P602" s="33"/>
      <c r="Q602" s="28"/>
      <c r="R602" s="28"/>
      <c r="S602" s="28"/>
      <c r="T602" s="28"/>
      <c r="U602" s="28"/>
      <c r="V602" s="28"/>
      <c r="W602" s="28"/>
      <c r="X602" s="28"/>
      <c r="Y602" s="28"/>
      <c r="Z602" s="28"/>
      <c r="AA602" s="28"/>
    </row>
    <row r="603" ht="18.75" customHeight="1">
      <c r="A603" s="28"/>
      <c r="B603" s="28"/>
      <c r="C603" s="28"/>
      <c r="D603" s="28"/>
      <c r="E603" s="28"/>
      <c r="F603" s="28"/>
      <c r="G603" s="28"/>
      <c r="H603" s="28"/>
      <c r="I603" s="28"/>
      <c r="J603" s="28"/>
      <c r="K603" s="28"/>
      <c r="L603" s="28"/>
      <c r="M603" s="33"/>
      <c r="N603" s="33"/>
      <c r="O603" s="33"/>
      <c r="P603" s="33"/>
      <c r="Q603" s="28"/>
      <c r="R603" s="28"/>
      <c r="S603" s="28"/>
      <c r="T603" s="28"/>
      <c r="U603" s="28"/>
      <c r="V603" s="28"/>
      <c r="W603" s="28"/>
      <c r="X603" s="28"/>
      <c r="Y603" s="28"/>
      <c r="Z603" s="28"/>
      <c r="AA603" s="28"/>
    </row>
    <row r="604" ht="18.75" customHeight="1">
      <c r="A604" s="28"/>
      <c r="B604" s="28"/>
      <c r="C604" s="28"/>
      <c r="D604" s="28"/>
      <c r="E604" s="28"/>
      <c r="F604" s="28"/>
      <c r="G604" s="28"/>
      <c r="H604" s="28"/>
      <c r="I604" s="28"/>
      <c r="J604" s="28"/>
      <c r="K604" s="28"/>
      <c r="L604" s="28"/>
      <c r="M604" s="33"/>
      <c r="N604" s="33"/>
      <c r="O604" s="33"/>
      <c r="P604" s="33"/>
      <c r="Q604" s="28"/>
      <c r="R604" s="28"/>
      <c r="S604" s="28"/>
      <c r="T604" s="28"/>
      <c r="U604" s="28"/>
      <c r="V604" s="28"/>
      <c r="W604" s="28"/>
      <c r="X604" s="28"/>
      <c r="Y604" s="28"/>
      <c r="Z604" s="28"/>
      <c r="AA604" s="28"/>
    </row>
    <row r="605" ht="18.75" customHeight="1">
      <c r="A605" s="28"/>
      <c r="B605" s="28"/>
      <c r="C605" s="28"/>
      <c r="D605" s="28"/>
      <c r="E605" s="28"/>
      <c r="F605" s="28"/>
      <c r="G605" s="28"/>
      <c r="H605" s="28"/>
      <c r="I605" s="28"/>
      <c r="J605" s="28"/>
      <c r="K605" s="28"/>
      <c r="L605" s="28"/>
      <c r="M605" s="33"/>
      <c r="N605" s="33"/>
      <c r="O605" s="33"/>
      <c r="P605" s="33"/>
      <c r="Q605" s="28"/>
      <c r="R605" s="28"/>
      <c r="S605" s="28"/>
      <c r="T605" s="28"/>
      <c r="U605" s="28"/>
      <c r="V605" s="28"/>
      <c r="W605" s="28"/>
      <c r="X605" s="28"/>
      <c r="Y605" s="28"/>
      <c r="Z605" s="28"/>
      <c r="AA605" s="28"/>
    </row>
    <row r="606" ht="18.75" customHeight="1">
      <c r="A606" s="28"/>
      <c r="B606" s="28"/>
      <c r="C606" s="28"/>
      <c r="D606" s="28"/>
      <c r="E606" s="28"/>
      <c r="F606" s="28"/>
      <c r="G606" s="28"/>
      <c r="H606" s="28"/>
      <c r="I606" s="28"/>
      <c r="J606" s="28"/>
      <c r="K606" s="28"/>
      <c r="L606" s="28"/>
      <c r="M606" s="33"/>
      <c r="N606" s="33"/>
      <c r="O606" s="33"/>
      <c r="P606" s="33"/>
      <c r="Q606" s="28"/>
      <c r="R606" s="28"/>
      <c r="S606" s="28"/>
      <c r="T606" s="28"/>
      <c r="U606" s="28"/>
      <c r="V606" s="28"/>
      <c r="W606" s="28"/>
      <c r="X606" s="28"/>
      <c r="Y606" s="28"/>
      <c r="Z606" s="28"/>
      <c r="AA606" s="28"/>
    </row>
    <row r="607" ht="18.75" customHeight="1">
      <c r="A607" s="28"/>
      <c r="B607" s="28"/>
      <c r="C607" s="28"/>
      <c r="D607" s="28"/>
      <c r="E607" s="28"/>
      <c r="F607" s="28"/>
      <c r="G607" s="28"/>
      <c r="H607" s="28"/>
      <c r="I607" s="28"/>
      <c r="J607" s="28"/>
      <c r="K607" s="28"/>
      <c r="L607" s="28"/>
      <c r="M607" s="33"/>
      <c r="N607" s="33"/>
      <c r="O607" s="33"/>
      <c r="P607" s="33"/>
      <c r="Q607" s="28"/>
      <c r="R607" s="28"/>
      <c r="S607" s="28"/>
      <c r="T607" s="28"/>
      <c r="U607" s="28"/>
      <c r="V607" s="28"/>
      <c r="W607" s="28"/>
      <c r="X607" s="28"/>
      <c r="Y607" s="28"/>
      <c r="Z607" s="28"/>
      <c r="AA607" s="28"/>
    </row>
    <row r="608" ht="18.75" customHeight="1">
      <c r="A608" s="28"/>
      <c r="B608" s="28"/>
      <c r="C608" s="28"/>
      <c r="D608" s="28"/>
      <c r="E608" s="28"/>
      <c r="F608" s="28"/>
      <c r="G608" s="28"/>
      <c r="H608" s="28"/>
      <c r="I608" s="28"/>
      <c r="J608" s="28"/>
      <c r="K608" s="28"/>
      <c r="L608" s="28"/>
      <c r="M608" s="33"/>
      <c r="N608" s="33"/>
      <c r="O608" s="33"/>
      <c r="P608" s="33"/>
      <c r="Q608" s="28"/>
      <c r="R608" s="28"/>
      <c r="S608" s="28"/>
      <c r="T608" s="28"/>
      <c r="U608" s="28"/>
      <c r="V608" s="28"/>
      <c r="W608" s="28"/>
      <c r="X608" s="28"/>
      <c r="Y608" s="28"/>
      <c r="Z608" s="28"/>
      <c r="AA608" s="28"/>
    </row>
    <row r="609" ht="18.75" customHeight="1">
      <c r="A609" s="28"/>
      <c r="B609" s="28"/>
      <c r="C609" s="28"/>
      <c r="D609" s="28"/>
      <c r="E609" s="28"/>
      <c r="F609" s="28"/>
      <c r="G609" s="28"/>
      <c r="H609" s="28"/>
      <c r="I609" s="28"/>
      <c r="J609" s="28"/>
      <c r="K609" s="28"/>
      <c r="L609" s="28"/>
      <c r="M609" s="33"/>
      <c r="N609" s="33"/>
      <c r="O609" s="33"/>
      <c r="P609" s="33"/>
      <c r="Q609" s="28"/>
      <c r="R609" s="28"/>
      <c r="S609" s="28"/>
      <c r="T609" s="28"/>
      <c r="U609" s="28"/>
      <c r="V609" s="28"/>
      <c r="W609" s="28"/>
      <c r="X609" s="28"/>
      <c r="Y609" s="28"/>
      <c r="Z609" s="28"/>
      <c r="AA609" s="28"/>
    </row>
    <row r="610" ht="18.75" customHeight="1">
      <c r="A610" s="28"/>
      <c r="B610" s="28"/>
      <c r="C610" s="28"/>
      <c r="D610" s="28"/>
      <c r="E610" s="28"/>
      <c r="F610" s="28"/>
      <c r="G610" s="28"/>
      <c r="H610" s="28"/>
      <c r="I610" s="28"/>
      <c r="J610" s="28"/>
      <c r="K610" s="28"/>
      <c r="L610" s="28"/>
      <c r="M610" s="33"/>
      <c r="N610" s="33"/>
      <c r="O610" s="33"/>
      <c r="P610" s="33"/>
      <c r="Q610" s="28"/>
      <c r="R610" s="28"/>
      <c r="S610" s="28"/>
      <c r="T610" s="28"/>
      <c r="U610" s="28"/>
      <c r="V610" s="28"/>
      <c r="W610" s="28"/>
      <c r="X610" s="28"/>
      <c r="Y610" s="28"/>
      <c r="Z610" s="28"/>
      <c r="AA610" s="28"/>
    </row>
    <row r="611" ht="18.75" customHeight="1">
      <c r="A611" s="28"/>
      <c r="B611" s="28"/>
      <c r="C611" s="28"/>
      <c r="D611" s="28"/>
      <c r="E611" s="28"/>
      <c r="F611" s="28"/>
      <c r="G611" s="28"/>
      <c r="H611" s="28"/>
      <c r="I611" s="28"/>
      <c r="J611" s="28"/>
      <c r="K611" s="28"/>
      <c r="L611" s="28"/>
      <c r="M611" s="33"/>
      <c r="N611" s="33"/>
      <c r="O611" s="33"/>
      <c r="P611" s="33"/>
      <c r="Q611" s="28"/>
      <c r="R611" s="28"/>
      <c r="S611" s="28"/>
      <c r="T611" s="28"/>
      <c r="U611" s="28"/>
      <c r="V611" s="28"/>
      <c r="W611" s="28"/>
      <c r="X611" s="28"/>
      <c r="Y611" s="28"/>
      <c r="Z611" s="28"/>
      <c r="AA611" s="28"/>
    </row>
    <row r="612" ht="18.75" customHeight="1">
      <c r="A612" s="28"/>
      <c r="B612" s="28"/>
      <c r="C612" s="28"/>
      <c r="D612" s="28"/>
      <c r="E612" s="28"/>
      <c r="F612" s="28"/>
      <c r="G612" s="28"/>
      <c r="H612" s="28"/>
      <c r="I612" s="28"/>
      <c r="J612" s="28"/>
      <c r="K612" s="28"/>
      <c r="L612" s="28"/>
      <c r="M612" s="33"/>
      <c r="N612" s="33"/>
      <c r="O612" s="33"/>
      <c r="P612" s="33"/>
      <c r="Q612" s="28"/>
      <c r="R612" s="28"/>
      <c r="S612" s="28"/>
      <c r="T612" s="28"/>
      <c r="U612" s="28"/>
      <c r="V612" s="28"/>
      <c r="W612" s="28"/>
      <c r="X612" s="28"/>
      <c r="Y612" s="28"/>
      <c r="Z612" s="28"/>
      <c r="AA612" s="28"/>
    </row>
    <row r="613" ht="18.75" customHeight="1">
      <c r="A613" s="28"/>
      <c r="B613" s="28"/>
      <c r="C613" s="28"/>
      <c r="D613" s="28"/>
      <c r="E613" s="28"/>
      <c r="F613" s="28"/>
      <c r="G613" s="28"/>
      <c r="H613" s="28"/>
      <c r="I613" s="28"/>
      <c r="J613" s="28"/>
      <c r="K613" s="28"/>
      <c r="L613" s="28"/>
      <c r="M613" s="33"/>
      <c r="N613" s="33"/>
      <c r="O613" s="33"/>
      <c r="P613" s="33"/>
      <c r="Q613" s="28"/>
      <c r="R613" s="28"/>
      <c r="S613" s="28"/>
      <c r="T613" s="28"/>
      <c r="U613" s="28"/>
      <c r="V613" s="28"/>
      <c r="W613" s="28"/>
      <c r="X613" s="28"/>
      <c r="Y613" s="28"/>
      <c r="Z613" s="28"/>
      <c r="AA613" s="28"/>
    </row>
    <row r="614" ht="18.75" customHeight="1">
      <c r="A614" s="28"/>
      <c r="B614" s="28"/>
      <c r="C614" s="28"/>
      <c r="D614" s="28"/>
      <c r="E614" s="28"/>
      <c r="F614" s="28"/>
      <c r="G614" s="28"/>
      <c r="H614" s="28"/>
      <c r="I614" s="28"/>
      <c r="J614" s="28"/>
      <c r="K614" s="28"/>
      <c r="L614" s="28"/>
      <c r="M614" s="33"/>
      <c r="N614" s="33"/>
      <c r="O614" s="33"/>
      <c r="P614" s="33"/>
      <c r="Q614" s="28"/>
      <c r="R614" s="28"/>
      <c r="S614" s="28"/>
      <c r="T614" s="28"/>
      <c r="U614" s="28"/>
      <c r="V614" s="28"/>
      <c r="W614" s="28"/>
      <c r="X614" s="28"/>
      <c r="Y614" s="28"/>
      <c r="Z614" s="28"/>
      <c r="AA614" s="28"/>
    </row>
    <row r="615" ht="18.75" customHeight="1">
      <c r="A615" s="28"/>
      <c r="B615" s="28"/>
      <c r="C615" s="28"/>
      <c r="D615" s="28"/>
      <c r="E615" s="28"/>
      <c r="F615" s="28"/>
      <c r="G615" s="28"/>
      <c r="H615" s="28"/>
      <c r="I615" s="28"/>
      <c r="J615" s="28"/>
      <c r="K615" s="28"/>
      <c r="L615" s="28"/>
      <c r="M615" s="33"/>
      <c r="N615" s="33"/>
      <c r="O615" s="33"/>
      <c r="P615" s="33"/>
      <c r="Q615" s="28"/>
      <c r="R615" s="28"/>
      <c r="S615" s="28"/>
      <c r="T615" s="28"/>
      <c r="U615" s="28"/>
      <c r="V615" s="28"/>
      <c r="W615" s="28"/>
      <c r="X615" s="28"/>
      <c r="Y615" s="28"/>
      <c r="Z615" s="28"/>
      <c r="AA615" s="28"/>
    </row>
    <row r="616" ht="18.75" customHeight="1">
      <c r="A616" s="28"/>
      <c r="B616" s="28"/>
      <c r="C616" s="28"/>
      <c r="D616" s="28"/>
      <c r="E616" s="28"/>
      <c r="F616" s="28"/>
      <c r="G616" s="28"/>
      <c r="H616" s="28"/>
      <c r="I616" s="28"/>
      <c r="J616" s="28"/>
      <c r="K616" s="28"/>
      <c r="L616" s="28"/>
      <c r="M616" s="33"/>
      <c r="N616" s="33"/>
      <c r="O616" s="33"/>
      <c r="P616" s="33"/>
      <c r="Q616" s="28"/>
      <c r="R616" s="28"/>
      <c r="S616" s="28"/>
      <c r="T616" s="28"/>
      <c r="U616" s="28"/>
      <c r="V616" s="28"/>
      <c r="W616" s="28"/>
      <c r="X616" s="28"/>
      <c r="Y616" s="28"/>
      <c r="Z616" s="28"/>
      <c r="AA616" s="28"/>
    </row>
    <row r="617" ht="18.75" customHeight="1">
      <c r="A617" s="28"/>
      <c r="B617" s="28"/>
      <c r="C617" s="28"/>
      <c r="D617" s="28"/>
      <c r="E617" s="28"/>
      <c r="F617" s="28"/>
      <c r="G617" s="28"/>
      <c r="H617" s="28"/>
      <c r="I617" s="28"/>
      <c r="J617" s="28"/>
      <c r="K617" s="28"/>
      <c r="L617" s="28"/>
      <c r="M617" s="33"/>
      <c r="N617" s="33"/>
      <c r="O617" s="33"/>
      <c r="P617" s="33"/>
      <c r="Q617" s="28"/>
      <c r="R617" s="28"/>
      <c r="S617" s="28"/>
      <c r="T617" s="28"/>
      <c r="U617" s="28"/>
      <c r="V617" s="28"/>
      <c r="W617" s="28"/>
      <c r="X617" s="28"/>
      <c r="Y617" s="28"/>
      <c r="Z617" s="28"/>
      <c r="AA617" s="28"/>
    </row>
    <row r="618" ht="18.75" customHeight="1">
      <c r="A618" s="28"/>
      <c r="B618" s="28"/>
      <c r="C618" s="28"/>
      <c r="D618" s="28"/>
      <c r="E618" s="28"/>
      <c r="F618" s="28"/>
      <c r="G618" s="28"/>
      <c r="H618" s="28"/>
      <c r="I618" s="28"/>
      <c r="J618" s="28"/>
      <c r="K618" s="28"/>
      <c r="L618" s="28"/>
      <c r="M618" s="33"/>
      <c r="N618" s="33"/>
      <c r="O618" s="33"/>
      <c r="P618" s="33"/>
      <c r="Q618" s="28"/>
      <c r="R618" s="28"/>
      <c r="S618" s="28"/>
      <c r="T618" s="28"/>
      <c r="U618" s="28"/>
      <c r="V618" s="28"/>
      <c r="W618" s="28"/>
      <c r="X618" s="28"/>
      <c r="Y618" s="28"/>
      <c r="Z618" s="28"/>
      <c r="AA618" s="28"/>
    </row>
    <row r="619" ht="18.75" customHeight="1">
      <c r="A619" s="28"/>
      <c r="B619" s="28"/>
      <c r="C619" s="28"/>
      <c r="D619" s="28"/>
      <c r="E619" s="28"/>
      <c r="F619" s="28"/>
      <c r="G619" s="28"/>
      <c r="H619" s="28"/>
      <c r="I619" s="28"/>
      <c r="J619" s="28"/>
      <c r="K619" s="28"/>
      <c r="L619" s="28"/>
      <c r="M619" s="33"/>
      <c r="N619" s="33"/>
      <c r="O619" s="33"/>
      <c r="P619" s="33"/>
      <c r="Q619" s="28"/>
      <c r="R619" s="28"/>
      <c r="S619" s="28"/>
      <c r="T619" s="28"/>
      <c r="U619" s="28"/>
      <c r="V619" s="28"/>
      <c r="W619" s="28"/>
      <c r="X619" s="28"/>
      <c r="Y619" s="28"/>
      <c r="Z619" s="28"/>
      <c r="AA619" s="28"/>
    </row>
    <row r="620" ht="18.75" customHeight="1">
      <c r="A620" s="28"/>
      <c r="B620" s="28"/>
      <c r="C620" s="28"/>
      <c r="D620" s="28"/>
      <c r="E620" s="28"/>
      <c r="F620" s="28"/>
      <c r="G620" s="28"/>
      <c r="H620" s="28"/>
      <c r="I620" s="28"/>
      <c r="J620" s="28"/>
      <c r="K620" s="28"/>
      <c r="L620" s="28"/>
      <c r="M620" s="33"/>
      <c r="N620" s="33"/>
      <c r="O620" s="33"/>
      <c r="P620" s="33"/>
      <c r="Q620" s="28"/>
      <c r="R620" s="28"/>
      <c r="S620" s="28"/>
      <c r="T620" s="28"/>
      <c r="U620" s="28"/>
      <c r="V620" s="28"/>
      <c r="W620" s="28"/>
      <c r="X620" s="28"/>
      <c r="Y620" s="28"/>
      <c r="Z620" s="28"/>
      <c r="AA620" s="28"/>
    </row>
    <row r="621" ht="18.75" customHeight="1">
      <c r="A621" s="28"/>
      <c r="B621" s="28"/>
      <c r="C621" s="28"/>
      <c r="D621" s="28"/>
      <c r="E621" s="28"/>
      <c r="F621" s="28"/>
      <c r="G621" s="28"/>
      <c r="H621" s="28"/>
      <c r="I621" s="28"/>
      <c r="J621" s="28"/>
      <c r="K621" s="28"/>
      <c r="L621" s="28"/>
      <c r="M621" s="33"/>
      <c r="N621" s="33"/>
      <c r="O621" s="33"/>
      <c r="P621" s="33"/>
      <c r="Q621" s="28"/>
      <c r="R621" s="28"/>
      <c r="S621" s="28"/>
      <c r="T621" s="28"/>
      <c r="U621" s="28"/>
      <c r="V621" s="28"/>
      <c r="W621" s="28"/>
      <c r="X621" s="28"/>
      <c r="Y621" s="28"/>
      <c r="Z621" s="28"/>
      <c r="AA621" s="28"/>
    </row>
    <row r="622" ht="18.75" customHeight="1">
      <c r="A622" s="28"/>
      <c r="B622" s="28"/>
      <c r="C622" s="28"/>
      <c r="D622" s="28"/>
      <c r="E622" s="28"/>
      <c r="F622" s="28"/>
      <c r="G622" s="28"/>
      <c r="H622" s="28"/>
      <c r="I622" s="28"/>
      <c r="J622" s="28"/>
      <c r="K622" s="28"/>
      <c r="L622" s="28"/>
      <c r="M622" s="33"/>
      <c r="N622" s="33"/>
      <c r="O622" s="33"/>
      <c r="P622" s="33"/>
      <c r="Q622" s="28"/>
      <c r="R622" s="28"/>
      <c r="S622" s="28"/>
      <c r="T622" s="28"/>
      <c r="U622" s="28"/>
      <c r="V622" s="28"/>
      <c r="W622" s="28"/>
      <c r="X622" s="28"/>
      <c r="Y622" s="28"/>
      <c r="Z622" s="28"/>
      <c r="AA622" s="28"/>
    </row>
    <row r="623" ht="18.75" customHeight="1">
      <c r="A623" s="28"/>
      <c r="B623" s="28"/>
      <c r="C623" s="28"/>
      <c r="D623" s="28"/>
      <c r="E623" s="28"/>
      <c r="F623" s="28"/>
      <c r="G623" s="28"/>
      <c r="H623" s="28"/>
      <c r="I623" s="28"/>
      <c r="J623" s="28"/>
      <c r="K623" s="28"/>
      <c r="L623" s="28"/>
      <c r="M623" s="33"/>
      <c r="N623" s="33"/>
      <c r="O623" s="33"/>
      <c r="P623" s="33"/>
      <c r="Q623" s="28"/>
      <c r="R623" s="28"/>
      <c r="S623" s="28"/>
      <c r="T623" s="28"/>
      <c r="U623" s="28"/>
      <c r="V623" s="28"/>
      <c r="W623" s="28"/>
      <c r="X623" s="28"/>
      <c r="Y623" s="28"/>
      <c r="Z623" s="28"/>
      <c r="AA623" s="28"/>
    </row>
    <row r="624" ht="18.75" customHeight="1">
      <c r="A624" s="28"/>
      <c r="B624" s="28"/>
      <c r="C624" s="28"/>
      <c r="D624" s="28"/>
      <c r="E624" s="28"/>
      <c r="F624" s="28"/>
      <c r="G624" s="28"/>
      <c r="H624" s="28"/>
      <c r="I624" s="28"/>
      <c r="J624" s="28"/>
      <c r="K624" s="28"/>
      <c r="L624" s="28"/>
      <c r="M624" s="33"/>
      <c r="N624" s="33"/>
      <c r="O624" s="33"/>
      <c r="P624" s="33"/>
      <c r="Q624" s="28"/>
      <c r="R624" s="28"/>
      <c r="S624" s="28"/>
      <c r="T624" s="28"/>
      <c r="U624" s="28"/>
      <c r="V624" s="28"/>
      <c r="W624" s="28"/>
      <c r="X624" s="28"/>
      <c r="Y624" s="28"/>
      <c r="Z624" s="28"/>
      <c r="AA624" s="28"/>
    </row>
    <row r="625" ht="18.75" customHeight="1">
      <c r="A625" s="28"/>
      <c r="B625" s="28"/>
      <c r="C625" s="28"/>
      <c r="D625" s="28"/>
      <c r="E625" s="28"/>
      <c r="F625" s="28"/>
      <c r="G625" s="28"/>
      <c r="H625" s="28"/>
      <c r="I625" s="28"/>
      <c r="J625" s="28"/>
      <c r="K625" s="28"/>
      <c r="L625" s="28"/>
      <c r="M625" s="33"/>
      <c r="N625" s="33"/>
      <c r="O625" s="33"/>
      <c r="P625" s="33"/>
      <c r="Q625" s="28"/>
      <c r="R625" s="28"/>
      <c r="S625" s="28"/>
      <c r="T625" s="28"/>
      <c r="U625" s="28"/>
      <c r="V625" s="28"/>
      <c r="W625" s="28"/>
      <c r="X625" s="28"/>
      <c r="Y625" s="28"/>
      <c r="Z625" s="28"/>
      <c r="AA625" s="28"/>
    </row>
    <row r="626" ht="18.75" customHeight="1">
      <c r="A626" s="28"/>
      <c r="B626" s="28"/>
      <c r="C626" s="28"/>
      <c r="D626" s="28"/>
      <c r="E626" s="28"/>
      <c r="F626" s="28"/>
      <c r="G626" s="28"/>
      <c r="H626" s="28"/>
      <c r="I626" s="28"/>
      <c r="J626" s="28"/>
      <c r="K626" s="28"/>
      <c r="L626" s="28"/>
      <c r="M626" s="33"/>
      <c r="N626" s="33"/>
      <c r="O626" s="33"/>
      <c r="P626" s="33"/>
      <c r="Q626" s="28"/>
      <c r="R626" s="28"/>
      <c r="S626" s="28"/>
      <c r="T626" s="28"/>
      <c r="U626" s="28"/>
      <c r="V626" s="28"/>
      <c r="W626" s="28"/>
      <c r="X626" s="28"/>
      <c r="Y626" s="28"/>
      <c r="Z626" s="28"/>
      <c r="AA626" s="28"/>
    </row>
    <row r="627" ht="18.75" customHeight="1">
      <c r="A627" s="28"/>
      <c r="B627" s="28"/>
      <c r="C627" s="28"/>
      <c r="D627" s="28"/>
      <c r="E627" s="28"/>
      <c r="F627" s="28"/>
      <c r="G627" s="28"/>
      <c r="H627" s="28"/>
      <c r="I627" s="28"/>
      <c r="J627" s="28"/>
      <c r="K627" s="28"/>
      <c r="L627" s="28"/>
      <c r="M627" s="33"/>
      <c r="N627" s="33"/>
      <c r="O627" s="33"/>
      <c r="P627" s="33"/>
      <c r="Q627" s="28"/>
      <c r="R627" s="28"/>
      <c r="S627" s="28"/>
      <c r="T627" s="28"/>
      <c r="U627" s="28"/>
      <c r="V627" s="28"/>
      <c r="W627" s="28"/>
      <c r="X627" s="28"/>
      <c r="Y627" s="28"/>
      <c r="Z627" s="28"/>
      <c r="AA627" s="28"/>
    </row>
    <row r="628" ht="18.75" customHeight="1">
      <c r="A628" s="28"/>
      <c r="B628" s="28"/>
      <c r="C628" s="28"/>
      <c r="D628" s="28"/>
      <c r="E628" s="28"/>
      <c r="F628" s="28"/>
      <c r="G628" s="28"/>
      <c r="H628" s="28"/>
      <c r="I628" s="28"/>
      <c r="J628" s="28"/>
      <c r="K628" s="28"/>
      <c r="L628" s="28"/>
      <c r="M628" s="33"/>
      <c r="N628" s="33"/>
      <c r="O628" s="33"/>
      <c r="P628" s="33"/>
      <c r="Q628" s="28"/>
      <c r="R628" s="28"/>
      <c r="S628" s="28"/>
      <c r="T628" s="28"/>
      <c r="U628" s="28"/>
      <c r="V628" s="28"/>
      <c r="W628" s="28"/>
      <c r="X628" s="28"/>
      <c r="Y628" s="28"/>
      <c r="Z628" s="28"/>
      <c r="AA628" s="28"/>
    </row>
    <row r="629" ht="18.75" customHeight="1">
      <c r="A629" s="28"/>
      <c r="B629" s="28"/>
      <c r="C629" s="28"/>
      <c r="D629" s="28"/>
      <c r="E629" s="28"/>
      <c r="F629" s="28"/>
      <c r="G629" s="28"/>
      <c r="H629" s="28"/>
      <c r="I629" s="28"/>
      <c r="J629" s="28"/>
      <c r="K629" s="28"/>
      <c r="L629" s="28"/>
      <c r="M629" s="33"/>
      <c r="N629" s="33"/>
      <c r="O629" s="33"/>
      <c r="P629" s="33"/>
      <c r="Q629" s="28"/>
      <c r="R629" s="28"/>
      <c r="S629" s="28"/>
      <c r="T629" s="28"/>
      <c r="U629" s="28"/>
      <c r="V629" s="28"/>
      <c r="W629" s="28"/>
      <c r="X629" s="28"/>
      <c r="Y629" s="28"/>
      <c r="Z629" s="28"/>
      <c r="AA629" s="28"/>
    </row>
    <row r="630" ht="18.75" customHeight="1">
      <c r="A630" s="28"/>
      <c r="B630" s="28"/>
      <c r="C630" s="28"/>
      <c r="D630" s="28"/>
      <c r="E630" s="28"/>
      <c r="F630" s="28"/>
      <c r="G630" s="28"/>
      <c r="H630" s="28"/>
      <c r="I630" s="28"/>
      <c r="J630" s="28"/>
      <c r="K630" s="28"/>
      <c r="L630" s="28"/>
      <c r="M630" s="33"/>
      <c r="N630" s="33"/>
      <c r="O630" s="33"/>
      <c r="P630" s="33"/>
      <c r="Q630" s="28"/>
      <c r="R630" s="28"/>
      <c r="S630" s="28"/>
      <c r="T630" s="28"/>
      <c r="U630" s="28"/>
      <c r="V630" s="28"/>
      <c r="W630" s="28"/>
      <c r="X630" s="28"/>
      <c r="Y630" s="28"/>
      <c r="Z630" s="28"/>
      <c r="AA630" s="28"/>
    </row>
    <row r="631" ht="18.75" customHeight="1">
      <c r="A631" s="28"/>
      <c r="B631" s="28"/>
      <c r="C631" s="28"/>
      <c r="D631" s="28"/>
      <c r="E631" s="28"/>
      <c r="F631" s="28"/>
      <c r="G631" s="28"/>
      <c r="H631" s="28"/>
      <c r="I631" s="28"/>
      <c r="J631" s="28"/>
      <c r="K631" s="28"/>
      <c r="L631" s="28"/>
      <c r="M631" s="33"/>
      <c r="N631" s="33"/>
      <c r="O631" s="33"/>
      <c r="P631" s="33"/>
      <c r="Q631" s="28"/>
      <c r="R631" s="28"/>
      <c r="S631" s="28"/>
      <c r="T631" s="28"/>
      <c r="U631" s="28"/>
      <c r="V631" s="28"/>
      <c r="W631" s="28"/>
      <c r="X631" s="28"/>
      <c r="Y631" s="28"/>
      <c r="Z631" s="28"/>
      <c r="AA631" s="28"/>
    </row>
    <row r="632" ht="18.75" customHeight="1">
      <c r="A632" s="28"/>
      <c r="B632" s="28"/>
      <c r="C632" s="28"/>
      <c r="D632" s="28"/>
      <c r="E632" s="28"/>
      <c r="F632" s="28"/>
      <c r="G632" s="28"/>
      <c r="H632" s="28"/>
      <c r="I632" s="28"/>
      <c r="J632" s="28"/>
      <c r="K632" s="28"/>
      <c r="L632" s="28"/>
      <c r="M632" s="33"/>
      <c r="N632" s="33"/>
      <c r="O632" s="33"/>
      <c r="P632" s="33"/>
      <c r="Q632" s="28"/>
      <c r="R632" s="28"/>
      <c r="S632" s="28"/>
      <c r="T632" s="28"/>
      <c r="U632" s="28"/>
      <c r="V632" s="28"/>
      <c r="W632" s="28"/>
      <c r="X632" s="28"/>
      <c r="Y632" s="28"/>
      <c r="Z632" s="28"/>
      <c r="AA632" s="28"/>
    </row>
    <row r="633" ht="18.75" customHeight="1">
      <c r="A633" s="28"/>
      <c r="B633" s="28"/>
      <c r="C633" s="28"/>
      <c r="D633" s="28"/>
      <c r="E633" s="28"/>
      <c r="F633" s="28"/>
      <c r="G633" s="28"/>
      <c r="H633" s="28"/>
      <c r="I633" s="28"/>
      <c r="J633" s="28"/>
      <c r="K633" s="28"/>
      <c r="L633" s="28"/>
      <c r="M633" s="33"/>
      <c r="N633" s="33"/>
      <c r="O633" s="33"/>
      <c r="P633" s="33"/>
      <c r="Q633" s="28"/>
      <c r="R633" s="28"/>
      <c r="S633" s="28"/>
      <c r="T633" s="28"/>
      <c r="U633" s="28"/>
      <c r="V633" s="28"/>
      <c r="W633" s="28"/>
      <c r="X633" s="28"/>
      <c r="Y633" s="28"/>
      <c r="Z633" s="28"/>
      <c r="AA633" s="28"/>
    </row>
    <row r="634" ht="18.75" customHeight="1">
      <c r="A634" s="28"/>
      <c r="B634" s="28"/>
      <c r="C634" s="28"/>
      <c r="D634" s="28"/>
      <c r="E634" s="28"/>
      <c r="F634" s="28"/>
      <c r="G634" s="28"/>
      <c r="H634" s="28"/>
      <c r="I634" s="28"/>
      <c r="J634" s="28"/>
      <c r="K634" s="28"/>
      <c r="L634" s="28"/>
      <c r="M634" s="33"/>
      <c r="N634" s="33"/>
      <c r="O634" s="33"/>
      <c r="P634" s="33"/>
      <c r="Q634" s="28"/>
      <c r="R634" s="28"/>
      <c r="S634" s="28"/>
      <c r="T634" s="28"/>
      <c r="U634" s="28"/>
      <c r="V634" s="28"/>
      <c r="W634" s="28"/>
      <c r="X634" s="28"/>
      <c r="Y634" s="28"/>
      <c r="Z634" s="28"/>
      <c r="AA634" s="28"/>
    </row>
    <row r="635" ht="18.75" customHeight="1">
      <c r="A635" s="28"/>
      <c r="B635" s="28"/>
      <c r="C635" s="28"/>
      <c r="D635" s="28"/>
      <c r="E635" s="28"/>
      <c r="F635" s="28"/>
      <c r="G635" s="28"/>
      <c r="H635" s="28"/>
      <c r="I635" s="28"/>
      <c r="J635" s="28"/>
      <c r="K635" s="28"/>
      <c r="L635" s="28"/>
      <c r="M635" s="33"/>
      <c r="N635" s="33"/>
      <c r="O635" s="33"/>
      <c r="P635" s="33"/>
      <c r="Q635" s="28"/>
      <c r="R635" s="28"/>
      <c r="S635" s="28"/>
      <c r="T635" s="28"/>
      <c r="U635" s="28"/>
      <c r="V635" s="28"/>
      <c r="W635" s="28"/>
      <c r="X635" s="28"/>
      <c r="Y635" s="28"/>
      <c r="Z635" s="28"/>
      <c r="AA635" s="28"/>
    </row>
    <row r="636" ht="18.75" customHeight="1">
      <c r="A636" s="28"/>
      <c r="B636" s="28"/>
      <c r="C636" s="28"/>
      <c r="D636" s="28"/>
      <c r="E636" s="28"/>
      <c r="F636" s="28"/>
      <c r="G636" s="28"/>
      <c r="H636" s="28"/>
      <c r="I636" s="28"/>
      <c r="J636" s="28"/>
      <c r="K636" s="28"/>
      <c r="L636" s="28"/>
      <c r="M636" s="33"/>
      <c r="N636" s="33"/>
      <c r="O636" s="33"/>
      <c r="P636" s="33"/>
      <c r="Q636" s="28"/>
      <c r="R636" s="28"/>
      <c r="S636" s="28"/>
      <c r="T636" s="28"/>
      <c r="U636" s="28"/>
      <c r="V636" s="28"/>
      <c r="W636" s="28"/>
      <c r="X636" s="28"/>
      <c r="Y636" s="28"/>
      <c r="Z636" s="28"/>
      <c r="AA636" s="28"/>
    </row>
    <row r="637" ht="18.75" customHeight="1">
      <c r="A637" s="28"/>
      <c r="B637" s="28"/>
      <c r="C637" s="28"/>
      <c r="D637" s="28"/>
      <c r="E637" s="28"/>
      <c r="F637" s="28"/>
      <c r="G637" s="28"/>
      <c r="H637" s="28"/>
      <c r="I637" s="28"/>
      <c r="J637" s="28"/>
      <c r="K637" s="28"/>
      <c r="L637" s="28"/>
      <c r="M637" s="33"/>
      <c r="N637" s="33"/>
      <c r="O637" s="33"/>
      <c r="P637" s="33"/>
      <c r="Q637" s="28"/>
      <c r="R637" s="28"/>
      <c r="S637" s="28"/>
      <c r="T637" s="28"/>
      <c r="U637" s="28"/>
      <c r="V637" s="28"/>
      <c r="W637" s="28"/>
      <c r="X637" s="28"/>
      <c r="Y637" s="28"/>
      <c r="Z637" s="28"/>
      <c r="AA637" s="28"/>
    </row>
    <row r="638" ht="18.75" customHeight="1">
      <c r="A638" s="28"/>
      <c r="B638" s="28"/>
      <c r="C638" s="28"/>
      <c r="D638" s="28"/>
      <c r="E638" s="28"/>
      <c r="F638" s="28"/>
      <c r="G638" s="28"/>
      <c r="H638" s="28"/>
      <c r="I638" s="28"/>
      <c r="J638" s="28"/>
      <c r="K638" s="28"/>
      <c r="L638" s="28"/>
      <c r="M638" s="33"/>
      <c r="N638" s="33"/>
      <c r="O638" s="33"/>
      <c r="P638" s="33"/>
      <c r="Q638" s="28"/>
      <c r="R638" s="28"/>
      <c r="S638" s="28"/>
      <c r="T638" s="28"/>
      <c r="U638" s="28"/>
      <c r="V638" s="28"/>
      <c r="W638" s="28"/>
      <c r="X638" s="28"/>
      <c r="Y638" s="28"/>
      <c r="Z638" s="28"/>
      <c r="AA638" s="28"/>
    </row>
    <row r="639" ht="18.75" customHeight="1">
      <c r="A639" s="28"/>
      <c r="B639" s="28"/>
      <c r="C639" s="28"/>
      <c r="D639" s="28"/>
      <c r="E639" s="28"/>
      <c r="F639" s="28"/>
      <c r="G639" s="28"/>
      <c r="H639" s="28"/>
      <c r="I639" s="28"/>
      <c r="J639" s="28"/>
      <c r="K639" s="28"/>
      <c r="L639" s="28"/>
      <c r="M639" s="33"/>
      <c r="N639" s="33"/>
      <c r="O639" s="33"/>
      <c r="P639" s="33"/>
      <c r="Q639" s="28"/>
      <c r="R639" s="28"/>
      <c r="S639" s="28"/>
      <c r="T639" s="28"/>
      <c r="U639" s="28"/>
      <c r="V639" s="28"/>
      <c r="W639" s="28"/>
      <c r="X639" s="28"/>
      <c r="Y639" s="28"/>
      <c r="Z639" s="28"/>
      <c r="AA639" s="28"/>
    </row>
    <row r="640" ht="18.75" customHeight="1">
      <c r="A640" s="28"/>
      <c r="B640" s="28"/>
      <c r="C640" s="28"/>
      <c r="D640" s="28"/>
      <c r="E640" s="28"/>
      <c r="F640" s="28"/>
      <c r="G640" s="28"/>
      <c r="H640" s="28"/>
      <c r="I640" s="28"/>
      <c r="J640" s="28"/>
      <c r="K640" s="28"/>
      <c r="L640" s="28"/>
      <c r="M640" s="33"/>
      <c r="N640" s="33"/>
      <c r="O640" s="33"/>
      <c r="P640" s="33"/>
      <c r="Q640" s="28"/>
      <c r="R640" s="28"/>
      <c r="S640" s="28"/>
      <c r="T640" s="28"/>
      <c r="U640" s="28"/>
      <c r="V640" s="28"/>
      <c r="W640" s="28"/>
      <c r="X640" s="28"/>
      <c r="Y640" s="28"/>
      <c r="Z640" s="28"/>
      <c r="AA640" s="28"/>
    </row>
    <row r="641" ht="18.75" customHeight="1">
      <c r="A641" s="28"/>
      <c r="B641" s="28"/>
      <c r="C641" s="28"/>
      <c r="D641" s="28"/>
      <c r="E641" s="28"/>
      <c r="F641" s="28"/>
      <c r="G641" s="28"/>
      <c r="H641" s="28"/>
      <c r="I641" s="28"/>
      <c r="J641" s="28"/>
      <c r="K641" s="28"/>
      <c r="L641" s="28"/>
      <c r="M641" s="33"/>
      <c r="N641" s="33"/>
      <c r="O641" s="33"/>
      <c r="P641" s="33"/>
      <c r="Q641" s="28"/>
      <c r="R641" s="28"/>
      <c r="S641" s="28"/>
      <c r="T641" s="28"/>
      <c r="U641" s="28"/>
      <c r="V641" s="28"/>
      <c r="W641" s="28"/>
      <c r="X641" s="28"/>
      <c r="Y641" s="28"/>
      <c r="Z641" s="28"/>
      <c r="AA641" s="28"/>
    </row>
    <row r="642" ht="18.75" customHeight="1">
      <c r="A642" s="28"/>
      <c r="B642" s="28"/>
      <c r="C642" s="28"/>
      <c r="D642" s="28"/>
      <c r="E642" s="28"/>
      <c r="F642" s="28"/>
      <c r="G642" s="28"/>
      <c r="H642" s="28"/>
      <c r="I642" s="28"/>
      <c r="J642" s="28"/>
      <c r="K642" s="28"/>
      <c r="L642" s="28"/>
      <c r="M642" s="33"/>
      <c r="N642" s="33"/>
      <c r="O642" s="33"/>
      <c r="P642" s="33"/>
      <c r="Q642" s="28"/>
      <c r="R642" s="28"/>
      <c r="S642" s="28"/>
      <c r="T642" s="28"/>
      <c r="U642" s="28"/>
      <c r="V642" s="28"/>
      <c r="W642" s="28"/>
      <c r="X642" s="28"/>
      <c r="Y642" s="28"/>
      <c r="Z642" s="28"/>
      <c r="AA642" s="28"/>
    </row>
    <row r="643" ht="18.75" customHeight="1">
      <c r="A643" s="28"/>
      <c r="B643" s="28"/>
      <c r="C643" s="28"/>
      <c r="D643" s="28"/>
      <c r="E643" s="28"/>
      <c r="F643" s="28"/>
      <c r="G643" s="28"/>
      <c r="H643" s="28"/>
      <c r="I643" s="28"/>
      <c r="J643" s="28"/>
      <c r="K643" s="28"/>
      <c r="L643" s="28"/>
      <c r="M643" s="33"/>
      <c r="N643" s="33"/>
      <c r="O643" s="33"/>
      <c r="P643" s="33"/>
      <c r="Q643" s="28"/>
      <c r="R643" s="28"/>
      <c r="S643" s="28"/>
      <c r="T643" s="28"/>
      <c r="U643" s="28"/>
      <c r="V643" s="28"/>
      <c r="W643" s="28"/>
      <c r="X643" s="28"/>
      <c r="Y643" s="28"/>
      <c r="Z643" s="28"/>
      <c r="AA643" s="28"/>
    </row>
    <row r="644" ht="18.75" customHeight="1">
      <c r="A644" s="28"/>
      <c r="B644" s="28"/>
      <c r="C644" s="28"/>
      <c r="D644" s="28"/>
      <c r="E644" s="28"/>
      <c r="F644" s="28"/>
      <c r="G644" s="28"/>
      <c r="H644" s="28"/>
      <c r="I644" s="28"/>
      <c r="J644" s="28"/>
      <c r="K644" s="28"/>
      <c r="L644" s="28"/>
      <c r="M644" s="33"/>
      <c r="N644" s="33"/>
      <c r="O644" s="33"/>
      <c r="P644" s="33"/>
      <c r="Q644" s="28"/>
      <c r="R644" s="28"/>
      <c r="S644" s="28"/>
      <c r="T644" s="28"/>
      <c r="U644" s="28"/>
      <c r="V644" s="28"/>
      <c r="W644" s="28"/>
      <c r="X644" s="28"/>
      <c r="Y644" s="28"/>
      <c r="Z644" s="28"/>
      <c r="AA644" s="28"/>
    </row>
    <row r="645" ht="18.75" customHeight="1">
      <c r="A645" s="28"/>
      <c r="B645" s="28"/>
      <c r="C645" s="28"/>
      <c r="D645" s="28"/>
      <c r="E645" s="28"/>
      <c r="F645" s="28"/>
      <c r="G645" s="28"/>
      <c r="H645" s="28"/>
      <c r="I645" s="28"/>
      <c r="J645" s="28"/>
      <c r="K645" s="28"/>
      <c r="L645" s="28"/>
      <c r="M645" s="33"/>
      <c r="N645" s="33"/>
      <c r="O645" s="33"/>
      <c r="P645" s="33"/>
      <c r="Q645" s="28"/>
      <c r="R645" s="28"/>
      <c r="S645" s="28"/>
      <c r="T645" s="28"/>
      <c r="U645" s="28"/>
      <c r="V645" s="28"/>
      <c r="W645" s="28"/>
      <c r="X645" s="28"/>
      <c r="Y645" s="28"/>
      <c r="Z645" s="28"/>
      <c r="AA645" s="28"/>
    </row>
    <row r="646" ht="18.75" customHeight="1">
      <c r="A646" s="28"/>
      <c r="B646" s="28"/>
      <c r="C646" s="28"/>
      <c r="D646" s="28"/>
      <c r="E646" s="28"/>
      <c r="F646" s="28"/>
      <c r="G646" s="28"/>
      <c r="H646" s="28"/>
      <c r="I646" s="28"/>
      <c r="J646" s="28"/>
      <c r="K646" s="28"/>
      <c r="L646" s="28"/>
      <c r="M646" s="33"/>
      <c r="N646" s="33"/>
      <c r="O646" s="33"/>
      <c r="P646" s="33"/>
      <c r="Q646" s="28"/>
      <c r="R646" s="28"/>
      <c r="S646" s="28"/>
      <c r="T646" s="28"/>
      <c r="U646" s="28"/>
      <c r="V646" s="28"/>
      <c r="W646" s="28"/>
      <c r="X646" s="28"/>
      <c r="Y646" s="28"/>
      <c r="Z646" s="28"/>
      <c r="AA646" s="28"/>
    </row>
    <row r="647" ht="18.75" customHeight="1">
      <c r="A647" s="28"/>
      <c r="B647" s="28"/>
      <c r="C647" s="28"/>
      <c r="D647" s="28"/>
      <c r="E647" s="28"/>
      <c r="F647" s="28"/>
      <c r="G647" s="28"/>
      <c r="H647" s="28"/>
      <c r="I647" s="28"/>
      <c r="J647" s="28"/>
      <c r="K647" s="28"/>
      <c r="L647" s="28"/>
      <c r="M647" s="33"/>
      <c r="N647" s="33"/>
      <c r="O647" s="33"/>
      <c r="P647" s="33"/>
      <c r="Q647" s="28"/>
      <c r="R647" s="28"/>
      <c r="S647" s="28"/>
      <c r="T647" s="28"/>
      <c r="U647" s="28"/>
      <c r="V647" s="28"/>
      <c r="W647" s="28"/>
      <c r="X647" s="28"/>
      <c r="Y647" s="28"/>
      <c r="Z647" s="28"/>
      <c r="AA647" s="28"/>
    </row>
    <row r="648" ht="18.75" customHeight="1">
      <c r="A648" s="28"/>
      <c r="B648" s="28"/>
      <c r="C648" s="28"/>
      <c r="D648" s="28"/>
      <c r="E648" s="28"/>
      <c r="F648" s="28"/>
      <c r="G648" s="28"/>
      <c r="H648" s="28"/>
      <c r="I648" s="28"/>
      <c r="J648" s="28"/>
      <c r="K648" s="28"/>
      <c r="L648" s="28"/>
      <c r="M648" s="33"/>
      <c r="N648" s="33"/>
      <c r="O648" s="33"/>
      <c r="P648" s="33"/>
      <c r="Q648" s="28"/>
      <c r="R648" s="28"/>
      <c r="S648" s="28"/>
      <c r="T648" s="28"/>
      <c r="U648" s="28"/>
      <c r="V648" s="28"/>
      <c r="W648" s="28"/>
      <c r="X648" s="28"/>
      <c r="Y648" s="28"/>
      <c r="Z648" s="28"/>
      <c r="AA648" s="28"/>
    </row>
    <row r="649" ht="18.75" customHeight="1">
      <c r="A649" s="28"/>
      <c r="B649" s="28"/>
      <c r="C649" s="28"/>
      <c r="D649" s="28"/>
      <c r="E649" s="28"/>
      <c r="F649" s="28"/>
      <c r="G649" s="28"/>
      <c r="H649" s="28"/>
      <c r="I649" s="28"/>
      <c r="J649" s="28"/>
      <c r="K649" s="28"/>
      <c r="L649" s="28"/>
      <c r="M649" s="33"/>
      <c r="N649" s="33"/>
      <c r="O649" s="33"/>
      <c r="P649" s="33"/>
      <c r="Q649" s="28"/>
      <c r="R649" s="28"/>
      <c r="S649" s="28"/>
      <c r="T649" s="28"/>
      <c r="U649" s="28"/>
      <c r="V649" s="28"/>
      <c r="W649" s="28"/>
      <c r="X649" s="28"/>
      <c r="Y649" s="28"/>
      <c r="Z649" s="28"/>
      <c r="AA649" s="28"/>
    </row>
    <row r="650" ht="18.75" customHeight="1">
      <c r="A650" s="28"/>
      <c r="B650" s="28"/>
      <c r="C650" s="28"/>
      <c r="D650" s="28"/>
      <c r="E650" s="28"/>
      <c r="F650" s="28"/>
      <c r="G650" s="28"/>
      <c r="H650" s="28"/>
      <c r="I650" s="28"/>
      <c r="J650" s="28"/>
      <c r="K650" s="28"/>
      <c r="L650" s="28"/>
      <c r="M650" s="33"/>
      <c r="N650" s="33"/>
      <c r="O650" s="33"/>
      <c r="P650" s="33"/>
      <c r="Q650" s="28"/>
      <c r="R650" s="28"/>
      <c r="S650" s="28"/>
      <c r="T650" s="28"/>
      <c r="U650" s="28"/>
      <c r="V650" s="28"/>
      <c r="W650" s="28"/>
      <c r="X650" s="28"/>
      <c r="Y650" s="28"/>
      <c r="Z650" s="28"/>
      <c r="AA650" s="28"/>
    </row>
    <row r="651" ht="18.75" customHeight="1">
      <c r="A651" s="28"/>
      <c r="B651" s="28"/>
      <c r="C651" s="28"/>
      <c r="D651" s="28"/>
      <c r="E651" s="28"/>
      <c r="F651" s="28"/>
      <c r="G651" s="28"/>
      <c r="H651" s="28"/>
      <c r="I651" s="28"/>
      <c r="J651" s="28"/>
      <c r="K651" s="28"/>
      <c r="L651" s="28"/>
      <c r="M651" s="33"/>
      <c r="N651" s="33"/>
      <c r="O651" s="33"/>
      <c r="P651" s="33"/>
      <c r="Q651" s="28"/>
      <c r="R651" s="28"/>
      <c r="S651" s="28"/>
      <c r="T651" s="28"/>
      <c r="U651" s="28"/>
      <c r="V651" s="28"/>
      <c r="W651" s="28"/>
      <c r="X651" s="28"/>
      <c r="Y651" s="28"/>
      <c r="Z651" s="28"/>
      <c r="AA651" s="28"/>
    </row>
    <row r="652" ht="18.75" customHeight="1">
      <c r="A652" s="28"/>
      <c r="B652" s="28"/>
      <c r="C652" s="28"/>
      <c r="D652" s="28"/>
      <c r="E652" s="28"/>
      <c r="F652" s="28"/>
      <c r="G652" s="28"/>
      <c r="H652" s="28"/>
      <c r="I652" s="28"/>
      <c r="J652" s="28"/>
      <c r="K652" s="28"/>
      <c r="L652" s="28"/>
      <c r="M652" s="33"/>
      <c r="N652" s="33"/>
      <c r="O652" s="33"/>
      <c r="P652" s="33"/>
      <c r="Q652" s="28"/>
      <c r="R652" s="28"/>
      <c r="S652" s="28"/>
      <c r="T652" s="28"/>
      <c r="U652" s="28"/>
      <c r="V652" s="28"/>
      <c r="W652" s="28"/>
      <c r="X652" s="28"/>
      <c r="Y652" s="28"/>
      <c r="Z652" s="28"/>
      <c r="AA652" s="28"/>
    </row>
    <row r="653" ht="18.75" customHeight="1">
      <c r="A653" s="28"/>
      <c r="B653" s="28"/>
      <c r="C653" s="28"/>
      <c r="D653" s="28"/>
      <c r="E653" s="28"/>
      <c r="F653" s="28"/>
      <c r="G653" s="28"/>
      <c r="H653" s="28"/>
      <c r="I653" s="28"/>
      <c r="J653" s="28"/>
      <c r="K653" s="28"/>
      <c r="L653" s="28"/>
      <c r="M653" s="33"/>
      <c r="N653" s="33"/>
      <c r="O653" s="33"/>
      <c r="P653" s="33"/>
      <c r="Q653" s="28"/>
      <c r="R653" s="28"/>
      <c r="S653" s="28"/>
      <c r="T653" s="28"/>
      <c r="U653" s="28"/>
      <c r="V653" s="28"/>
      <c r="W653" s="28"/>
      <c r="X653" s="28"/>
      <c r="Y653" s="28"/>
      <c r="Z653" s="28"/>
      <c r="AA653" s="28"/>
    </row>
    <row r="654" ht="18.75" customHeight="1">
      <c r="A654" s="28"/>
      <c r="B654" s="28"/>
      <c r="C654" s="28"/>
      <c r="D654" s="28"/>
      <c r="E654" s="28"/>
      <c r="F654" s="28"/>
      <c r="G654" s="28"/>
      <c r="H654" s="28"/>
      <c r="I654" s="28"/>
      <c r="J654" s="28"/>
      <c r="K654" s="28"/>
      <c r="L654" s="28"/>
      <c r="M654" s="33"/>
      <c r="N654" s="33"/>
      <c r="O654" s="33"/>
      <c r="P654" s="33"/>
      <c r="Q654" s="28"/>
      <c r="R654" s="28"/>
      <c r="S654" s="28"/>
      <c r="T654" s="28"/>
      <c r="U654" s="28"/>
      <c r="V654" s="28"/>
      <c r="W654" s="28"/>
      <c r="X654" s="28"/>
      <c r="Y654" s="28"/>
      <c r="Z654" s="28"/>
      <c r="AA654" s="28"/>
    </row>
    <row r="655" ht="18.75" customHeight="1">
      <c r="A655" s="28"/>
      <c r="B655" s="28"/>
      <c r="C655" s="28"/>
      <c r="D655" s="28"/>
      <c r="E655" s="28"/>
      <c r="F655" s="28"/>
      <c r="G655" s="28"/>
      <c r="H655" s="28"/>
      <c r="I655" s="28"/>
      <c r="J655" s="28"/>
      <c r="K655" s="28"/>
      <c r="L655" s="28"/>
      <c r="M655" s="33"/>
      <c r="N655" s="33"/>
      <c r="O655" s="33"/>
      <c r="P655" s="33"/>
      <c r="Q655" s="28"/>
      <c r="R655" s="28"/>
      <c r="S655" s="28"/>
      <c r="T655" s="28"/>
      <c r="U655" s="28"/>
      <c r="V655" s="28"/>
      <c r="W655" s="28"/>
      <c r="X655" s="28"/>
      <c r="Y655" s="28"/>
      <c r="Z655" s="28"/>
      <c r="AA655" s="28"/>
    </row>
    <row r="656" ht="18.75" customHeight="1">
      <c r="A656" s="28"/>
      <c r="B656" s="28"/>
      <c r="C656" s="28"/>
      <c r="D656" s="28"/>
      <c r="E656" s="28"/>
      <c r="F656" s="28"/>
      <c r="G656" s="28"/>
      <c r="H656" s="28"/>
      <c r="I656" s="28"/>
      <c r="J656" s="28"/>
      <c r="K656" s="28"/>
      <c r="L656" s="28"/>
      <c r="M656" s="33"/>
      <c r="N656" s="33"/>
      <c r="O656" s="33"/>
      <c r="P656" s="33"/>
      <c r="Q656" s="28"/>
      <c r="R656" s="28"/>
      <c r="S656" s="28"/>
      <c r="T656" s="28"/>
      <c r="U656" s="28"/>
      <c r="V656" s="28"/>
      <c r="W656" s="28"/>
      <c r="X656" s="28"/>
      <c r="Y656" s="28"/>
      <c r="Z656" s="28"/>
      <c r="AA656" s="28"/>
    </row>
    <row r="657" ht="18.75" customHeight="1">
      <c r="A657" s="28"/>
      <c r="B657" s="28"/>
      <c r="C657" s="28"/>
      <c r="D657" s="28"/>
      <c r="E657" s="28"/>
      <c r="F657" s="28"/>
      <c r="G657" s="28"/>
      <c r="H657" s="28"/>
      <c r="I657" s="28"/>
      <c r="J657" s="28"/>
      <c r="K657" s="28"/>
      <c r="L657" s="28"/>
      <c r="M657" s="33"/>
      <c r="N657" s="33"/>
      <c r="O657" s="33"/>
      <c r="P657" s="33"/>
      <c r="Q657" s="28"/>
      <c r="R657" s="28"/>
      <c r="S657" s="28"/>
      <c r="T657" s="28"/>
      <c r="U657" s="28"/>
      <c r="V657" s="28"/>
      <c r="W657" s="28"/>
      <c r="X657" s="28"/>
      <c r="Y657" s="28"/>
      <c r="Z657" s="28"/>
      <c r="AA657" s="28"/>
    </row>
    <row r="658" ht="18.75" customHeight="1">
      <c r="A658" s="28"/>
      <c r="B658" s="28"/>
      <c r="C658" s="28"/>
      <c r="D658" s="28"/>
      <c r="E658" s="28"/>
      <c r="F658" s="28"/>
      <c r="G658" s="28"/>
      <c r="H658" s="28"/>
      <c r="I658" s="28"/>
      <c r="J658" s="28"/>
      <c r="K658" s="28"/>
      <c r="L658" s="28"/>
      <c r="M658" s="33"/>
      <c r="N658" s="33"/>
      <c r="O658" s="33"/>
      <c r="P658" s="33"/>
      <c r="Q658" s="28"/>
      <c r="R658" s="28"/>
      <c r="S658" s="28"/>
      <c r="T658" s="28"/>
      <c r="U658" s="28"/>
      <c r="V658" s="28"/>
      <c r="W658" s="28"/>
      <c r="X658" s="28"/>
      <c r="Y658" s="28"/>
      <c r="Z658" s="28"/>
      <c r="AA658" s="28"/>
    </row>
    <row r="659" ht="18.75" customHeight="1">
      <c r="A659" s="28"/>
      <c r="B659" s="28"/>
      <c r="C659" s="28"/>
      <c r="D659" s="28"/>
      <c r="E659" s="28"/>
      <c r="F659" s="28"/>
      <c r="G659" s="28"/>
      <c r="H659" s="28"/>
      <c r="I659" s="28"/>
      <c r="J659" s="28"/>
      <c r="K659" s="28"/>
      <c r="L659" s="28"/>
      <c r="M659" s="33"/>
      <c r="N659" s="33"/>
      <c r="O659" s="33"/>
      <c r="P659" s="33"/>
      <c r="Q659" s="28"/>
      <c r="R659" s="28"/>
      <c r="S659" s="28"/>
      <c r="T659" s="28"/>
      <c r="U659" s="28"/>
      <c r="V659" s="28"/>
      <c r="W659" s="28"/>
      <c r="X659" s="28"/>
      <c r="Y659" s="28"/>
      <c r="Z659" s="28"/>
      <c r="AA659" s="28"/>
    </row>
    <row r="660" ht="18.75" customHeight="1">
      <c r="A660" s="28"/>
      <c r="B660" s="28"/>
      <c r="C660" s="28"/>
      <c r="D660" s="28"/>
      <c r="E660" s="28"/>
      <c r="F660" s="28"/>
      <c r="G660" s="28"/>
      <c r="H660" s="28"/>
      <c r="I660" s="28"/>
      <c r="J660" s="28"/>
      <c r="K660" s="28"/>
      <c r="L660" s="28"/>
      <c r="M660" s="33"/>
      <c r="N660" s="33"/>
      <c r="O660" s="33"/>
      <c r="P660" s="33"/>
      <c r="Q660" s="28"/>
      <c r="R660" s="28"/>
      <c r="S660" s="28"/>
      <c r="T660" s="28"/>
      <c r="U660" s="28"/>
      <c r="V660" s="28"/>
      <c r="W660" s="28"/>
      <c r="X660" s="28"/>
      <c r="Y660" s="28"/>
      <c r="Z660" s="28"/>
      <c r="AA660" s="28"/>
    </row>
    <row r="661" ht="18.75" customHeight="1">
      <c r="A661" s="28"/>
      <c r="B661" s="28"/>
      <c r="C661" s="28"/>
      <c r="D661" s="28"/>
      <c r="E661" s="28"/>
      <c r="F661" s="28"/>
      <c r="G661" s="28"/>
      <c r="H661" s="28"/>
      <c r="I661" s="28"/>
      <c r="J661" s="28"/>
      <c r="K661" s="28"/>
      <c r="L661" s="28"/>
      <c r="M661" s="33"/>
      <c r="N661" s="33"/>
      <c r="O661" s="33"/>
      <c r="P661" s="33"/>
      <c r="Q661" s="28"/>
      <c r="R661" s="28"/>
      <c r="S661" s="28"/>
      <c r="T661" s="28"/>
      <c r="U661" s="28"/>
      <c r="V661" s="28"/>
      <c r="W661" s="28"/>
      <c r="X661" s="28"/>
      <c r="Y661" s="28"/>
      <c r="Z661" s="28"/>
      <c r="AA661" s="28"/>
    </row>
    <row r="662" ht="18.75" customHeight="1">
      <c r="A662" s="28"/>
      <c r="B662" s="28"/>
      <c r="C662" s="28"/>
      <c r="D662" s="28"/>
      <c r="E662" s="28"/>
      <c r="F662" s="28"/>
      <c r="G662" s="28"/>
      <c r="H662" s="28"/>
      <c r="I662" s="28"/>
      <c r="J662" s="28"/>
      <c r="K662" s="28"/>
      <c r="L662" s="28"/>
      <c r="M662" s="33"/>
      <c r="N662" s="33"/>
      <c r="O662" s="33"/>
      <c r="P662" s="33"/>
      <c r="Q662" s="28"/>
      <c r="R662" s="28"/>
      <c r="S662" s="28"/>
      <c r="T662" s="28"/>
      <c r="U662" s="28"/>
      <c r="V662" s="28"/>
      <c r="W662" s="28"/>
      <c r="X662" s="28"/>
      <c r="Y662" s="28"/>
      <c r="Z662" s="28"/>
      <c r="AA662" s="28"/>
    </row>
    <row r="663" ht="18.75" customHeight="1">
      <c r="A663" s="28"/>
      <c r="B663" s="28"/>
      <c r="C663" s="28"/>
      <c r="D663" s="28"/>
      <c r="E663" s="28"/>
      <c r="F663" s="28"/>
      <c r="G663" s="28"/>
      <c r="H663" s="28"/>
      <c r="I663" s="28"/>
      <c r="J663" s="28"/>
      <c r="K663" s="28"/>
      <c r="L663" s="28"/>
      <c r="M663" s="33"/>
      <c r="N663" s="33"/>
      <c r="O663" s="33"/>
      <c r="P663" s="33"/>
      <c r="Q663" s="28"/>
      <c r="R663" s="28"/>
      <c r="S663" s="28"/>
      <c r="T663" s="28"/>
      <c r="U663" s="28"/>
      <c r="V663" s="28"/>
      <c r="W663" s="28"/>
      <c r="X663" s="28"/>
      <c r="Y663" s="28"/>
      <c r="Z663" s="28"/>
      <c r="AA663" s="28"/>
    </row>
    <row r="664" ht="18.75" customHeight="1">
      <c r="A664" s="28"/>
      <c r="B664" s="28"/>
      <c r="C664" s="28"/>
      <c r="D664" s="28"/>
      <c r="E664" s="28"/>
      <c r="F664" s="28"/>
      <c r="G664" s="28"/>
      <c r="H664" s="28"/>
      <c r="I664" s="28"/>
      <c r="J664" s="28"/>
      <c r="K664" s="28"/>
      <c r="L664" s="28"/>
      <c r="M664" s="33"/>
      <c r="N664" s="33"/>
      <c r="O664" s="33"/>
      <c r="P664" s="33"/>
      <c r="Q664" s="28"/>
      <c r="R664" s="28"/>
      <c r="S664" s="28"/>
      <c r="T664" s="28"/>
      <c r="U664" s="28"/>
      <c r="V664" s="28"/>
      <c r="W664" s="28"/>
      <c r="X664" s="28"/>
      <c r="Y664" s="28"/>
      <c r="Z664" s="28"/>
      <c r="AA664" s="28"/>
    </row>
    <row r="665" ht="18.75" customHeight="1">
      <c r="A665" s="28"/>
      <c r="B665" s="28"/>
      <c r="C665" s="28"/>
      <c r="D665" s="28"/>
      <c r="E665" s="28"/>
      <c r="F665" s="28"/>
      <c r="G665" s="28"/>
      <c r="H665" s="28"/>
      <c r="I665" s="28"/>
      <c r="J665" s="28"/>
      <c r="K665" s="28"/>
      <c r="L665" s="28"/>
      <c r="M665" s="33"/>
      <c r="N665" s="33"/>
      <c r="O665" s="33"/>
      <c r="P665" s="33"/>
      <c r="Q665" s="28"/>
      <c r="R665" s="28"/>
      <c r="S665" s="28"/>
      <c r="T665" s="28"/>
      <c r="U665" s="28"/>
      <c r="V665" s="28"/>
      <c r="W665" s="28"/>
      <c r="X665" s="28"/>
      <c r="Y665" s="28"/>
      <c r="Z665" s="28"/>
      <c r="AA665" s="28"/>
    </row>
    <row r="666" ht="18.75" customHeight="1">
      <c r="A666" s="28"/>
      <c r="B666" s="28"/>
      <c r="C666" s="28"/>
      <c r="D666" s="28"/>
      <c r="E666" s="28"/>
      <c r="F666" s="28"/>
      <c r="G666" s="28"/>
      <c r="H666" s="28"/>
      <c r="I666" s="28"/>
      <c r="J666" s="28"/>
      <c r="K666" s="28"/>
      <c r="L666" s="28"/>
      <c r="M666" s="33"/>
      <c r="N666" s="33"/>
      <c r="O666" s="33"/>
      <c r="P666" s="33"/>
      <c r="Q666" s="28"/>
      <c r="R666" s="28"/>
      <c r="S666" s="28"/>
      <c r="T666" s="28"/>
      <c r="U666" s="28"/>
      <c r="V666" s="28"/>
      <c r="W666" s="28"/>
      <c r="X666" s="28"/>
      <c r="Y666" s="28"/>
      <c r="Z666" s="28"/>
      <c r="AA666" s="28"/>
    </row>
    <row r="667" ht="18.75" customHeight="1">
      <c r="A667" s="28"/>
      <c r="B667" s="28"/>
      <c r="C667" s="28"/>
      <c r="D667" s="28"/>
      <c r="E667" s="28"/>
      <c r="F667" s="28"/>
      <c r="G667" s="28"/>
      <c r="H667" s="28"/>
      <c r="I667" s="28"/>
      <c r="J667" s="28"/>
      <c r="K667" s="28"/>
      <c r="L667" s="28"/>
      <c r="M667" s="33"/>
      <c r="N667" s="33"/>
      <c r="O667" s="33"/>
      <c r="P667" s="33"/>
      <c r="Q667" s="28"/>
      <c r="R667" s="28"/>
      <c r="S667" s="28"/>
      <c r="T667" s="28"/>
      <c r="U667" s="28"/>
      <c r="V667" s="28"/>
      <c r="W667" s="28"/>
      <c r="X667" s="28"/>
      <c r="Y667" s="28"/>
      <c r="Z667" s="28"/>
      <c r="AA667" s="28"/>
    </row>
    <row r="668" ht="18.75" customHeight="1">
      <c r="A668" s="28"/>
      <c r="B668" s="28"/>
      <c r="C668" s="28"/>
      <c r="D668" s="28"/>
      <c r="E668" s="28"/>
      <c r="F668" s="28"/>
      <c r="G668" s="28"/>
      <c r="H668" s="28"/>
      <c r="I668" s="28"/>
      <c r="J668" s="28"/>
      <c r="K668" s="28"/>
      <c r="L668" s="28"/>
      <c r="M668" s="33"/>
      <c r="N668" s="33"/>
      <c r="O668" s="33"/>
      <c r="P668" s="33"/>
      <c r="Q668" s="28"/>
      <c r="R668" s="28"/>
      <c r="S668" s="28"/>
      <c r="T668" s="28"/>
      <c r="U668" s="28"/>
      <c r="V668" s="28"/>
      <c r="W668" s="28"/>
      <c r="X668" s="28"/>
      <c r="Y668" s="28"/>
      <c r="Z668" s="28"/>
      <c r="AA668" s="28"/>
    </row>
    <row r="669" ht="18.75" customHeight="1">
      <c r="A669" s="28"/>
      <c r="B669" s="28"/>
      <c r="C669" s="28"/>
      <c r="D669" s="28"/>
      <c r="E669" s="28"/>
      <c r="F669" s="28"/>
      <c r="G669" s="28"/>
      <c r="H669" s="28"/>
      <c r="I669" s="28"/>
      <c r="J669" s="28"/>
      <c r="K669" s="28"/>
      <c r="L669" s="28"/>
      <c r="M669" s="33"/>
      <c r="N669" s="33"/>
      <c r="O669" s="33"/>
      <c r="P669" s="33"/>
      <c r="Q669" s="28"/>
      <c r="R669" s="28"/>
      <c r="S669" s="28"/>
      <c r="T669" s="28"/>
      <c r="U669" s="28"/>
      <c r="V669" s="28"/>
      <c r="W669" s="28"/>
      <c r="X669" s="28"/>
      <c r="Y669" s="28"/>
      <c r="Z669" s="28"/>
      <c r="AA669" s="28"/>
    </row>
    <row r="670" ht="18.75" customHeight="1">
      <c r="A670" s="28"/>
      <c r="B670" s="28"/>
      <c r="C670" s="28"/>
      <c r="D670" s="28"/>
      <c r="E670" s="28"/>
      <c r="F670" s="28"/>
      <c r="G670" s="28"/>
      <c r="H670" s="28"/>
      <c r="I670" s="28"/>
      <c r="J670" s="28"/>
      <c r="K670" s="28"/>
      <c r="L670" s="28"/>
      <c r="M670" s="33"/>
      <c r="N670" s="33"/>
      <c r="O670" s="33"/>
      <c r="P670" s="33"/>
      <c r="Q670" s="28"/>
      <c r="R670" s="28"/>
      <c r="S670" s="28"/>
      <c r="T670" s="28"/>
      <c r="U670" s="28"/>
      <c r="V670" s="28"/>
      <c r="W670" s="28"/>
      <c r="X670" s="28"/>
      <c r="Y670" s="28"/>
      <c r="Z670" s="28"/>
      <c r="AA670" s="28"/>
    </row>
    <row r="671" ht="18.75" customHeight="1">
      <c r="A671" s="28"/>
      <c r="B671" s="28"/>
      <c r="C671" s="28"/>
      <c r="D671" s="28"/>
      <c r="E671" s="28"/>
      <c r="F671" s="28"/>
      <c r="G671" s="28"/>
      <c r="H671" s="28"/>
      <c r="I671" s="28"/>
      <c r="J671" s="28"/>
      <c r="K671" s="28"/>
      <c r="L671" s="28"/>
      <c r="M671" s="33"/>
      <c r="N671" s="33"/>
      <c r="O671" s="33"/>
      <c r="P671" s="33"/>
      <c r="Q671" s="28"/>
      <c r="R671" s="28"/>
      <c r="S671" s="28"/>
      <c r="T671" s="28"/>
      <c r="U671" s="28"/>
      <c r="V671" s="28"/>
      <c r="W671" s="28"/>
      <c r="X671" s="28"/>
      <c r="Y671" s="28"/>
      <c r="Z671" s="28"/>
      <c r="AA671" s="28"/>
    </row>
    <row r="672" ht="18.75" customHeight="1">
      <c r="A672" s="28"/>
      <c r="B672" s="28"/>
      <c r="C672" s="28"/>
      <c r="D672" s="28"/>
      <c r="E672" s="28"/>
      <c r="F672" s="28"/>
      <c r="G672" s="28"/>
      <c r="H672" s="28"/>
      <c r="I672" s="28"/>
      <c r="J672" s="28"/>
      <c r="K672" s="28"/>
      <c r="L672" s="28"/>
      <c r="M672" s="33"/>
      <c r="N672" s="33"/>
      <c r="O672" s="33"/>
      <c r="P672" s="33"/>
      <c r="Q672" s="28"/>
      <c r="R672" s="28"/>
      <c r="S672" s="28"/>
      <c r="T672" s="28"/>
      <c r="U672" s="28"/>
      <c r="V672" s="28"/>
      <c r="W672" s="28"/>
      <c r="X672" s="28"/>
      <c r="Y672" s="28"/>
      <c r="Z672" s="28"/>
      <c r="AA672" s="28"/>
    </row>
    <row r="673" ht="18.75" customHeight="1">
      <c r="A673" s="28"/>
      <c r="B673" s="28"/>
      <c r="C673" s="28"/>
      <c r="D673" s="28"/>
      <c r="E673" s="28"/>
      <c r="F673" s="28"/>
      <c r="G673" s="28"/>
      <c r="H673" s="28"/>
      <c r="I673" s="28"/>
      <c r="J673" s="28"/>
      <c r="K673" s="28"/>
      <c r="L673" s="28"/>
      <c r="M673" s="33"/>
      <c r="N673" s="33"/>
      <c r="O673" s="33"/>
      <c r="P673" s="33"/>
      <c r="Q673" s="28"/>
      <c r="R673" s="28"/>
      <c r="S673" s="28"/>
      <c r="T673" s="28"/>
      <c r="U673" s="28"/>
      <c r="V673" s="28"/>
      <c r="W673" s="28"/>
      <c r="X673" s="28"/>
      <c r="Y673" s="28"/>
      <c r="Z673" s="28"/>
      <c r="AA673" s="28"/>
    </row>
    <row r="674" ht="18.75" customHeight="1">
      <c r="A674" s="28"/>
      <c r="B674" s="28"/>
      <c r="C674" s="28"/>
      <c r="D674" s="28"/>
      <c r="E674" s="28"/>
      <c r="F674" s="28"/>
      <c r="G674" s="28"/>
      <c r="H674" s="28"/>
      <c r="I674" s="28"/>
      <c r="J674" s="28"/>
      <c r="K674" s="28"/>
      <c r="L674" s="28"/>
      <c r="M674" s="33"/>
      <c r="N674" s="33"/>
      <c r="O674" s="33"/>
      <c r="P674" s="33"/>
      <c r="Q674" s="28"/>
      <c r="R674" s="28"/>
      <c r="S674" s="28"/>
      <c r="T674" s="28"/>
      <c r="U674" s="28"/>
      <c r="V674" s="28"/>
      <c r="W674" s="28"/>
      <c r="X674" s="28"/>
      <c r="Y674" s="28"/>
      <c r="Z674" s="28"/>
      <c r="AA674" s="28"/>
    </row>
    <row r="675" ht="18.75" customHeight="1">
      <c r="A675" s="28"/>
      <c r="B675" s="28"/>
      <c r="C675" s="28"/>
      <c r="D675" s="28"/>
      <c r="E675" s="28"/>
      <c r="F675" s="28"/>
      <c r="G675" s="28"/>
      <c r="H675" s="28"/>
      <c r="I675" s="28"/>
      <c r="J675" s="28"/>
      <c r="K675" s="28"/>
      <c r="L675" s="28"/>
      <c r="M675" s="33"/>
      <c r="N675" s="33"/>
      <c r="O675" s="33"/>
      <c r="P675" s="33"/>
      <c r="Q675" s="28"/>
      <c r="R675" s="28"/>
      <c r="S675" s="28"/>
      <c r="T675" s="28"/>
      <c r="U675" s="28"/>
      <c r="V675" s="28"/>
      <c r="W675" s="28"/>
      <c r="X675" s="28"/>
      <c r="Y675" s="28"/>
      <c r="Z675" s="28"/>
      <c r="AA675" s="28"/>
    </row>
    <row r="676" ht="18.75" customHeight="1">
      <c r="A676" s="28"/>
      <c r="B676" s="28"/>
      <c r="C676" s="28"/>
      <c r="D676" s="28"/>
      <c r="E676" s="28"/>
      <c r="F676" s="28"/>
      <c r="G676" s="28"/>
      <c r="H676" s="28"/>
      <c r="I676" s="28"/>
      <c r="J676" s="28"/>
      <c r="K676" s="28"/>
      <c r="L676" s="28"/>
      <c r="M676" s="33"/>
      <c r="N676" s="33"/>
      <c r="O676" s="33"/>
      <c r="P676" s="33"/>
      <c r="Q676" s="28"/>
      <c r="R676" s="28"/>
      <c r="S676" s="28"/>
      <c r="T676" s="28"/>
      <c r="U676" s="28"/>
      <c r="V676" s="28"/>
      <c r="W676" s="28"/>
      <c r="X676" s="28"/>
      <c r="Y676" s="28"/>
      <c r="Z676" s="28"/>
      <c r="AA676" s="28"/>
    </row>
    <row r="677" ht="18.75" customHeight="1">
      <c r="A677" s="28"/>
      <c r="B677" s="28"/>
      <c r="C677" s="28"/>
      <c r="D677" s="28"/>
      <c r="E677" s="28"/>
      <c r="F677" s="28"/>
      <c r="G677" s="28"/>
      <c r="H677" s="28"/>
      <c r="I677" s="28"/>
      <c r="J677" s="28"/>
      <c r="K677" s="28"/>
      <c r="L677" s="28"/>
      <c r="M677" s="33"/>
      <c r="N677" s="33"/>
      <c r="O677" s="33"/>
      <c r="P677" s="33"/>
      <c r="Q677" s="28"/>
      <c r="R677" s="28"/>
      <c r="S677" s="28"/>
      <c r="T677" s="28"/>
      <c r="U677" s="28"/>
      <c r="V677" s="28"/>
      <c r="W677" s="28"/>
      <c r="X677" s="28"/>
      <c r="Y677" s="28"/>
      <c r="Z677" s="28"/>
      <c r="AA677" s="28"/>
    </row>
    <row r="678" ht="18.75" customHeight="1">
      <c r="A678" s="28"/>
      <c r="B678" s="28"/>
      <c r="C678" s="28"/>
      <c r="D678" s="28"/>
      <c r="E678" s="28"/>
      <c r="F678" s="28"/>
      <c r="G678" s="28"/>
      <c r="H678" s="28"/>
      <c r="I678" s="28"/>
      <c r="J678" s="28"/>
      <c r="K678" s="28"/>
      <c r="L678" s="28"/>
      <c r="M678" s="33"/>
      <c r="N678" s="33"/>
      <c r="O678" s="33"/>
      <c r="P678" s="33"/>
      <c r="Q678" s="28"/>
      <c r="R678" s="28"/>
      <c r="S678" s="28"/>
      <c r="T678" s="28"/>
      <c r="U678" s="28"/>
      <c r="V678" s="28"/>
      <c r="W678" s="28"/>
      <c r="X678" s="28"/>
      <c r="Y678" s="28"/>
      <c r="Z678" s="28"/>
      <c r="AA678" s="28"/>
    </row>
    <row r="679" ht="18.75" customHeight="1">
      <c r="A679" s="28"/>
      <c r="B679" s="28"/>
      <c r="C679" s="28"/>
      <c r="D679" s="28"/>
      <c r="E679" s="28"/>
      <c r="F679" s="28"/>
      <c r="G679" s="28"/>
      <c r="H679" s="28"/>
      <c r="I679" s="28"/>
      <c r="J679" s="28"/>
      <c r="K679" s="28"/>
      <c r="L679" s="28"/>
      <c r="M679" s="33"/>
      <c r="N679" s="33"/>
      <c r="O679" s="33"/>
      <c r="P679" s="33"/>
      <c r="Q679" s="28"/>
      <c r="R679" s="28"/>
      <c r="S679" s="28"/>
      <c r="T679" s="28"/>
      <c r="U679" s="28"/>
      <c r="V679" s="28"/>
      <c r="W679" s="28"/>
      <c r="X679" s="28"/>
      <c r="Y679" s="28"/>
      <c r="Z679" s="28"/>
      <c r="AA679" s="28"/>
    </row>
    <row r="680" ht="18.75" customHeight="1">
      <c r="A680" s="28"/>
      <c r="B680" s="28"/>
      <c r="C680" s="28"/>
      <c r="D680" s="28"/>
      <c r="E680" s="28"/>
      <c r="F680" s="28"/>
      <c r="G680" s="28"/>
      <c r="H680" s="28"/>
      <c r="I680" s="28"/>
      <c r="J680" s="28"/>
      <c r="K680" s="28"/>
      <c r="L680" s="28"/>
      <c r="M680" s="33"/>
      <c r="N680" s="33"/>
      <c r="O680" s="33"/>
      <c r="P680" s="33"/>
      <c r="Q680" s="28"/>
      <c r="R680" s="28"/>
      <c r="S680" s="28"/>
      <c r="T680" s="28"/>
      <c r="U680" s="28"/>
      <c r="V680" s="28"/>
      <c r="W680" s="28"/>
      <c r="X680" s="28"/>
      <c r="Y680" s="28"/>
      <c r="Z680" s="28"/>
      <c r="AA680" s="28"/>
    </row>
    <row r="681" ht="18.75" customHeight="1">
      <c r="A681" s="28"/>
      <c r="B681" s="28"/>
      <c r="C681" s="28"/>
      <c r="D681" s="28"/>
      <c r="E681" s="28"/>
      <c r="F681" s="28"/>
      <c r="G681" s="28"/>
      <c r="H681" s="28"/>
      <c r="I681" s="28"/>
      <c r="J681" s="28"/>
      <c r="K681" s="28"/>
      <c r="L681" s="28"/>
      <c r="M681" s="33"/>
      <c r="N681" s="33"/>
      <c r="O681" s="33"/>
      <c r="P681" s="33"/>
      <c r="Q681" s="28"/>
      <c r="R681" s="28"/>
      <c r="S681" s="28"/>
      <c r="T681" s="28"/>
      <c r="U681" s="28"/>
      <c r="V681" s="28"/>
      <c r="W681" s="28"/>
      <c r="X681" s="28"/>
      <c r="Y681" s="28"/>
      <c r="Z681" s="28"/>
      <c r="AA681" s="28"/>
    </row>
    <row r="682" ht="18.75" customHeight="1">
      <c r="A682" s="28"/>
      <c r="B682" s="28"/>
      <c r="C682" s="28"/>
      <c r="D682" s="28"/>
      <c r="E682" s="28"/>
      <c r="F682" s="28"/>
      <c r="G682" s="28"/>
      <c r="H682" s="28"/>
      <c r="I682" s="28"/>
      <c r="J682" s="28"/>
      <c r="K682" s="28"/>
      <c r="L682" s="28"/>
      <c r="M682" s="33"/>
      <c r="N682" s="33"/>
      <c r="O682" s="33"/>
      <c r="P682" s="33"/>
      <c r="Q682" s="28"/>
      <c r="R682" s="28"/>
      <c r="S682" s="28"/>
      <c r="T682" s="28"/>
      <c r="U682" s="28"/>
      <c r="V682" s="28"/>
      <c r="W682" s="28"/>
      <c r="X682" s="28"/>
      <c r="Y682" s="28"/>
      <c r="Z682" s="28"/>
      <c r="AA682" s="28"/>
    </row>
    <row r="683" ht="18.75" customHeight="1">
      <c r="A683" s="28"/>
      <c r="B683" s="28"/>
      <c r="C683" s="28"/>
      <c r="D683" s="28"/>
      <c r="E683" s="28"/>
      <c r="F683" s="28"/>
      <c r="G683" s="28"/>
      <c r="H683" s="28"/>
      <c r="I683" s="28"/>
      <c r="J683" s="28"/>
      <c r="K683" s="28"/>
      <c r="L683" s="28"/>
      <c r="M683" s="33"/>
      <c r="N683" s="33"/>
      <c r="O683" s="33"/>
      <c r="P683" s="33"/>
      <c r="Q683" s="28"/>
      <c r="R683" s="28"/>
      <c r="S683" s="28"/>
      <c r="T683" s="28"/>
      <c r="U683" s="28"/>
      <c r="V683" s="28"/>
      <c r="W683" s="28"/>
      <c r="X683" s="28"/>
      <c r="Y683" s="28"/>
      <c r="Z683" s="28"/>
      <c r="AA683" s="28"/>
    </row>
    <row r="684" ht="18.75" customHeight="1">
      <c r="A684" s="28"/>
      <c r="B684" s="28"/>
      <c r="C684" s="28"/>
      <c r="D684" s="28"/>
      <c r="E684" s="28"/>
      <c r="F684" s="28"/>
      <c r="G684" s="28"/>
      <c r="H684" s="28"/>
      <c r="I684" s="28"/>
      <c r="J684" s="28"/>
      <c r="K684" s="28"/>
      <c r="L684" s="28"/>
      <c r="M684" s="33"/>
      <c r="N684" s="33"/>
      <c r="O684" s="33"/>
      <c r="P684" s="33"/>
      <c r="Q684" s="28"/>
      <c r="R684" s="28"/>
      <c r="S684" s="28"/>
      <c r="T684" s="28"/>
      <c r="U684" s="28"/>
      <c r="V684" s="28"/>
      <c r="W684" s="28"/>
      <c r="X684" s="28"/>
      <c r="Y684" s="28"/>
      <c r="Z684" s="28"/>
      <c r="AA684" s="28"/>
    </row>
    <row r="685" ht="18.75" customHeight="1">
      <c r="A685" s="28"/>
      <c r="B685" s="28"/>
      <c r="C685" s="28"/>
      <c r="D685" s="28"/>
      <c r="E685" s="28"/>
      <c r="F685" s="28"/>
      <c r="G685" s="28"/>
      <c r="H685" s="28"/>
      <c r="I685" s="28"/>
      <c r="J685" s="28"/>
      <c r="K685" s="28"/>
      <c r="L685" s="28"/>
      <c r="M685" s="33"/>
      <c r="N685" s="33"/>
      <c r="O685" s="33"/>
      <c r="P685" s="33"/>
      <c r="Q685" s="28"/>
      <c r="R685" s="28"/>
      <c r="S685" s="28"/>
      <c r="T685" s="28"/>
      <c r="U685" s="28"/>
      <c r="V685" s="28"/>
      <c r="W685" s="28"/>
      <c r="X685" s="28"/>
      <c r="Y685" s="28"/>
      <c r="Z685" s="28"/>
      <c r="AA685" s="28"/>
    </row>
    <row r="686" ht="18.75" customHeight="1">
      <c r="A686" s="28"/>
      <c r="B686" s="28"/>
      <c r="C686" s="28"/>
      <c r="D686" s="28"/>
      <c r="E686" s="28"/>
      <c r="F686" s="28"/>
      <c r="G686" s="28"/>
      <c r="H686" s="28"/>
      <c r="I686" s="28"/>
      <c r="J686" s="28"/>
      <c r="K686" s="28"/>
      <c r="L686" s="28"/>
      <c r="M686" s="33"/>
      <c r="N686" s="33"/>
      <c r="O686" s="33"/>
      <c r="P686" s="33"/>
      <c r="Q686" s="28"/>
      <c r="R686" s="28"/>
      <c r="S686" s="28"/>
      <c r="T686" s="28"/>
      <c r="U686" s="28"/>
      <c r="V686" s="28"/>
      <c r="W686" s="28"/>
      <c r="X686" s="28"/>
      <c r="Y686" s="28"/>
      <c r="Z686" s="28"/>
      <c r="AA686" s="28"/>
    </row>
    <row r="687" ht="18.75" customHeight="1">
      <c r="A687" s="28"/>
      <c r="B687" s="28"/>
      <c r="C687" s="28"/>
      <c r="D687" s="28"/>
      <c r="E687" s="28"/>
      <c r="F687" s="28"/>
      <c r="G687" s="28"/>
      <c r="H687" s="28"/>
      <c r="I687" s="28"/>
      <c r="J687" s="28"/>
      <c r="K687" s="28"/>
      <c r="L687" s="28"/>
      <c r="M687" s="33"/>
      <c r="N687" s="33"/>
      <c r="O687" s="33"/>
      <c r="P687" s="33"/>
      <c r="Q687" s="28"/>
      <c r="R687" s="28"/>
      <c r="S687" s="28"/>
      <c r="T687" s="28"/>
      <c r="U687" s="28"/>
      <c r="V687" s="28"/>
      <c r="W687" s="28"/>
      <c r="X687" s="28"/>
      <c r="Y687" s="28"/>
      <c r="Z687" s="28"/>
      <c r="AA687" s="28"/>
    </row>
    <row r="688" ht="18.75" customHeight="1">
      <c r="A688" s="28"/>
      <c r="B688" s="28"/>
      <c r="C688" s="28"/>
      <c r="D688" s="28"/>
      <c r="E688" s="28"/>
      <c r="F688" s="28"/>
      <c r="G688" s="28"/>
      <c r="H688" s="28"/>
      <c r="I688" s="28"/>
      <c r="J688" s="28"/>
      <c r="K688" s="28"/>
      <c r="L688" s="28"/>
      <c r="M688" s="33"/>
      <c r="N688" s="33"/>
      <c r="O688" s="33"/>
      <c r="P688" s="33"/>
      <c r="Q688" s="28"/>
      <c r="R688" s="28"/>
      <c r="S688" s="28"/>
      <c r="T688" s="28"/>
      <c r="U688" s="28"/>
      <c r="V688" s="28"/>
      <c r="W688" s="28"/>
      <c r="X688" s="28"/>
      <c r="Y688" s="28"/>
      <c r="Z688" s="28"/>
      <c r="AA688" s="28"/>
    </row>
    <row r="689" ht="18.75" customHeight="1">
      <c r="A689" s="28"/>
      <c r="B689" s="28"/>
      <c r="C689" s="28"/>
      <c r="D689" s="28"/>
      <c r="E689" s="28"/>
      <c r="F689" s="28"/>
      <c r="G689" s="28"/>
      <c r="H689" s="28"/>
      <c r="I689" s="28"/>
      <c r="J689" s="28"/>
      <c r="K689" s="28"/>
      <c r="L689" s="28"/>
      <c r="M689" s="33"/>
      <c r="N689" s="33"/>
      <c r="O689" s="33"/>
      <c r="P689" s="33"/>
      <c r="Q689" s="28"/>
      <c r="R689" s="28"/>
      <c r="S689" s="28"/>
      <c r="T689" s="28"/>
      <c r="U689" s="28"/>
      <c r="V689" s="28"/>
      <c r="W689" s="28"/>
      <c r="X689" s="28"/>
      <c r="Y689" s="28"/>
      <c r="Z689" s="28"/>
      <c r="AA689" s="28"/>
    </row>
    <row r="690" ht="18.75" customHeight="1">
      <c r="A690" s="28"/>
      <c r="B690" s="28"/>
      <c r="C690" s="28"/>
      <c r="D690" s="28"/>
      <c r="E690" s="28"/>
      <c r="F690" s="28"/>
      <c r="G690" s="28"/>
      <c r="H690" s="28"/>
      <c r="I690" s="28"/>
      <c r="J690" s="28"/>
      <c r="K690" s="28"/>
      <c r="L690" s="28"/>
      <c r="M690" s="33"/>
      <c r="N690" s="33"/>
      <c r="O690" s="33"/>
      <c r="P690" s="33"/>
      <c r="Q690" s="28"/>
      <c r="R690" s="28"/>
      <c r="S690" s="28"/>
      <c r="T690" s="28"/>
      <c r="U690" s="28"/>
      <c r="V690" s="28"/>
      <c r="W690" s="28"/>
      <c r="X690" s="28"/>
      <c r="Y690" s="28"/>
      <c r="Z690" s="28"/>
      <c r="AA690" s="28"/>
    </row>
    <row r="691" ht="18.75" customHeight="1">
      <c r="A691" s="28"/>
      <c r="B691" s="28"/>
      <c r="C691" s="28"/>
      <c r="D691" s="28"/>
      <c r="E691" s="28"/>
      <c r="F691" s="28"/>
      <c r="G691" s="28"/>
      <c r="H691" s="28"/>
      <c r="I691" s="28"/>
      <c r="J691" s="28"/>
      <c r="K691" s="28"/>
      <c r="L691" s="28"/>
      <c r="M691" s="33"/>
      <c r="N691" s="33"/>
      <c r="O691" s="33"/>
      <c r="P691" s="33"/>
      <c r="Q691" s="28"/>
      <c r="R691" s="28"/>
      <c r="S691" s="28"/>
      <c r="T691" s="28"/>
      <c r="U691" s="28"/>
      <c r="V691" s="28"/>
      <c r="W691" s="28"/>
      <c r="X691" s="28"/>
      <c r="Y691" s="28"/>
      <c r="Z691" s="28"/>
      <c r="AA691" s="28"/>
    </row>
    <row r="692" ht="18.75" customHeight="1">
      <c r="A692" s="28"/>
      <c r="B692" s="28"/>
      <c r="C692" s="28"/>
      <c r="D692" s="28"/>
      <c r="E692" s="28"/>
      <c r="F692" s="28"/>
      <c r="G692" s="28"/>
      <c r="H692" s="28"/>
      <c r="I692" s="28"/>
      <c r="J692" s="28"/>
      <c r="K692" s="28"/>
      <c r="L692" s="28"/>
      <c r="M692" s="33"/>
      <c r="N692" s="33"/>
      <c r="O692" s="33"/>
      <c r="P692" s="33"/>
      <c r="Q692" s="28"/>
      <c r="R692" s="28"/>
      <c r="S692" s="28"/>
      <c r="T692" s="28"/>
      <c r="U692" s="28"/>
      <c r="V692" s="28"/>
      <c r="W692" s="28"/>
      <c r="X692" s="28"/>
      <c r="Y692" s="28"/>
      <c r="Z692" s="28"/>
      <c r="AA692" s="28"/>
    </row>
    <row r="693" ht="18.75" customHeight="1">
      <c r="A693" s="28"/>
      <c r="B693" s="28"/>
      <c r="C693" s="28"/>
      <c r="D693" s="28"/>
      <c r="E693" s="28"/>
      <c r="F693" s="28"/>
      <c r="G693" s="28"/>
      <c r="H693" s="28"/>
      <c r="I693" s="28"/>
      <c r="J693" s="28"/>
      <c r="K693" s="28"/>
      <c r="L693" s="28"/>
      <c r="M693" s="33"/>
      <c r="N693" s="33"/>
      <c r="O693" s="33"/>
      <c r="P693" s="33"/>
      <c r="Q693" s="28"/>
      <c r="R693" s="28"/>
      <c r="S693" s="28"/>
      <c r="T693" s="28"/>
      <c r="U693" s="28"/>
      <c r="V693" s="28"/>
      <c r="W693" s="28"/>
      <c r="X693" s="28"/>
      <c r="Y693" s="28"/>
      <c r="Z693" s="28"/>
      <c r="AA693" s="28"/>
    </row>
    <row r="694" ht="18.75" customHeight="1">
      <c r="A694" s="28"/>
      <c r="B694" s="28"/>
      <c r="C694" s="28"/>
      <c r="D694" s="28"/>
      <c r="E694" s="28"/>
      <c r="F694" s="28"/>
      <c r="G694" s="28"/>
      <c r="H694" s="28"/>
      <c r="I694" s="28"/>
      <c r="J694" s="28"/>
      <c r="K694" s="28"/>
      <c r="L694" s="28"/>
      <c r="M694" s="33"/>
      <c r="N694" s="33"/>
      <c r="O694" s="33"/>
      <c r="P694" s="33"/>
      <c r="Q694" s="28"/>
      <c r="R694" s="28"/>
      <c r="S694" s="28"/>
      <c r="T694" s="28"/>
      <c r="U694" s="28"/>
      <c r="V694" s="28"/>
      <c r="W694" s="28"/>
      <c r="X694" s="28"/>
      <c r="Y694" s="28"/>
      <c r="Z694" s="28"/>
      <c r="AA694" s="28"/>
    </row>
    <row r="695" ht="18.75" customHeight="1">
      <c r="A695" s="28"/>
      <c r="B695" s="28"/>
      <c r="C695" s="28"/>
      <c r="D695" s="28"/>
      <c r="E695" s="28"/>
      <c r="F695" s="28"/>
      <c r="G695" s="28"/>
      <c r="H695" s="28"/>
      <c r="I695" s="28"/>
      <c r="J695" s="28"/>
      <c r="K695" s="28"/>
      <c r="L695" s="28"/>
      <c r="M695" s="33"/>
      <c r="N695" s="33"/>
      <c r="O695" s="33"/>
      <c r="P695" s="33"/>
      <c r="Q695" s="28"/>
      <c r="R695" s="28"/>
      <c r="S695" s="28"/>
      <c r="T695" s="28"/>
      <c r="U695" s="28"/>
      <c r="V695" s="28"/>
      <c r="W695" s="28"/>
      <c r="X695" s="28"/>
      <c r="Y695" s="28"/>
      <c r="Z695" s="28"/>
      <c r="AA695" s="28"/>
    </row>
    <row r="696" ht="18.75" customHeight="1">
      <c r="A696" s="28"/>
      <c r="B696" s="28"/>
      <c r="C696" s="28"/>
      <c r="D696" s="28"/>
      <c r="E696" s="28"/>
      <c r="F696" s="28"/>
      <c r="G696" s="28"/>
      <c r="H696" s="28"/>
      <c r="I696" s="28"/>
      <c r="J696" s="28"/>
      <c r="K696" s="28"/>
      <c r="L696" s="28"/>
      <c r="M696" s="33"/>
      <c r="N696" s="33"/>
      <c r="O696" s="33"/>
      <c r="P696" s="33"/>
      <c r="Q696" s="28"/>
      <c r="R696" s="28"/>
      <c r="S696" s="28"/>
      <c r="T696" s="28"/>
      <c r="U696" s="28"/>
      <c r="V696" s="28"/>
      <c r="W696" s="28"/>
      <c r="X696" s="28"/>
      <c r="Y696" s="28"/>
      <c r="Z696" s="28"/>
      <c r="AA696" s="28"/>
    </row>
    <row r="697" ht="18.75" customHeight="1">
      <c r="A697" s="28"/>
      <c r="B697" s="28"/>
      <c r="C697" s="28"/>
      <c r="D697" s="28"/>
      <c r="E697" s="28"/>
      <c r="F697" s="28"/>
      <c r="G697" s="28"/>
      <c r="H697" s="28"/>
      <c r="I697" s="28"/>
      <c r="J697" s="28"/>
      <c r="K697" s="28"/>
      <c r="L697" s="28"/>
      <c r="M697" s="33"/>
      <c r="N697" s="33"/>
      <c r="O697" s="33"/>
      <c r="P697" s="33"/>
      <c r="Q697" s="28"/>
      <c r="R697" s="28"/>
      <c r="S697" s="28"/>
      <c r="T697" s="28"/>
      <c r="U697" s="28"/>
      <c r="V697" s="28"/>
      <c r="W697" s="28"/>
      <c r="X697" s="28"/>
      <c r="Y697" s="28"/>
      <c r="Z697" s="28"/>
      <c r="AA697" s="28"/>
    </row>
    <row r="698" ht="18.75" customHeight="1">
      <c r="A698" s="28"/>
      <c r="B698" s="28"/>
      <c r="C698" s="28"/>
      <c r="D698" s="28"/>
      <c r="E698" s="28"/>
      <c r="F698" s="28"/>
      <c r="G698" s="28"/>
      <c r="H698" s="28"/>
      <c r="I698" s="28"/>
      <c r="J698" s="28"/>
      <c r="K698" s="28"/>
      <c r="L698" s="28"/>
      <c r="M698" s="33"/>
      <c r="N698" s="33"/>
      <c r="O698" s="33"/>
      <c r="P698" s="33"/>
      <c r="Q698" s="28"/>
      <c r="R698" s="28"/>
      <c r="S698" s="28"/>
      <c r="T698" s="28"/>
      <c r="U698" s="28"/>
      <c r="V698" s="28"/>
      <c r="W698" s="28"/>
      <c r="X698" s="28"/>
      <c r="Y698" s="28"/>
      <c r="Z698" s="28"/>
      <c r="AA698" s="28"/>
    </row>
    <row r="699" ht="18.75" customHeight="1">
      <c r="A699" s="28"/>
      <c r="B699" s="28"/>
      <c r="C699" s="28"/>
      <c r="D699" s="28"/>
      <c r="E699" s="28"/>
      <c r="F699" s="28"/>
      <c r="G699" s="28"/>
      <c r="H699" s="28"/>
      <c r="I699" s="28"/>
      <c r="J699" s="28"/>
      <c r="K699" s="28"/>
      <c r="L699" s="28"/>
      <c r="M699" s="33"/>
      <c r="N699" s="33"/>
      <c r="O699" s="33"/>
      <c r="P699" s="33"/>
      <c r="Q699" s="28"/>
      <c r="R699" s="28"/>
      <c r="S699" s="28"/>
      <c r="T699" s="28"/>
      <c r="U699" s="28"/>
      <c r="V699" s="28"/>
      <c r="W699" s="28"/>
      <c r="X699" s="28"/>
      <c r="Y699" s="28"/>
      <c r="Z699" s="28"/>
      <c r="AA699" s="28"/>
    </row>
    <row r="700" ht="18.75" customHeight="1">
      <c r="A700" s="28"/>
      <c r="B700" s="28"/>
      <c r="C700" s="28"/>
      <c r="D700" s="28"/>
      <c r="E700" s="28"/>
      <c r="F700" s="28"/>
      <c r="G700" s="28"/>
      <c r="H700" s="28"/>
      <c r="I700" s="28"/>
      <c r="J700" s="28"/>
      <c r="K700" s="28"/>
      <c r="L700" s="28"/>
      <c r="M700" s="33"/>
      <c r="N700" s="33"/>
      <c r="O700" s="33"/>
      <c r="P700" s="33"/>
      <c r="Q700" s="28"/>
      <c r="R700" s="28"/>
      <c r="S700" s="28"/>
      <c r="T700" s="28"/>
      <c r="U700" s="28"/>
      <c r="V700" s="28"/>
      <c r="W700" s="28"/>
      <c r="X700" s="28"/>
      <c r="Y700" s="28"/>
      <c r="Z700" s="28"/>
      <c r="AA700" s="28"/>
    </row>
    <row r="701" ht="18.75" customHeight="1">
      <c r="A701" s="28"/>
      <c r="B701" s="28"/>
      <c r="C701" s="28"/>
      <c r="D701" s="28"/>
      <c r="E701" s="28"/>
      <c r="F701" s="28"/>
      <c r="G701" s="28"/>
      <c r="H701" s="28"/>
      <c r="I701" s="28"/>
      <c r="J701" s="28"/>
      <c r="K701" s="28"/>
      <c r="L701" s="28"/>
      <c r="M701" s="33"/>
      <c r="N701" s="33"/>
      <c r="O701" s="33"/>
      <c r="P701" s="33"/>
      <c r="Q701" s="28"/>
      <c r="R701" s="28"/>
      <c r="S701" s="28"/>
      <c r="T701" s="28"/>
      <c r="U701" s="28"/>
      <c r="V701" s="28"/>
      <c r="W701" s="28"/>
      <c r="X701" s="28"/>
      <c r="Y701" s="28"/>
      <c r="Z701" s="28"/>
      <c r="AA701" s="28"/>
    </row>
    <row r="702" ht="18.75" customHeight="1">
      <c r="A702" s="28"/>
      <c r="B702" s="28"/>
      <c r="C702" s="28"/>
      <c r="D702" s="28"/>
      <c r="E702" s="28"/>
      <c r="F702" s="28"/>
      <c r="G702" s="28"/>
      <c r="H702" s="28"/>
      <c r="I702" s="28"/>
      <c r="J702" s="28"/>
      <c r="K702" s="28"/>
      <c r="L702" s="28"/>
      <c r="M702" s="33"/>
      <c r="N702" s="33"/>
      <c r="O702" s="33"/>
      <c r="P702" s="33"/>
      <c r="Q702" s="28"/>
      <c r="R702" s="28"/>
      <c r="S702" s="28"/>
      <c r="T702" s="28"/>
      <c r="U702" s="28"/>
      <c r="V702" s="28"/>
      <c r="W702" s="28"/>
      <c r="X702" s="28"/>
      <c r="Y702" s="28"/>
      <c r="Z702" s="28"/>
      <c r="AA702" s="28"/>
    </row>
    <row r="703" ht="18.75" customHeight="1">
      <c r="A703" s="28"/>
      <c r="B703" s="28"/>
      <c r="C703" s="28"/>
      <c r="D703" s="28"/>
      <c r="E703" s="28"/>
      <c r="F703" s="28"/>
      <c r="G703" s="28"/>
      <c r="H703" s="28"/>
      <c r="I703" s="28"/>
      <c r="J703" s="28"/>
      <c r="K703" s="28"/>
      <c r="L703" s="28"/>
      <c r="M703" s="33"/>
      <c r="N703" s="33"/>
      <c r="O703" s="33"/>
      <c r="P703" s="33"/>
      <c r="Q703" s="28"/>
      <c r="R703" s="28"/>
      <c r="S703" s="28"/>
      <c r="T703" s="28"/>
      <c r="U703" s="28"/>
      <c r="V703" s="28"/>
      <c r="W703" s="28"/>
      <c r="X703" s="28"/>
      <c r="Y703" s="28"/>
      <c r="Z703" s="28"/>
      <c r="AA703" s="28"/>
    </row>
    <row r="704" ht="18.75" customHeight="1">
      <c r="A704" s="28"/>
      <c r="B704" s="28"/>
      <c r="C704" s="28"/>
      <c r="D704" s="28"/>
      <c r="E704" s="28"/>
      <c r="F704" s="28"/>
      <c r="G704" s="28"/>
      <c r="H704" s="28"/>
      <c r="I704" s="28"/>
      <c r="J704" s="28"/>
      <c r="K704" s="28"/>
      <c r="L704" s="28"/>
      <c r="M704" s="33"/>
      <c r="N704" s="33"/>
      <c r="O704" s="33"/>
      <c r="P704" s="33"/>
      <c r="Q704" s="28"/>
      <c r="R704" s="28"/>
      <c r="S704" s="28"/>
      <c r="T704" s="28"/>
      <c r="U704" s="28"/>
      <c r="V704" s="28"/>
      <c r="W704" s="28"/>
      <c r="X704" s="28"/>
      <c r="Y704" s="28"/>
      <c r="Z704" s="28"/>
      <c r="AA704" s="28"/>
    </row>
    <row r="705" ht="18.75" customHeight="1">
      <c r="A705" s="28"/>
      <c r="B705" s="28"/>
      <c r="C705" s="28"/>
      <c r="D705" s="28"/>
      <c r="E705" s="28"/>
      <c r="F705" s="28"/>
      <c r="G705" s="28"/>
      <c r="H705" s="28"/>
      <c r="I705" s="28"/>
      <c r="J705" s="28"/>
      <c r="K705" s="28"/>
      <c r="L705" s="28"/>
      <c r="M705" s="33"/>
      <c r="N705" s="33"/>
      <c r="O705" s="33"/>
      <c r="P705" s="33"/>
      <c r="Q705" s="28"/>
      <c r="R705" s="28"/>
      <c r="S705" s="28"/>
      <c r="T705" s="28"/>
      <c r="U705" s="28"/>
      <c r="V705" s="28"/>
      <c r="W705" s="28"/>
      <c r="X705" s="28"/>
      <c r="Y705" s="28"/>
      <c r="Z705" s="28"/>
      <c r="AA705" s="28"/>
    </row>
    <row r="706" ht="18.75" customHeight="1">
      <c r="A706" s="28"/>
      <c r="B706" s="28"/>
      <c r="C706" s="28"/>
      <c r="D706" s="28"/>
      <c r="E706" s="28"/>
      <c r="F706" s="28"/>
      <c r="G706" s="28"/>
      <c r="H706" s="28"/>
      <c r="I706" s="28"/>
      <c r="J706" s="28"/>
      <c r="K706" s="28"/>
      <c r="L706" s="28"/>
      <c r="M706" s="33"/>
      <c r="N706" s="33"/>
      <c r="O706" s="33"/>
      <c r="P706" s="33"/>
      <c r="Q706" s="28"/>
      <c r="R706" s="28"/>
      <c r="S706" s="28"/>
      <c r="T706" s="28"/>
      <c r="U706" s="28"/>
      <c r="V706" s="28"/>
      <c r="W706" s="28"/>
      <c r="X706" s="28"/>
      <c r="Y706" s="28"/>
      <c r="Z706" s="28"/>
      <c r="AA706" s="28"/>
    </row>
    <row r="707" ht="18.75" customHeight="1">
      <c r="A707" s="28"/>
      <c r="B707" s="28"/>
      <c r="C707" s="28"/>
      <c r="D707" s="28"/>
      <c r="E707" s="28"/>
      <c r="F707" s="28"/>
      <c r="G707" s="28"/>
      <c r="H707" s="28"/>
      <c r="I707" s="28"/>
      <c r="J707" s="28"/>
      <c r="K707" s="28"/>
      <c r="L707" s="28"/>
      <c r="M707" s="33"/>
      <c r="N707" s="33"/>
      <c r="O707" s="33"/>
      <c r="P707" s="33"/>
      <c r="Q707" s="28"/>
      <c r="R707" s="28"/>
      <c r="S707" s="28"/>
      <c r="T707" s="28"/>
      <c r="U707" s="28"/>
      <c r="V707" s="28"/>
      <c r="W707" s="28"/>
      <c r="X707" s="28"/>
      <c r="Y707" s="28"/>
      <c r="Z707" s="28"/>
      <c r="AA707" s="28"/>
    </row>
    <row r="708" ht="18.75" customHeight="1">
      <c r="A708" s="28"/>
      <c r="B708" s="28"/>
      <c r="C708" s="28"/>
      <c r="D708" s="28"/>
      <c r="E708" s="28"/>
      <c r="F708" s="28"/>
      <c r="G708" s="28"/>
      <c r="H708" s="28"/>
      <c r="I708" s="28"/>
      <c r="J708" s="28"/>
      <c r="K708" s="28"/>
      <c r="L708" s="28"/>
      <c r="M708" s="33"/>
      <c r="N708" s="33"/>
      <c r="O708" s="33"/>
      <c r="P708" s="33"/>
      <c r="Q708" s="28"/>
      <c r="R708" s="28"/>
      <c r="S708" s="28"/>
      <c r="T708" s="28"/>
      <c r="U708" s="28"/>
      <c r="V708" s="28"/>
      <c r="W708" s="28"/>
      <c r="X708" s="28"/>
      <c r="Y708" s="28"/>
      <c r="Z708" s="28"/>
      <c r="AA708" s="28"/>
    </row>
    <row r="709" ht="18.75" customHeight="1">
      <c r="A709" s="28"/>
      <c r="B709" s="28"/>
      <c r="C709" s="28"/>
      <c r="D709" s="28"/>
      <c r="E709" s="28"/>
      <c r="F709" s="28"/>
      <c r="G709" s="28"/>
      <c r="H709" s="28"/>
      <c r="I709" s="28"/>
      <c r="J709" s="28"/>
      <c r="K709" s="28"/>
      <c r="L709" s="28"/>
      <c r="M709" s="33"/>
      <c r="N709" s="33"/>
      <c r="O709" s="33"/>
      <c r="P709" s="33"/>
      <c r="Q709" s="28"/>
      <c r="R709" s="28"/>
      <c r="S709" s="28"/>
      <c r="T709" s="28"/>
      <c r="U709" s="28"/>
      <c r="V709" s="28"/>
      <c r="W709" s="28"/>
      <c r="X709" s="28"/>
      <c r="Y709" s="28"/>
      <c r="Z709" s="28"/>
      <c r="AA709" s="28"/>
    </row>
    <row r="710" ht="18.75" customHeight="1">
      <c r="A710" s="28"/>
      <c r="B710" s="28"/>
      <c r="C710" s="28"/>
      <c r="D710" s="28"/>
      <c r="E710" s="28"/>
      <c r="F710" s="28"/>
      <c r="G710" s="28"/>
      <c r="H710" s="28"/>
      <c r="I710" s="28"/>
      <c r="J710" s="28"/>
      <c r="K710" s="28"/>
      <c r="L710" s="28"/>
      <c r="M710" s="33"/>
      <c r="N710" s="33"/>
      <c r="O710" s="33"/>
      <c r="P710" s="33"/>
      <c r="Q710" s="28"/>
      <c r="R710" s="28"/>
      <c r="S710" s="28"/>
      <c r="T710" s="28"/>
      <c r="U710" s="28"/>
      <c r="V710" s="28"/>
      <c r="W710" s="28"/>
      <c r="X710" s="28"/>
      <c r="Y710" s="28"/>
      <c r="Z710" s="28"/>
      <c r="AA710" s="28"/>
    </row>
    <row r="711" ht="18.75" customHeight="1">
      <c r="A711" s="28"/>
      <c r="B711" s="28"/>
      <c r="C711" s="28"/>
      <c r="D711" s="28"/>
      <c r="E711" s="28"/>
      <c r="F711" s="28"/>
      <c r="G711" s="28"/>
      <c r="H711" s="28"/>
      <c r="I711" s="28"/>
      <c r="J711" s="28"/>
      <c r="K711" s="28"/>
      <c r="L711" s="28"/>
      <c r="M711" s="33"/>
      <c r="N711" s="33"/>
      <c r="O711" s="33"/>
      <c r="P711" s="33"/>
      <c r="Q711" s="28"/>
      <c r="R711" s="28"/>
      <c r="S711" s="28"/>
      <c r="T711" s="28"/>
      <c r="U711" s="28"/>
      <c r="V711" s="28"/>
      <c r="W711" s="28"/>
      <c r="X711" s="28"/>
      <c r="Y711" s="28"/>
      <c r="Z711" s="28"/>
      <c r="AA711" s="28"/>
    </row>
    <row r="712" ht="18.75" customHeight="1">
      <c r="A712" s="28"/>
      <c r="B712" s="28"/>
      <c r="C712" s="28"/>
      <c r="D712" s="28"/>
      <c r="E712" s="28"/>
      <c r="F712" s="28"/>
      <c r="G712" s="28"/>
      <c r="H712" s="28"/>
      <c r="I712" s="28"/>
      <c r="J712" s="28"/>
      <c r="K712" s="28"/>
      <c r="L712" s="28"/>
      <c r="M712" s="33"/>
      <c r="N712" s="33"/>
      <c r="O712" s="33"/>
      <c r="P712" s="33"/>
      <c r="Q712" s="28"/>
      <c r="R712" s="28"/>
      <c r="S712" s="28"/>
      <c r="T712" s="28"/>
      <c r="U712" s="28"/>
      <c r="V712" s="28"/>
      <c r="W712" s="28"/>
      <c r="X712" s="28"/>
      <c r="Y712" s="28"/>
      <c r="Z712" s="28"/>
      <c r="AA712" s="28"/>
    </row>
    <row r="713" ht="18.75" customHeight="1">
      <c r="A713" s="28"/>
      <c r="B713" s="28"/>
      <c r="C713" s="28"/>
      <c r="D713" s="28"/>
      <c r="E713" s="28"/>
      <c r="F713" s="28"/>
      <c r="G713" s="28"/>
      <c r="H713" s="28"/>
      <c r="I713" s="28"/>
      <c r="J713" s="28"/>
      <c r="K713" s="28"/>
      <c r="L713" s="28"/>
      <c r="M713" s="33"/>
      <c r="N713" s="33"/>
      <c r="O713" s="33"/>
      <c r="P713" s="33"/>
      <c r="Q713" s="28"/>
      <c r="R713" s="28"/>
      <c r="S713" s="28"/>
      <c r="T713" s="28"/>
      <c r="U713" s="28"/>
      <c r="V713" s="28"/>
      <c r="W713" s="28"/>
      <c r="X713" s="28"/>
      <c r="Y713" s="28"/>
      <c r="Z713" s="28"/>
      <c r="AA713" s="28"/>
    </row>
    <row r="714" ht="18.75" customHeight="1">
      <c r="A714" s="28"/>
      <c r="B714" s="28"/>
      <c r="C714" s="28"/>
      <c r="D714" s="28"/>
      <c r="E714" s="28"/>
      <c r="F714" s="28"/>
      <c r="G714" s="28"/>
      <c r="H714" s="28"/>
      <c r="I714" s="28"/>
      <c r="J714" s="28"/>
      <c r="K714" s="28"/>
      <c r="L714" s="28"/>
      <c r="M714" s="33"/>
      <c r="N714" s="33"/>
      <c r="O714" s="33"/>
      <c r="P714" s="33"/>
      <c r="Q714" s="28"/>
      <c r="R714" s="28"/>
      <c r="S714" s="28"/>
      <c r="T714" s="28"/>
      <c r="U714" s="28"/>
      <c r="V714" s="28"/>
      <c r="W714" s="28"/>
      <c r="X714" s="28"/>
      <c r="Y714" s="28"/>
      <c r="Z714" s="28"/>
      <c r="AA714" s="28"/>
    </row>
    <row r="715" ht="18.75" customHeight="1">
      <c r="A715" s="28"/>
      <c r="B715" s="28"/>
      <c r="C715" s="28"/>
      <c r="D715" s="28"/>
      <c r="E715" s="28"/>
      <c r="F715" s="28"/>
      <c r="G715" s="28"/>
      <c r="H715" s="28"/>
      <c r="I715" s="28"/>
      <c r="J715" s="28"/>
      <c r="K715" s="28"/>
      <c r="L715" s="28"/>
      <c r="M715" s="33"/>
      <c r="N715" s="33"/>
      <c r="O715" s="33"/>
      <c r="P715" s="33"/>
      <c r="Q715" s="28"/>
      <c r="R715" s="28"/>
      <c r="S715" s="28"/>
      <c r="T715" s="28"/>
      <c r="U715" s="28"/>
      <c r="V715" s="28"/>
      <c r="W715" s="28"/>
      <c r="X715" s="28"/>
      <c r="Y715" s="28"/>
      <c r="Z715" s="28"/>
      <c r="AA715" s="28"/>
    </row>
    <row r="716" ht="18.75" customHeight="1">
      <c r="A716" s="28"/>
      <c r="B716" s="28"/>
      <c r="C716" s="28"/>
      <c r="D716" s="28"/>
      <c r="E716" s="28"/>
      <c r="F716" s="28"/>
      <c r="G716" s="28"/>
      <c r="H716" s="28"/>
      <c r="I716" s="28"/>
      <c r="J716" s="28"/>
      <c r="K716" s="28"/>
      <c r="L716" s="28"/>
      <c r="M716" s="33"/>
      <c r="N716" s="33"/>
      <c r="O716" s="33"/>
      <c r="P716" s="33"/>
      <c r="Q716" s="28"/>
      <c r="R716" s="28"/>
      <c r="S716" s="28"/>
      <c r="T716" s="28"/>
      <c r="U716" s="28"/>
      <c r="V716" s="28"/>
      <c r="W716" s="28"/>
      <c r="X716" s="28"/>
      <c r="Y716" s="28"/>
      <c r="Z716" s="28"/>
      <c r="AA716" s="28"/>
    </row>
    <row r="717" ht="18.75" customHeight="1">
      <c r="A717" s="28"/>
      <c r="B717" s="28"/>
      <c r="C717" s="28"/>
      <c r="D717" s="28"/>
      <c r="E717" s="28"/>
      <c r="F717" s="28"/>
      <c r="G717" s="28"/>
      <c r="H717" s="28"/>
      <c r="I717" s="28"/>
      <c r="J717" s="28"/>
      <c r="K717" s="28"/>
      <c r="L717" s="28"/>
      <c r="M717" s="33"/>
      <c r="N717" s="33"/>
      <c r="O717" s="33"/>
      <c r="P717" s="33"/>
      <c r="Q717" s="28"/>
      <c r="R717" s="28"/>
      <c r="S717" s="28"/>
      <c r="T717" s="28"/>
      <c r="U717" s="28"/>
      <c r="V717" s="28"/>
      <c r="W717" s="28"/>
      <c r="X717" s="28"/>
      <c r="Y717" s="28"/>
      <c r="Z717" s="28"/>
      <c r="AA717" s="28"/>
    </row>
    <row r="718" ht="18.75" customHeight="1">
      <c r="A718" s="28"/>
      <c r="B718" s="28"/>
      <c r="C718" s="28"/>
      <c r="D718" s="28"/>
      <c r="E718" s="28"/>
      <c r="F718" s="28"/>
      <c r="G718" s="28"/>
      <c r="H718" s="28"/>
      <c r="I718" s="28"/>
      <c r="J718" s="28"/>
      <c r="K718" s="28"/>
      <c r="L718" s="28"/>
      <c r="M718" s="33"/>
      <c r="N718" s="33"/>
      <c r="O718" s="33"/>
      <c r="P718" s="33"/>
      <c r="Q718" s="28"/>
      <c r="R718" s="28"/>
      <c r="S718" s="28"/>
      <c r="T718" s="28"/>
      <c r="U718" s="28"/>
      <c r="V718" s="28"/>
      <c r="W718" s="28"/>
      <c r="X718" s="28"/>
      <c r="Y718" s="28"/>
      <c r="Z718" s="28"/>
      <c r="AA718" s="28"/>
    </row>
    <row r="719" ht="18.75" customHeight="1">
      <c r="A719" s="28"/>
      <c r="B719" s="28"/>
      <c r="C719" s="28"/>
      <c r="D719" s="28"/>
      <c r="E719" s="28"/>
      <c r="F719" s="28"/>
      <c r="G719" s="28"/>
      <c r="H719" s="28"/>
      <c r="I719" s="28"/>
      <c r="J719" s="28"/>
      <c r="K719" s="28"/>
      <c r="L719" s="28"/>
      <c r="M719" s="33"/>
      <c r="N719" s="33"/>
      <c r="O719" s="33"/>
      <c r="P719" s="33"/>
      <c r="Q719" s="28"/>
      <c r="R719" s="28"/>
      <c r="S719" s="28"/>
      <c r="T719" s="28"/>
      <c r="U719" s="28"/>
      <c r="V719" s="28"/>
      <c r="W719" s="28"/>
      <c r="X719" s="28"/>
      <c r="Y719" s="28"/>
      <c r="Z719" s="28"/>
      <c r="AA719" s="28"/>
    </row>
    <row r="720" ht="18.75" customHeight="1">
      <c r="A720" s="28"/>
      <c r="B720" s="28"/>
      <c r="C720" s="28"/>
      <c r="D720" s="28"/>
      <c r="E720" s="28"/>
      <c r="F720" s="28"/>
      <c r="G720" s="28"/>
      <c r="H720" s="28"/>
      <c r="I720" s="28"/>
      <c r="J720" s="28"/>
      <c r="K720" s="28"/>
      <c r="L720" s="28"/>
      <c r="M720" s="33"/>
      <c r="N720" s="33"/>
      <c r="O720" s="33"/>
      <c r="P720" s="33"/>
      <c r="Q720" s="28"/>
      <c r="R720" s="28"/>
      <c r="S720" s="28"/>
      <c r="T720" s="28"/>
      <c r="U720" s="28"/>
      <c r="V720" s="28"/>
      <c r="W720" s="28"/>
      <c r="X720" s="28"/>
      <c r="Y720" s="28"/>
      <c r="Z720" s="28"/>
      <c r="AA720" s="28"/>
    </row>
    <row r="721" ht="18.75" customHeight="1">
      <c r="A721" s="28"/>
      <c r="B721" s="28"/>
      <c r="C721" s="28"/>
      <c r="D721" s="28"/>
      <c r="E721" s="28"/>
      <c r="F721" s="28"/>
      <c r="G721" s="28"/>
      <c r="H721" s="28"/>
      <c r="I721" s="28"/>
      <c r="J721" s="28"/>
      <c r="K721" s="28"/>
      <c r="L721" s="28"/>
      <c r="M721" s="33"/>
      <c r="N721" s="33"/>
      <c r="O721" s="33"/>
      <c r="P721" s="33"/>
      <c r="Q721" s="28"/>
      <c r="R721" s="28"/>
      <c r="S721" s="28"/>
      <c r="T721" s="28"/>
      <c r="U721" s="28"/>
      <c r="V721" s="28"/>
      <c r="W721" s="28"/>
      <c r="X721" s="28"/>
      <c r="Y721" s="28"/>
      <c r="Z721" s="28"/>
      <c r="AA721" s="28"/>
    </row>
    <row r="722" ht="18.75" customHeight="1">
      <c r="A722" s="28"/>
      <c r="B722" s="28"/>
      <c r="C722" s="28"/>
      <c r="D722" s="28"/>
      <c r="E722" s="28"/>
      <c r="F722" s="28"/>
      <c r="G722" s="28"/>
      <c r="H722" s="28"/>
      <c r="I722" s="28"/>
      <c r="J722" s="28"/>
      <c r="K722" s="28"/>
      <c r="L722" s="28"/>
      <c r="M722" s="33"/>
      <c r="N722" s="33"/>
      <c r="O722" s="33"/>
      <c r="P722" s="33"/>
      <c r="Q722" s="28"/>
      <c r="R722" s="28"/>
      <c r="S722" s="28"/>
      <c r="T722" s="28"/>
      <c r="U722" s="28"/>
      <c r="V722" s="28"/>
      <c r="W722" s="28"/>
      <c r="X722" s="28"/>
      <c r="Y722" s="28"/>
      <c r="Z722" s="28"/>
      <c r="AA722" s="28"/>
    </row>
    <row r="723" ht="18.75" customHeight="1">
      <c r="A723" s="28"/>
      <c r="B723" s="28"/>
      <c r="C723" s="28"/>
      <c r="D723" s="28"/>
      <c r="E723" s="28"/>
      <c r="F723" s="28"/>
      <c r="G723" s="28"/>
      <c r="H723" s="28"/>
      <c r="I723" s="28"/>
      <c r="J723" s="28"/>
      <c r="K723" s="28"/>
      <c r="L723" s="28"/>
      <c r="M723" s="33"/>
      <c r="N723" s="33"/>
      <c r="O723" s="33"/>
      <c r="P723" s="33"/>
      <c r="Q723" s="28"/>
      <c r="R723" s="28"/>
      <c r="S723" s="28"/>
      <c r="T723" s="28"/>
      <c r="U723" s="28"/>
      <c r="V723" s="28"/>
      <c r="W723" s="28"/>
      <c r="X723" s="28"/>
      <c r="Y723" s="28"/>
      <c r="Z723" s="28"/>
      <c r="AA723" s="28"/>
    </row>
    <row r="724" ht="18.75" customHeight="1">
      <c r="A724" s="28"/>
      <c r="B724" s="28"/>
      <c r="C724" s="28"/>
      <c r="D724" s="28"/>
      <c r="E724" s="28"/>
      <c r="F724" s="28"/>
      <c r="G724" s="28"/>
      <c r="H724" s="28"/>
      <c r="I724" s="28"/>
      <c r="J724" s="28"/>
      <c r="K724" s="28"/>
      <c r="L724" s="28"/>
      <c r="M724" s="33"/>
      <c r="N724" s="33"/>
      <c r="O724" s="33"/>
      <c r="P724" s="33"/>
      <c r="Q724" s="28"/>
      <c r="R724" s="28"/>
      <c r="S724" s="28"/>
      <c r="T724" s="28"/>
      <c r="U724" s="28"/>
      <c r="V724" s="28"/>
      <c r="W724" s="28"/>
      <c r="X724" s="28"/>
      <c r="Y724" s="28"/>
      <c r="Z724" s="28"/>
      <c r="AA724" s="28"/>
    </row>
    <row r="725" ht="18.75" customHeight="1">
      <c r="A725" s="28"/>
      <c r="B725" s="28"/>
      <c r="C725" s="28"/>
      <c r="D725" s="28"/>
      <c r="E725" s="28"/>
      <c r="F725" s="28"/>
      <c r="G725" s="28"/>
      <c r="H725" s="28"/>
      <c r="I725" s="28"/>
      <c r="J725" s="28"/>
      <c r="K725" s="28"/>
      <c r="L725" s="28"/>
      <c r="M725" s="33"/>
      <c r="N725" s="33"/>
      <c r="O725" s="33"/>
      <c r="P725" s="33"/>
      <c r="Q725" s="28"/>
      <c r="R725" s="28"/>
      <c r="S725" s="28"/>
      <c r="T725" s="28"/>
      <c r="U725" s="28"/>
      <c r="V725" s="28"/>
      <c r="W725" s="28"/>
      <c r="X725" s="28"/>
      <c r="Y725" s="28"/>
      <c r="Z725" s="28"/>
      <c r="AA725" s="28"/>
    </row>
    <row r="726" ht="18.75" customHeight="1">
      <c r="A726" s="28"/>
      <c r="B726" s="28"/>
      <c r="C726" s="28"/>
      <c r="D726" s="28"/>
      <c r="E726" s="28"/>
      <c r="F726" s="28"/>
      <c r="G726" s="28"/>
      <c r="H726" s="28"/>
      <c r="I726" s="28"/>
      <c r="J726" s="28"/>
      <c r="K726" s="28"/>
      <c r="L726" s="28"/>
      <c r="M726" s="33"/>
      <c r="N726" s="33"/>
      <c r="O726" s="33"/>
      <c r="P726" s="33"/>
      <c r="Q726" s="28"/>
      <c r="R726" s="28"/>
      <c r="S726" s="28"/>
      <c r="T726" s="28"/>
      <c r="U726" s="28"/>
      <c r="V726" s="28"/>
      <c r="W726" s="28"/>
      <c r="X726" s="28"/>
      <c r="Y726" s="28"/>
      <c r="Z726" s="28"/>
      <c r="AA726" s="28"/>
    </row>
    <row r="727" ht="18.75" customHeight="1">
      <c r="A727" s="28"/>
      <c r="B727" s="28"/>
      <c r="C727" s="28"/>
      <c r="D727" s="28"/>
      <c r="E727" s="28"/>
      <c r="F727" s="28"/>
      <c r="G727" s="28"/>
      <c r="H727" s="28"/>
      <c r="I727" s="28"/>
      <c r="J727" s="28"/>
      <c r="K727" s="28"/>
      <c r="L727" s="28"/>
      <c r="M727" s="33"/>
      <c r="N727" s="33"/>
      <c r="O727" s="33"/>
      <c r="P727" s="33"/>
      <c r="Q727" s="28"/>
      <c r="R727" s="28"/>
      <c r="S727" s="28"/>
      <c r="T727" s="28"/>
      <c r="U727" s="28"/>
      <c r="V727" s="28"/>
      <c r="W727" s="28"/>
      <c r="X727" s="28"/>
      <c r="Y727" s="28"/>
      <c r="Z727" s="28"/>
      <c r="AA727" s="28"/>
    </row>
    <row r="728" ht="18.75" customHeight="1">
      <c r="A728" s="28"/>
      <c r="B728" s="28"/>
      <c r="C728" s="28"/>
      <c r="D728" s="28"/>
      <c r="E728" s="28"/>
      <c r="F728" s="28"/>
      <c r="G728" s="28"/>
      <c r="H728" s="28"/>
      <c r="I728" s="28"/>
      <c r="J728" s="28"/>
      <c r="K728" s="28"/>
      <c r="L728" s="28"/>
      <c r="M728" s="33"/>
      <c r="N728" s="33"/>
      <c r="O728" s="33"/>
      <c r="P728" s="33"/>
      <c r="Q728" s="28"/>
      <c r="R728" s="28"/>
      <c r="S728" s="28"/>
      <c r="T728" s="28"/>
      <c r="U728" s="28"/>
      <c r="V728" s="28"/>
      <c r="W728" s="28"/>
      <c r="X728" s="28"/>
      <c r="Y728" s="28"/>
      <c r="Z728" s="28"/>
      <c r="AA728" s="28"/>
    </row>
    <row r="729" ht="18.75" customHeight="1">
      <c r="A729" s="28"/>
      <c r="B729" s="28"/>
      <c r="C729" s="28"/>
      <c r="D729" s="28"/>
      <c r="E729" s="28"/>
      <c r="F729" s="28"/>
      <c r="G729" s="28"/>
      <c r="H729" s="28"/>
      <c r="I729" s="28"/>
      <c r="J729" s="28"/>
      <c r="K729" s="28"/>
      <c r="L729" s="28"/>
      <c r="M729" s="33"/>
      <c r="N729" s="33"/>
      <c r="O729" s="33"/>
      <c r="P729" s="33"/>
      <c r="Q729" s="28"/>
      <c r="R729" s="28"/>
      <c r="S729" s="28"/>
      <c r="T729" s="28"/>
      <c r="U729" s="28"/>
      <c r="V729" s="28"/>
      <c r="W729" s="28"/>
      <c r="X729" s="28"/>
      <c r="Y729" s="28"/>
      <c r="Z729" s="28"/>
      <c r="AA729" s="28"/>
    </row>
    <row r="730" ht="18.75" customHeight="1">
      <c r="A730" s="28"/>
      <c r="B730" s="28"/>
      <c r="C730" s="28"/>
      <c r="D730" s="28"/>
      <c r="E730" s="28"/>
      <c r="F730" s="28"/>
      <c r="G730" s="28"/>
      <c r="H730" s="28"/>
      <c r="I730" s="28"/>
      <c r="J730" s="28"/>
      <c r="K730" s="28"/>
      <c r="L730" s="28"/>
      <c r="M730" s="33"/>
      <c r="N730" s="33"/>
      <c r="O730" s="33"/>
      <c r="P730" s="33"/>
      <c r="Q730" s="28"/>
      <c r="R730" s="28"/>
      <c r="S730" s="28"/>
      <c r="T730" s="28"/>
      <c r="U730" s="28"/>
      <c r="V730" s="28"/>
      <c r="W730" s="28"/>
      <c r="X730" s="28"/>
      <c r="Y730" s="28"/>
      <c r="Z730" s="28"/>
      <c r="AA730" s="28"/>
    </row>
    <row r="731" ht="18.75" customHeight="1">
      <c r="A731" s="28"/>
      <c r="B731" s="28"/>
      <c r="C731" s="28"/>
      <c r="D731" s="28"/>
      <c r="E731" s="28"/>
      <c r="F731" s="28"/>
      <c r="G731" s="28"/>
      <c r="H731" s="28"/>
      <c r="I731" s="28"/>
      <c r="J731" s="28"/>
      <c r="K731" s="28"/>
      <c r="L731" s="28"/>
      <c r="M731" s="33"/>
      <c r="N731" s="33"/>
      <c r="O731" s="33"/>
      <c r="P731" s="33"/>
      <c r="Q731" s="28"/>
      <c r="R731" s="28"/>
      <c r="S731" s="28"/>
      <c r="T731" s="28"/>
      <c r="U731" s="28"/>
      <c r="V731" s="28"/>
      <c r="W731" s="28"/>
      <c r="X731" s="28"/>
      <c r="Y731" s="28"/>
      <c r="Z731" s="28"/>
      <c r="AA731" s="28"/>
    </row>
    <row r="732" ht="18.75" customHeight="1">
      <c r="A732" s="28"/>
      <c r="B732" s="28"/>
      <c r="C732" s="28"/>
      <c r="D732" s="28"/>
      <c r="E732" s="28"/>
      <c r="F732" s="28"/>
      <c r="G732" s="28"/>
      <c r="H732" s="28"/>
      <c r="I732" s="28"/>
      <c r="J732" s="28"/>
      <c r="K732" s="28"/>
      <c r="L732" s="28"/>
      <c r="M732" s="33"/>
      <c r="N732" s="33"/>
      <c r="O732" s="33"/>
      <c r="P732" s="33"/>
      <c r="Q732" s="28"/>
      <c r="R732" s="28"/>
      <c r="S732" s="28"/>
      <c r="T732" s="28"/>
      <c r="U732" s="28"/>
      <c r="V732" s="28"/>
      <c r="W732" s="28"/>
      <c r="X732" s="28"/>
      <c r="Y732" s="28"/>
      <c r="Z732" s="28"/>
      <c r="AA732" s="28"/>
    </row>
    <row r="733" ht="18.75" customHeight="1">
      <c r="A733" s="28"/>
      <c r="B733" s="28"/>
      <c r="C733" s="28"/>
      <c r="D733" s="28"/>
      <c r="E733" s="28"/>
      <c r="F733" s="28"/>
      <c r="G733" s="28"/>
      <c r="H733" s="28"/>
      <c r="I733" s="28"/>
      <c r="J733" s="28"/>
      <c r="K733" s="28"/>
      <c r="L733" s="28"/>
      <c r="M733" s="33"/>
      <c r="N733" s="33"/>
      <c r="O733" s="33"/>
      <c r="P733" s="33"/>
      <c r="Q733" s="28"/>
      <c r="R733" s="28"/>
      <c r="S733" s="28"/>
      <c r="T733" s="28"/>
      <c r="U733" s="28"/>
      <c r="V733" s="28"/>
      <c r="W733" s="28"/>
      <c r="X733" s="28"/>
      <c r="Y733" s="28"/>
      <c r="Z733" s="28"/>
      <c r="AA733" s="28"/>
    </row>
    <row r="734" ht="18.75" customHeight="1">
      <c r="A734" s="28"/>
      <c r="B734" s="28"/>
      <c r="C734" s="28"/>
      <c r="D734" s="28"/>
      <c r="E734" s="28"/>
      <c r="F734" s="28"/>
      <c r="G734" s="28"/>
      <c r="H734" s="28"/>
      <c r="I734" s="28"/>
      <c r="J734" s="28"/>
      <c r="K734" s="28"/>
      <c r="L734" s="28"/>
      <c r="M734" s="33"/>
      <c r="N734" s="33"/>
      <c r="O734" s="33"/>
      <c r="P734" s="33"/>
      <c r="Q734" s="28"/>
      <c r="R734" s="28"/>
      <c r="S734" s="28"/>
      <c r="T734" s="28"/>
      <c r="U734" s="28"/>
      <c r="V734" s="28"/>
      <c r="W734" s="28"/>
      <c r="X734" s="28"/>
      <c r="Y734" s="28"/>
      <c r="Z734" s="28"/>
      <c r="AA734" s="28"/>
    </row>
    <row r="735" ht="18.75" customHeight="1">
      <c r="A735" s="28"/>
      <c r="B735" s="28"/>
      <c r="C735" s="28"/>
      <c r="D735" s="28"/>
      <c r="E735" s="28"/>
      <c r="F735" s="28"/>
      <c r="G735" s="28"/>
      <c r="H735" s="28"/>
      <c r="I735" s="28"/>
      <c r="J735" s="28"/>
      <c r="K735" s="28"/>
      <c r="L735" s="28"/>
      <c r="M735" s="33"/>
      <c r="N735" s="33"/>
      <c r="O735" s="33"/>
      <c r="P735" s="33"/>
      <c r="Q735" s="28"/>
      <c r="R735" s="28"/>
      <c r="S735" s="28"/>
      <c r="T735" s="28"/>
      <c r="U735" s="28"/>
      <c r="V735" s="28"/>
      <c r="W735" s="28"/>
      <c r="X735" s="28"/>
      <c r="Y735" s="28"/>
      <c r="Z735" s="28"/>
      <c r="AA735" s="28"/>
    </row>
    <row r="736" ht="18.75" customHeight="1">
      <c r="A736" s="28"/>
      <c r="B736" s="28"/>
      <c r="C736" s="28"/>
      <c r="D736" s="28"/>
      <c r="E736" s="28"/>
      <c r="F736" s="28"/>
      <c r="G736" s="28"/>
      <c r="H736" s="28"/>
      <c r="I736" s="28"/>
      <c r="J736" s="28"/>
      <c r="K736" s="28"/>
      <c r="L736" s="28"/>
      <c r="M736" s="33"/>
      <c r="N736" s="33"/>
      <c r="O736" s="33"/>
      <c r="P736" s="33"/>
      <c r="Q736" s="28"/>
      <c r="R736" s="28"/>
      <c r="S736" s="28"/>
      <c r="T736" s="28"/>
      <c r="U736" s="28"/>
      <c r="V736" s="28"/>
      <c r="W736" s="28"/>
      <c r="X736" s="28"/>
      <c r="Y736" s="28"/>
      <c r="Z736" s="28"/>
      <c r="AA736" s="28"/>
    </row>
    <row r="737" ht="18.75" customHeight="1">
      <c r="A737" s="28"/>
      <c r="B737" s="28"/>
      <c r="C737" s="28"/>
      <c r="D737" s="28"/>
      <c r="E737" s="28"/>
      <c r="F737" s="28"/>
      <c r="G737" s="28"/>
      <c r="H737" s="28"/>
      <c r="I737" s="28"/>
      <c r="J737" s="28"/>
      <c r="K737" s="28"/>
      <c r="L737" s="28"/>
      <c r="M737" s="33"/>
      <c r="N737" s="33"/>
      <c r="O737" s="33"/>
      <c r="P737" s="33"/>
      <c r="Q737" s="28"/>
      <c r="R737" s="28"/>
      <c r="S737" s="28"/>
      <c r="T737" s="28"/>
      <c r="U737" s="28"/>
      <c r="V737" s="28"/>
      <c r="W737" s="28"/>
      <c r="X737" s="28"/>
      <c r="Y737" s="28"/>
      <c r="Z737" s="28"/>
      <c r="AA737" s="28"/>
    </row>
    <row r="738" ht="18.75" customHeight="1">
      <c r="A738" s="28"/>
      <c r="B738" s="28"/>
      <c r="C738" s="28"/>
      <c r="D738" s="28"/>
      <c r="E738" s="28"/>
      <c r="F738" s="28"/>
      <c r="G738" s="28"/>
      <c r="H738" s="28"/>
      <c r="I738" s="28"/>
      <c r="J738" s="28"/>
      <c r="K738" s="28"/>
      <c r="L738" s="28"/>
      <c r="M738" s="33"/>
      <c r="N738" s="33"/>
      <c r="O738" s="33"/>
      <c r="P738" s="33"/>
      <c r="Q738" s="28"/>
      <c r="R738" s="28"/>
      <c r="S738" s="28"/>
      <c r="T738" s="28"/>
      <c r="U738" s="28"/>
      <c r="V738" s="28"/>
      <c r="W738" s="28"/>
      <c r="X738" s="28"/>
      <c r="Y738" s="28"/>
      <c r="Z738" s="28"/>
      <c r="AA738" s="28"/>
    </row>
    <row r="739" ht="18.75" customHeight="1">
      <c r="A739" s="28"/>
      <c r="B739" s="28"/>
      <c r="C739" s="28"/>
      <c r="D739" s="28"/>
      <c r="E739" s="28"/>
      <c r="F739" s="28"/>
      <c r="G739" s="28"/>
      <c r="H739" s="28"/>
      <c r="I739" s="28"/>
      <c r="J739" s="28"/>
      <c r="K739" s="28"/>
      <c r="L739" s="28"/>
      <c r="M739" s="33"/>
      <c r="N739" s="33"/>
      <c r="O739" s="33"/>
      <c r="P739" s="33"/>
      <c r="Q739" s="28"/>
      <c r="R739" s="28"/>
      <c r="S739" s="28"/>
      <c r="T739" s="28"/>
      <c r="U739" s="28"/>
      <c r="V739" s="28"/>
      <c r="W739" s="28"/>
      <c r="X739" s="28"/>
      <c r="Y739" s="28"/>
      <c r="Z739" s="28"/>
      <c r="AA739" s="28"/>
    </row>
    <row r="740" ht="18.75" customHeight="1">
      <c r="A740" s="28"/>
      <c r="B740" s="28"/>
      <c r="C740" s="28"/>
      <c r="D740" s="28"/>
      <c r="E740" s="28"/>
      <c r="F740" s="28"/>
      <c r="G740" s="28"/>
      <c r="H740" s="28"/>
      <c r="I740" s="28"/>
      <c r="J740" s="28"/>
      <c r="K740" s="28"/>
      <c r="L740" s="28"/>
      <c r="M740" s="33"/>
      <c r="N740" s="33"/>
      <c r="O740" s="33"/>
      <c r="P740" s="33"/>
      <c r="Q740" s="28"/>
      <c r="R740" s="28"/>
      <c r="S740" s="28"/>
      <c r="T740" s="28"/>
      <c r="U740" s="28"/>
      <c r="V740" s="28"/>
      <c r="W740" s="28"/>
      <c r="X740" s="28"/>
      <c r="Y740" s="28"/>
      <c r="Z740" s="28"/>
      <c r="AA740" s="28"/>
    </row>
    <row r="741" ht="18.75" customHeight="1">
      <c r="A741" s="28"/>
      <c r="B741" s="28"/>
      <c r="C741" s="28"/>
      <c r="D741" s="28"/>
      <c r="E741" s="28"/>
      <c r="F741" s="28"/>
      <c r="G741" s="28"/>
      <c r="H741" s="28"/>
      <c r="I741" s="28"/>
      <c r="J741" s="28"/>
      <c r="K741" s="28"/>
      <c r="L741" s="28"/>
      <c r="M741" s="33"/>
      <c r="N741" s="33"/>
      <c r="O741" s="33"/>
      <c r="P741" s="33"/>
      <c r="Q741" s="28"/>
      <c r="R741" s="28"/>
      <c r="S741" s="28"/>
      <c r="T741" s="28"/>
      <c r="U741" s="28"/>
      <c r="V741" s="28"/>
      <c r="W741" s="28"/>
      <c r="X741" s="28"/>
      <c r="Y741" s="28"/>
      <c r="Z741" s="28"/>
      <c r="AA741" s="28"/>
    </row>
    <row r="742" ht="18.75" customHeight="1">
      <c r="A742" s="28"/>
      <c r="B742" s="28"/>
      <c r="C742" s="28"/>
      <c r="D742" s="28"/>
      <c r="E742" s="28"/>
      <c r="F742" s="28"/>
      <c r="G742" s="28"/>
      <c r="H742" s="28"/>
      <c r="I742" s="28"/>
      <c r="J742" s="28"/>
      <c r="K742" s="28"/>
      <c r="L742" s="28"/>
      <c r="M742" s="33"/>
      <c r="N742" s="33"/>
      <c r="O742" s="33"/>
      <c r="P742" s="33"/>
      <c r="Q742" s="28"/>
      <c r="R742" s="28"/>
      <c r="S742" s="28"/>
      <c r="T742" s="28"/>
      <c r="U742" s="28"/>
      <c r="V742" s="28"/>
      <c r="W742" s="28"/>
      <c r="X742" s="28"/>
      <c r="Y742" s="28"/>
      <c r="Z742" s="28"/>
      <c r="AA742" s="28"/>
    </row>
    <row r="743" ht="18.75" customHeight="1">
      <c r="A743" s="28"/>
      <c r="B743" s="28"/>
      <c r="C743" s="28"/>
      <c r="D743" s="28"/>
      <c r="E743" s="28"/>
      <c r="F743" s="28"/>
      <c r="G743" s="28"/>
      <c r="H743" s="28"/>
      <c r="I743" s="28"/>
      <c r="J743" s="28"/>
      <c r="K743" s="28"/>
      <c r="L743" s="28"/>
      <c r="M743" s="33"/>
      <c r="N743" s="33"/>
      <c r="O743" s="33"/>
      <c r="P743" s="33"/>
      <c r="Q743" s="28"/>
      <c r="R743" s="28"/>
      <c r="S743" s="28"/>
      <c r="T743" s="28"/>
      <c r="U743" s="28"/>
      <c r="V743" s="28"/>
      <c r="W743" s="28"/>
      <c r="X743" s="28"/>
      <c r="Y743" s="28"/>
      <c r="Z743" s="28"/>
      <c r="AA743" s="28"/>
    </row>
    <row r="744" ht="18.75" customHeight="1">
      <c r="A744" s="28"/>
      <c r="B744" s="28"/>
      <c r="C744" s="28"/>
      <c r="D744" s="28"/>
      <c r="E744" s="28"/>
      <c r="F744" s="28"/>
      <c r="G744" s="28"/>
      <c r="H744" s="28"/>
      <c r="I744" s="28"/>
      <c r="J744" s="28"/>
      <c r="K744" s="28"/>
      <c r="L744" s="28"/>
      <c r="M744" s="33"/>
      <c r="N744" s="33"/>
      <c r="O744" s="33"/>
      <c r="P744" s="33"/>
      <c r="Q744" s="28"/>
      <c r="R744" s="28"/>
      <c r="S744" s="28"/>
      <c r="T744" s="28"/>
      <c r="U744" s="28"/>
      <c r="V744" s="28"/>
      <c r="W744" s="28"/>
      <c r="X744" s="28"/>
      <c r="Y744" s="28"/>
      <c r="Z744" s="28"/>
      <c r="AA744" s="28"/>
    </row>
    <row r="745" ht="18.75" customHeight="1">
      <c r="A745" s="28"/>
      <c r="B745" s="28"/>
      <c r="C745" s="28"/>
      <c r="D745" s="28"/>
      <c r="E745" s="28"/>
      <c r="F745" s="28"/>
      <c r="G745" s="28"/>
      <c r="H745" s="28"/>
      <c r="I745" s="28"/>
      <c r="J745" s="28"/>
      <c r="K745" s="28"/>
      <c r="L745" s="28"/>
      <c r="M745" s="33"/>
      <c r="N745" s="33"/>
      <c r="O745" s="33"/>
      <c r="P745" s="33"/>
      <c r="Q745" s="28"/>
      <c r="R745" s="28"/>
      <c r="S745" s="28"/>
      <c r="T745" s="28"/>
      <c r="U745" s="28"/>
      <c r="V745" s="28"/>
      <c r="W745" s="28"/>
      <c r="X745" s="28"/>
      <c r="Y745" s="28"/>
      <c r="Z745" s="28"/>
      <c r="AA745" s="28"/>
    </row>
    <row r="746" ht="18.75" customHeight="1">
      <c r="A746" s="28"/>
      <c r="B746" s="28"/>
      <c r="C746" s="28"/>
      <c r="D746" s="28"/>
      <c r="E746" s="28"/>
      <c r="F746" s="28"/>
      <c r="G746" s="28"/>
      <c r="H746" s="28"/>
      <c r="I746" s="28"/>
      <c r="J746" s="28"/>
      <c r="K746" s="28"/>
      <c r="L746" s="28"/>
      <c r="M746" s="33"/>
      <c r="N746" s="33"/>
      <c r="O746" s="33"/>
      <c r="P746" s="33"/>
      <c r="Q746" s="28"/>
      <c r="R746" s="28"/>
      <c r="S746" s="28"/>
      <c r="T746" s="28"/>
      <c r="U746" s="28"/>
      <c r="V746" s="28"/>
      <c r="W746" s="28"/>
      <c r="X746" s="28"/>
      <c r="Y746" s="28"/>
      <c r="Z746" s="28"/>
      <c r="AA746" s="28"/>
    </row>
    <row r="747" ht="18.75" customHeight="1">
      <c r="A747" s="28"/>
      <c r="B747" s="28"/>
      <c r="C747" s="28"/>
      <c r="D747" s="28"/>
      <c r="E747" s="28"/>
      <c r="F747" s="28"/>
      <c r="G747" s="28"/>
      <c r="H747" s="28"/>
      <c r="I747" s="28"/>
      <c r="J747" s="28"/>
      <c r="K747" s="28"/>
      <c r="L747" s="28"/>
      <c r="M747" s="33"/>
      <c r="N747" s="33"/>
      <c r="O747" s="33"/>
      <c r="P747" s="33"/>
      <c r="Q747" s="28"/>
      <c r="R747" s="28"/>
      <c r="S747" s="28"/>
      <c r="T747" s="28"/>
      <c r="U747" s="28"/>
      <c r="V747" s="28"/>
      <c r="W747" s="28"/>
      <c r="X747" s="28"/>
      <c r="Y747" s="28"/>
      <c r="Z747" s="28"/>
      <c r="AA747" s="28"/>
    </row>
    <row r="748" ht="18.75" customHeight="1">
      <c r="A748" s="28"/>
      <c r="B748" s="28"/>
      <c r="C748" s="28"/>
      <c r="D748" s="28"/>
      <c r="E748" s="28"/>
      <c r="F748" s="28"/>
      <c r="G748" s="28"/>
      <c r="H748" s="28"/>
      <c r="I748" s="28"/>
      <c r="J748" s="28"/>
      <c r="K748" s="28"/>
      <c r="L748" s="28"/>
      <c r="M748" s="33"/>
      <c r="N748" s="33"/>
      <c r="O748" s="33"/>
      <c r="P748" s="33"/>
      <c r="Q748" s="28"/>
      <c r="R748" s="28"/>
      <c r="S748" s="28"/>
      <c r="T748" s="28"/>
      <c r="U748" s="28"/>
      <c r="V748" s="28"/>
      <c r="W748" s="28"/>
      <c r="X748" s="28"/>
      <c r="Y748" s="28"/>
      <c r="Z748" s="28"/>
      <c r="AA748" s="28"/>
    </row>
    <row r="749" ht="18.75" customHeight="1">
      <c r="A749" s="28"/>
      <c r="B749" s="28"/>
      <c r="C749" s="28"/>
      <c r="D749" s="28"/>
      <c r="E749" s="28"/>
      <c r="F749" s="28"/>
      <c r="G749" s="28"/>
      <c r="H749" s="28"/>
      <c r="I749" s="28"/>
      <c r="J749" s="28"/>
      <c r="K749" s="28"/>
      <c r="L749" s="28"/>
      <c r="M749" s="33"/>
      <c r="N749" s="33"/>
      <c r="O749" s="33"/>
      <c r="P749" s="33"/>
      <c r="Q749" s="28"/>
      <c r="R749" s="28"/>
      <c r="S749" s="28"/>
      <c r="T749" s="28"/>
      <c r="U749" s="28"/>
      <c r="V749" s="28"/>
      <c r="W749" s="28"/>
      <c r="X749" s="28"/>
      <c r="Y749" s="28"/>
      <c r="Z749" s="28"/>
      <c r="AA749" s="28"/>
    </row>
    <row r="750" ht="18.75" customHeight="1">
      <c r="A750" s="28"/>
      <c r="B750" s="28"/>
      <c r="C750" s="28"/>
      <c r="D750" s="28"/>
      <c r="E750" s="28"/>
      <c r="F750" s="28"/>
      <c r="G750" s="28"/>
      <c r="H750" s="28"/>
      <c r="I750" s="28"/>
      <c r="J750" s="28"/>
      <c r="K750" s="28"/>
      <c r="L750" s="28"/>
      <c r="M750" s="33"/>
      <c r="N750" s="33"/>
      <c r="O750" s="33"/>
      <c r="P750" s="33"/>
      <c r="Q750" s="28"/>
      <c r="R750" s="28"/>
      <c r="S750" s="28"/>
      <c r="T750" s="28"/>
      <c r="U750" s="28"/>
      <c r="V750" s="28"/>
      <c r="W750" s="28"/>
      <c r="X750" s="28"/>
      <c r="Y750" s="28"/>
      <c r="Z750" s="28"/>
      <c r="AA750" s="28"/>
    </row>
    <row r="751" ht="18.75" customHeight="1">
      <c r="A751" s="28"/>
      <c r="B751" s="28"/>
      <c r="C751" s="28"/>
      <c r="D751" s="28"/>
      <c r="E751" s="28"/>
      <c r="F751" s="28"/>
      <c r="G751" s="28"/>
      <c r="H751" s="28"/>
      <c r="I751" s="28"/>
      <c r="J751" s="28"/>
      <c r="K751" s="28"/>
      <c r="L751" s="28"/>
      <c r="M751" s="33"/>
      <c r="N751" s="33"/>
      <c r="O751" s="33"/>
      <c r="P751" s="33"/>
      <c r="Q751" s="28"/>
      <c r="R751" s="28"/>
      <c r="S751" s="28"/>
      <c r="T751" s="28"/>
      <c r="U751" s="28"/>
      <c r="V751" s="28"/>
      <c r="W751" s="28"/>
      <c r="X751" s="28"/>
      <c r="Y751" s="28"/>
      <c r="Z751" s="28"/>
      <c r="AA751" s="28"/>
    </row>
    <row r="752" ht="18.75" customHeight="1">
      <c r="A752" s="28"/>
      <c r="B752" s="28"/>
      <c r="C752" s="28"/>
      <c r="D752" s="28"/>
      <c r="E752" s="28"/>
      <c r="F752" s="28"/>
      <c r="G752" s="28"/>
      <c r="H752" s="28"/>
      <c r="I752" s="28"/>
      <c r="J752" s="28"/>
      <c r="K752" s="28"/>
      <c r="L752" s="28"/>
      <c r="M752" s="33"/>
      <c r="N752" s="33"/>
      <c r="O752" s="33"/>
      <c r="P752" s="33"/>
      <c r="Q752" s="28"/>
      <c r="R752" s="28"/>
      <c r="S752" s="28"/>
      <c r="T752" s="28"/>
      <c r="U752" s="28"/>
      <c r="V752" s="28"/>
      <c r="W752" s="28"/>
      <c r="X752" s="28"/>
      <c r="Y752" s="28"/>
      <c r="Z752" s="28"/>
      <c r="AA752" s="28"/>
    </row>
    <row r="753" ht="18.75" customHeight="1">
      <c r="A753" s="28"/>
      <c r="B753" s="28"/>
      <c r="C753" s="28"/>
      <c r="D753" s="28"/>
      <c r="E753" s="28"/>
      <c r="F753" s="28"/>
      <c r="G753" s="28"/>
      <c r="H753" s="28"/>
      <c r="I753" s="28"/>
      <c r="J753" s="28"/>
      <c r="K753" s="28"/>
      <c r="L753" s="28"/>
      <c r="M753" s="33"/>
      <c r="N753" s="33"/>
      <c r="O753" s="33"/>
      <c r="P753" s="33"/>
      <c r="Q753" s="28"/>
      <c r="R753" s="28"/>
      <c r="S753" s="28"/>
      <c r="T753" s="28"/>
      <c r="U753" s="28"/>
      <c r="V753" s="28"/>
      <c r="W753" s="28"/>
      <c r="X753" s="28"/>
      <c r="Y753" s="28"/>
      <c r="Z753" s="28"/>
      <c r="AA753" s="28"/>
    </row>
    <row r="754" ht="18.75" customHeight="1">
      <c r="A754" s="28"/>
      <c r="B754" s="28"/>
      <c r="C754" s="28"/>
      <c r="D754" s="28"/>
      <c r="E754" s="28"/>
      <c r="F754" s="28"/>
      <c r="G754" s="28"/>
      <c r="H754" s="28"/>
      <c r="I754" s="28"/>
      <c r="J754" s="28"/>
      <c r="K754" s="28"/>
      <c r="L754" s="28"/>
      <c r="M754" s="33"/>
      <c r="N754" s="33"/>
      <c r="O754" s="33"/>
      <c r="P754" s="33"/>
      <c r="Q754" s="28"/>
      <c r="R754" s="28"/>
      <c r="S754" s="28"/>
      <c r="T754" s="28"/>
      <c r="U754" s="28"/>
      <c r="V754" s="28"/>
      <c r="W754" s="28"/>
      <c r="X754" s="28"/>
      <c r="Y754" s="28"/>
      <c r="Z754" s="28"/>
      <c r="AA754" s="28"/>
    </row>
    <row r="755" ht="18.75" customHeight="1">
      <c r="A755" s="28"/>
      <c r="B755" s="28"/>
      <c r="C755" s="28"/>
      <c r="D755" s="28"/>
      <c r="E755" s="28"/>
      <c r="F755" s="28"/>
      <c r="G755" s="28"/>
      <c r="H755" s="28"/>
      <c r="I755" s="28"/>
      <c r="J755" s="28"/>
      <c r="K755" s="28"/>
      <c r="L755" s="28"/>
      <c r="M755" s="33"/>
      <c r="N755" s="33"/>
      <c r="O755" s="33"/>
      <c r="P755" s="33"/>
      <c r="Q755" s="28"/>
      <c r="R755" s="28"/>
      <c r="S755" s="28"/>
      <c r="T755" s="28"/>
      <c r="U755" s="28"/>
      <c r="V755" s="28"/>
      <c r="W755" s="28"/>
      <c r="X755" s="28"/>
      <c r="Y755" s="28"/>
      <c r="Z755" s="28"/>
      <c r="AA755" s="28"/>
    </row>
    <row r="756" ht="18.75" customHeight="1">
      <c r="A756" s="28"/>
      <c r="B756" s="28"/>
      <c r="C756" s="28"/>
      <c r="D756" s="28"/>
      <c r="E756" s="28"/>
      <c r="F756" s="28"/>
      <c r="G756" s="28"/>
      <c r="H756" s="28"/>
      <c r="I756" s="28"/>
      <c r="J756" s="28"/>
      <c r="K756" s="28"/>
      <c r="L756" s="28"/>
      <c r="M756" s="33"/>
      <c r="N756" s="33"/>
      <c r="O756" s="33"/>
      <c r="P756" s="33"/>
      <c r="Q756" s="28"/>
      <c r="R756" s="28"/>
      <c r="S756" s="28"/>
      <c r="T756" s="28"/>
      <c r="U756" s="28"/>
      <c r="V756" s="28"/>
      <c r="W756" s="28"/>
      <c r="X756" s="28"/>
      <c r="Y756" s="28"/>
      <c r="Z756" s="28"/>
      <c r="AA756" s="28"/>
    </row>
    <row r="757" ht="18.75" customHeight="1">
      <c r="A757" s="28"/>
      <c r="B757" s="28"/>
      <c r="C757" s="28"/>
      <c r="D757" s="28"/>
      <c r="E757" s="28"/>
      <c r="F757" s="28"/>
      <c r="G757" s="28"/>
      <c r="H757" s="28"/>
      <c r="I757" s="28"/>
      <c r="J757" s="28"/>
      <c r="K757" s="28"/>
      <c r="L757" s="28"/>
      <c r="M757" s="33"/>
      <c r="N757" s="33"/>
      <c r="O757" s="33"/>
      <c r="P757" s="33"/>
      <c r="Q757" s="28"/>
      <c r="R757" s="28"/>
      <c r="S757" s="28"/>
      <c r="T757" s="28"/>
      <c r="U757" s="28"/>
      <c r="V757" s="28"/>
      <c r="W757" s="28"/>
      <c r="X757" s="28"/>
      <c r="Y757" s="28"/>
      <c r="Z757" s="28"/>
      <c r="AA757" s="28"/>
    </row>
    <row r="758" ht="18.75" customHeight="1">
      <c r="A758" s="28"/>
      <c r="B758" s="28"/>
      <c r="C758" s="28"/>
      <c r="D758" s="28"/>
      <c r="E758" s="28"/>
      <c r="F758" s="28"/>
      <c r="G758" s="28"/>
      <c r="H758" s="28"/>
      <c r="I758" s="28"/>
      <c r="J758" s="28"/>
      <c r="K758" s="28"/>
      <c r="L758" s="28"/>
      <c r="M758" s="33"/>
      <c r="N758" s="33"/>
      <c r="O758" s="33"/>
      <c r="P758" s="33"/>
      <c r="Q758" s="28"/>
      <c r="R758" s="28"/>
      <c r="S758" s="28"/>
      <c r="T758" s="28"/>
      <c r="U758" s="28"/>
      <c r="V758" s="28"/>
      <c r="W758" s="28"/>
      <c r="X758" s="28"/>
      <c r="Y758" s="28"/>
      <c r="Z758" s="28"/>
      <c r="AA758" s="28"/>
    </row>
    <row r="759" ht="18.75" customHeight="1">
      <c r="A759" s="28"/>
      <c r="B759" s="28"/>
      <c r="C759" s="28"/>
      <c r="D759" s="28"/>
      <c r="E759" s="28"/>
      <c r="F759" s="28"/>
      <c r="G759" s="28"/>
      <c r="H759" s="28"/>
      <c r="I759" s="28"/>
      <c r="J759" s="28"/>
      <c r="K759" s="28"/>
      <c r="L759" s="28"/>
      <c r="M759" s="33"/>
      <c r="N759" s="33"/>
      <c r="O759" s="33"/>
      <c r="P759" s="33"/>
      <c r="Q759" s="28"/>
      <c r="R759" s="28"/>
      <c r="S759" s="28"/>
      <c r="T759" s="28"/>
      <c r="U759" s="28"/>
      <c r="V759" s="28"/>
      <c r="W759" s="28"/>
      <c r="X759" s="28"/>
      <c r="Y759" s="28"/>
      <c r="Z759" s="28"/>
      <c r="AA759" s="28"/>
    </row>
    <row r="760" ht="18.75" customHeight="1">
      <c r="A760" s="28"/>
      <c r="B760" s="28"/>
      <c r="C760" s="28"/>
      <c r="D760" s="28"/>
      <c r="E760" s="28"/>
      <c r="F760" s="28"/>
      <c r="G760" s="28"/>
      <c r="H760" s="28"/>
      <c r="I760" s="28"/>
      <c r="J760" s="28"/>
      <c r="K760" s="28"/>
      <c r="L760" s="28"/>
      <c r="M760" s="33"/>
      <c r="N760" s="33"/>
      <c r="O760" s="33"/>
      <c r="P760" s="33"/>
      <c r="Q760" s="28"/>
      <c r="R760" s="28"/>
      <c r="S760" s="28"/>
      <c r="T760" s="28"/>
      <c r="U760" s="28"/>
      <c r="V760" s="28"/>
      <c r="W760" s="28"/>
      <c r="X760" s="28"/>
      <c r="Y760" s="28"/>
      <c r="Z760" s="28"/>
      <c r="AA760" s="28"/>
    </row>
    <row r="761" ht="18.75" customHeight="1">
      <c r="A761" s="28"/>
      <c r="B761" s="28"/>
      <c r="C761" s="28"/>
      <c r="D761" s="28"/>
      <c r="E761" s="28"/>
      <c r="F761" s="28"/>
      <c r="G761" s="28"/>
      <c r="H761" s="28"/>
      <c r="I761" s="28"/>
      <c r="J761" s="28"/>
      <c r="K761" s="28"/>
      <c r="L761" s="28"/>
      <c r="M761" s="33"/>
      <c r="N761" s="33"/>
      <c r="O761" s="33"/>
      <c r="P761" s="33"/>
      <c r="Q761" s="28"/>
      <c r="R761" s="28"/>
      <c r="S761" s="28"/>
      <c r="T761" s="28"/>
      <c r="U761" s="28"/>
      <c r="V761" s="28"/>
      <c r="W761" s="28"/>
      <c r="X761" s="28"/>
      <c r="Y761" s="28"/>
      <c r="Z761" s="28"/>
      <c r="AA761" s="28"/>
    </row>
    <row r="762" ht="18.75" customHeight="1">
      <c r="A762" s="28"/>
      <c r="B762" s="28"/>
      <c r="C762" s="28"/>
      <c r="D762" s="28"/>
      <c r="E762" s="28"/>
      <c r="F762" s="28"/>
      <c r="G762" s="28"/>
      <c r="H762" s="28"/>
      <c r="I762" s="28"/>
      <c r="J762" s="28"/>
      <c r="K762" s="28"/>
      <c r="L762" s="28"/>
      <c r="M762" s="33"/>
      <c r="N762" s="33"/>
      <c r="O762" s="33"/>
      <c r="P762" s="33"/>
      <c r="Q762" s="28"/>
      <c r="R762" s="28"/>
      <c r="S762" s="28"/>
      <c r="T762" s="28"/>
      <c r="U762" s="28"/>
      <c r="V762" s="28"/>
      <c r="W762" s="28"/>
      <c r="X762" s="28"/>
      <c r="Y762" s="28"/>
      <c r="Z762" s="28"/>
      <c r="AA762" s="28"/>
    </row>
    <row r="763" ht="18.75" customHeight="1">
      <c r="A763" s="28"/>
      <c r="B763" s="28"/>
      <c r="C763" s="28"/>
      <c r="D763" s="28"/>
      <c r="E763" s="28"/>
      <c r="F763" s="28"/>
      <c r="G763" s="28"/>
      <c r="H763" s="28"/>
      <c r="I763" s="28"/>
      <c r="J763" s="28"/>
      <c r="K763" s="28"/>
      <c r="L763" s="28"/>
      <c r="M763" s="33"/>
      <c r="N763" s="33"/>
      <c r="O763" s="33"/>
      <c r="P763" s="33"/>
      <c r="Q763" s="28"/>
      <c r="R763" s="28"/>
      <c r="S763" s="28"/>
      <c r="T763" s="28"/>
      <c r="U763" s="28"/>
      <c r="V763" s="28"/>
      <c r="W763" s="28"/>
      <c r="X763" s="28"/>
      <c r="Y763" s="28"/>
      <c r="Z763" s="28"/>
      <c r="AA763" s="28"/>
    </row>
    <row r="764" ht="18.75" customHeight="1">
      <c r="A764" s="28"/>
      <c r="B764" s="28"/>
      <c r="C764" s="28"/>
      <c r="D764" s="28"/>
      <c r="E764" s="28"/>
      <c r="F764" s="28"/>
      <c r="G764" s="28"/>
      <c r="H764" s="28"/>
      <c r="I764" s="28"/>
      <c r="J764" s="28"/>
      <c r="K764" s="28"/>
      <c r="L764" s="28"/>
      <c r="M764" s="33"/>
      <c r="N764" s="33"/>
      <c r="O764" s="33"/>
      <c r="P764" s="33"/>
      <c r="Q764" s="28"/>
      <c r="R764" s="28"/>
      <c r="S764" s="28"/>
      <c r="T764" s="28"/>
      <c r="U764" s="28"/>
      <c r="V764" s="28"/>
      <c r="W764" s="28"/>
      <c r="X764" s="28"/>
      <c r="Y764" s="28"/>
      <c r="Z764" s="28"/>
      <c r="AA764" s="28"/>
    </row>
    <row r="765" ht="18.75" customHeight="1">
      <c r="A765" s="28"/>
      <c r="B765" s="28"/>
      <c r="C765" s="28"/>
      <c r="D765" s="28"/>
      <c r="E765" s="28"/>
      <c r="F765" s="28"/>
      <c r="G765" s="28"/>
      <c r="H765" s="28"/>
      <c r="I765" s="28"/>
      <c r="J765" s="28"/>
      <c r="K765" s="28"/>
      <c r="L765" s="28"/>
      <c r="M765" s="33"/>
      <c r="N765" s="33"/>
      <c r="O765" s="33"/>
      <c r="P765" s="33"/>
      <c r="Q765" s="28"/>
      <c r="R765" s="28"/>
      <c r="S765" s="28"/>
      <c r="T765" s="28"/>
      <c r="U765" s="28"/>
      <c r="V765" s="28"/>
      <c r="W765" s="28"/>
      <c r="X765" s="28"/>
      <c r="Y765" s="28"/>
      <c r="Z765" s="28"/>
      <c r="AA765" s="28"/>
    </row>
    <row r="766" ht="18.75" customHeight="1">
      <c r="A766" s="28"/>
      <c r="B766" s="28"/>
      <c r="C766" s="28"/>
      <c r="D766" s="28"/>
      <c r="E766" s="28"/>
      <c r="F766" s="28"/>
      <c r="G766" s="28"/>
      <c r="H766" s="28"/>
      <c r="I766" s="28"/>
      <c r="J766" s="28"/>
      <c r="K766" s="28"/>
      <c r="L766" s="28"/>
      <c r="M766" s="33"/>
      <c r="N766" s="33"/>
      <c r="O766" s="33"/>
      <c r="P766" s="33"/>
      <c r="Q766" s="28"/>
      <c r="R766" s="28"/>
      <c r="S766" s="28"/>
      <c r="T766" s="28"/>
      <c r="U766" s="28"/>
      <c r="V766" s="28"/>
      <c r="W766" s="28"/>
      <c r="X766" s="28"/>
      <c r="Y766" s="28"/>
      <c r="Z766" s="28"/>
      <c r="AA766" s="28"/>
    </row>
    <row r="767" ht="18.75" customHeight="1">
      <c r="A767" s="28"/>
      <c r="B767" s="28"/>
      <c r="C767" s="28"/>
      <c r="D767" s="28"/>
      <c r="E767" s="28"/>
      <c r="F767" s="28"/>
      <c r="G767" s="28"/>
      <c r="H767" s="28"/>
      <c r="I767" s="28"/>
      <c r="J767" s="28"/>
      <c r="K767" s="28"/>
      <c r="L767" s="28"/>
      <c r="M767" s="33"/>
      <c r="N767" s="33"/>
      <c r="O767" s="33"/>
      <c r="P767" s="33"/>
      <c r="Q767" s="28"/>
      <c r="R767" s="28"/>
      <c r="S767" s="28"/>
      <c r="T767" s="28"/>
      <c r="U767" s="28"/>
      <c r="V767" s="28"/>
      <c r="W767" s="28"/>
      <c r="X767" s="28"/>
      <c r="Y767" s="28"/>
      <c r="Z767" s="28"/>
      <c r="AA767" s="28"/>
    </row>
    <row r="768" ht="18.75" customHeight="1">
      <c r="A768" s="28"/>
      <c r="B768" s="28"/>
      <c r="C768" s="28"/>
      <c r="D768" s="28"/>
      <c r="E768" s="28"/>
      <c r="F768" s="28"/>
      <c r="G768" s="28"/>
      <c r="H768" s="28"/>
      <c r="I768" s="28"/>
      <c r="J768" s="28"/>
      <c r="K768" s="28"/>
      <c r="L768" s="28"/>
      <c r="M768" s="33"/>
      <c r="N768" s="33"/>
      <c r="O768" s="33"/>
      <c r="P768" s="33"/>
      <c r="Q768" s="28"/>
      <c r="R768" s="28"/>
      <c r="S768" s="28"/>
      <c r="T768" s="28"/>
      <c r="U768" s="28"/>
      <c r="V768" s="28"/>
      <c r="W768" s="28"/>
      <c r="X768" s="28"/>
      <c r="Y768" s="28"/>
      <c r="Z768" s="28"/>
      <c r="AA768" s="28"/>
    </row>
    <row r="769" ht="18.75" customHeight="1">
      <c r="A769" s="28"/>
      <c r="B769" s="28"/>
      <c r="C769" s="28"/>
      <c r="D769" s="28"/>
      <c r="E769" s="28"/>
      <c r="F769" s="28"/>
      <c r="G769" s="28"/>
      <c r="H769" s="28"/>
      <c r="I769" s="28"/>
      <c r="J769" s="28"/>
      <c r="K769" s="28"/>
      <c r="L769" s="28"/>
      <c r="M769" s="33"/>
      <c r="N769" s="33"/>
      <c r="O769" s="33"/>
      <c r="P769" s="33"/>
      <c r="Q769" s="28"/>
      <c r="R769" s="28"/>
      <c r="S769" s="28"/>
      <c r="T769" s="28"/>
      <c r="U769" s="28"/>
      <c r="V769" s="28"/>
      <c r="W769" s="28"/>
      <c r="X769" s="28"/>
      <c r="Y769" s="28"/>
      <c r="Z769" s="28"/>
      <c r="AA769" s="28"/>
    </row>
    <row r="770" ht="18.75" customHeight="1">
      <c r="A770" s="28"/>
      <c r="B770" s="28"/>
      <c r="C770" s="28"/>
      <c r="D770" s="28"/>
      <c r="E770" s="28"/>
      <c r="F770" s="28"/>
      <c r="G770" s="28"/>
      <c r="H770" s="28"/>
      <c r="I770" s="28"/>
      <c r="J770" s="28"/>
      <c r="K770" s="28"/>
      <c r="L770" s="28"/>
      <c r="M770" s="33"/>
      <c r="N770" s="33"/>
      <c r="O770" s="33"/>
      <c r="P770" s="33"/>
      <c r="Q770" s="28"/>
      <c r="R770" s="28"/>
      <c r="S770" s="28"/>
      <c r="T770" s="28"/>
      <c r="U770" s="28"/>
      <c r="V770" s="28"/>
      <c r="W770" s="28"/>
      <c r="X770" s="28"/>
      <c r="Y770" s="28"/>
      <c r="Z770" s="28"/>
      <c r="AA770" s="28"/>
    </row>
    <row r="771" ht="18.75" customHeight="1">
      <c r="A771" s="28"/>
      <c r="B771" s="28"/>
      <c r="C771" s="28"/>
      <c r="D771" s="28"/>
      <c r="E771" s="28"/>
      <c r="F771" s="28"/>
      <c r="G771" s="28"/>
      <c r="H771" s="28"/>
      <c r="I771" s="28"/>
      <c r="J771" s="28"/>
      <c r="K771" s="28"/>
      <c r="L771" s="28"/>
      <c r="M771" s="33"/>
      <c r="N771" s="33"/>
      <c r="O771" s="33"/>
      <c r="P771" s="33"/>
      <c r="Q771" s="28"/>
      <c r="R771" s="28"/>
      <c r="S771" s="28"/>
      <c r="T771" s="28"/>
      <c r="U771" s="28"/>
      <c r="V771" s="28"/>
      <c r="W771" s="28"/>
      <c r="X771" s="28"/>
      <c r="Y771" s="28"/>
      <c r="Z771" s="28"/>
      <c r="AA771" s="28"/>
    </row>
    <row r="772" ht="18.75" customHeight="1">
      <c r="A772" s="28"/>
      <c r="B772" s="28"/>
      <c r="C772" s="28"/>
      <c r="D772" s="28"/>
      <c r="E772" s="28"/>
      <c r="F772" s="28"/>
      <c r="G772" s="28"/>
      <c r="H772" s="28"/>
      <c r="I772" s="28"/>
      <c r="J772" s="28"/>
      <c r="K772" s="28"/>
      <c r="L772" s="28"/>
      <c r="M772" s="33"/>
      <c r="N772" s="33"/>
      <c r="O772" s="33"/>
      <c r="P772" s="33"/>
      <c r="Q772" s="28"/>
      <c r="R772" s="28"/>
      <c r="S772" s="28"/>
      <c r="T772" s="28"/>
      <c r="U772" s="28"/>
      <c r="V772" s="28"/>
      <c r="W772" s="28"/>
      <c r="X772" s="28"/>
      <c r="Y772" s="28"/>
      <c r="Z772" s="28"/>
      <c r="AA772" s="28"/>
    </row>
    <row r="773" ht="18.75" customHeight="1">
      <c r="A773" s="28"/>
      <c r="B773" s="28"/>
      <c r="C773" s="28"/>
      <c r="D773" s="28"/>
      <c r="E773" s="28"/>
      <c r="F773" s="28"/>
      <c r="G773" s="28"/>
      <c r="H773" s="28"/>
      <c r="I773" s="28"/>
      <c r="J773" s="28"/>
      <c r="K773" s="28"/>
      <c r="L773" s="28"/>
      <c r="M773" s="33"/>
      <c r="N773" s="33"/>
      <c r="O773" s="33"/>
      <c r="P773" s="33"/>
      <c r="Q773" s="28"/>
      <c r="R773" s="28"/>
      <c r="S773" s="28"/>
      <c r="T773" s="28"/>
      <c r="U773" s="28"/>
      <c r="V773" s="28"/>
      <c r="W773" s="28"/>
      <c r="X773" s="28"/>
      <c r="Y773" s="28"/>
      <c r="Z773" s="28"/>
      <c r="AA773" s="28"/>
    </row>
    <row r="774" ht="18.75" customHeight="1">
      <c r="A774" s="28"/>
      <c r="B774" s="28"/>
      <c r="C774" s="28"/>
      <c r="D774" s="28"/>
      <c r="E774" s="28"/>
      <c r="F774" s="28"/>
      <c r="G774" s="28"/>
      <c r="H774" s="28"/>
      <c r="I774" s="28"/>
      <c r="J774" s="28"/>
      <c r="K774" s="28"/>
      <c r="L774" s="28"/>
      <c r="M774" s="33"/>
      <c r="N774" s="33"/>
      <c r="O774" s="33"/>
      <c r="P774" s="33"/>
      <c r="Q774" s="28"/>
      <c r="R774" s="28"/>
      <c r="S774" s="28"/>
      <c r="T774" s="28"/>
      <c r="U774" s="28"/>
      <c r="V774" s="28"/>
      <c r="W774" s="28"/>
      <c r="X774" s="28"/>
      <c r="Y774" s="28"/>
      <c r="Z774" s="28"/>
      <c r="AA774" s="28"/>
    </row>
    <row r="775" ht="18.75" customHeight="1">
      <c r="A775" s="28"/>
      <c r="B775" s="28"/>
      <c r="C775" s="28"/>
      <c r="D775" s="28"/>
      <c r="E775" s="28"/>
      <c r="F775" s="28"/>
      <c r="G775" s="28"/>
      <c r="H775" s="28"/>
      <c r="I775" s="28"/>
      <c r="J775" s="28"/>
      <c r="K775" s="28"/>
      <c r="L775" s="28"/>
      <c r="M775" s="33"/>
      <c r="N775" s="33"/>
      <c r="O775" s="33"/>
      <c r="P775" s="33"/>
      <c r="Q775" s="28"/>
      <c r="R775" s="28"/>
      <c r="S775" s="28"/>
      <c r="T775" s="28"/>
      <c r="U775" s="28"/>
      <c r="V775" s="28"/>
      <c r="W775" s="28"/>
      <c r="X775" s="28"/>
      <c r="Y775" s="28"/>
      <c r="Z775" s="28"/>
      <c r="AA775" s="28"/>
    </row>
    <row r="776" ht="18.75" customHeight="1">
      <c r="A776" s="28"/>
      <c r="B776" s="28"/>
      <c r="C776" s="28"/>
      <c r="D776" s="28"/>
      <c r="E776" s="28"/>
      <c r="F776" s="28"/>
      <c r="G776" s="28"/>
      <c r="H776" s="28"/>
      <c r="I776" s="28"/>
      <c r="J776" s="28"/>
      <c r="K776" s="28"/>
      <c r="L776" s="28"/>
      <c r="M776" s="33"/>
      <c r="N776" s="33"/>
      <c r="O776" s="33"/>
      <c r="P776" s="33"/>
      <c r="Q776" s="28"/>
      <c r="R776" s="28"/>
      <c r="S776" s="28"/>
      <c r="T776" s="28"/>
      <c r="U776" s="28"/>
      <c r="V776" s="28"/>
      <c r="W776" s="28"/>
      <c r="X776" s="28"/>
      <c r="Y776" s="28"/>
      <c r="Z776" s="28"/>
      <c r="AA776" s="28"/>
    </row>
    <row r="777" ht="18.75" customHeight="1">
      <c r="A777" s="28"/>
      <c r="B777" s="28"/>
      <c r="C777" s="28"/>
      <c r="D777" s="28"/>
      <c r="E777" s="28"/>
      <c r="F777" s="28"/>
      <c r="G777" s="28"/>
      <c r="H777" s="28"/>
      <c r="I777" s="28"/>
      <c r="J777" s="28"/>
      <c r="K777" s="28"/>
      <c r="L777" s="28"/>
      <c r="M777" s="33"/>
      <c r="N777" s="33"/>
      <c r="O777" s="33"/>
      <c r="P777" s="33"/>
      <c r="Q777" s="28"/>
      <c r="R777" s="28"/>
      <c r="S777" s="28"/>
      <c r="T777" s="28"/>
      <c r="U777" s="28"/>
      <c r="V777" s="28"/>
      <c r="W777" s="28"/>
      <c r="X777" s="28"/>
      <c r="Y777" s="28"/>
      <c r="Z777" s="28"/>
      <c r="AA777" s="28"/>
    </row>
    <row r="778" ht="18.75" customHeight="1">
      <c r="A778" s="28"/>
      <c r="B778" s="28"/>
      <c r="C778" s="28"/>
      <c r="D778" s="28"/>
      <c r="E778" s="28"/>
      <c r="F778" s="28"/>
      <c r="G778" s="28"/>
      <c r="H778" s="28"/>
      <c r="I778" s="28"/>
      <c r="J778" s="28"/>
      <c r="K778" s="28"/>
      <c r="L778" s="28"/>
      <c r="M778" s="33"/>
      <c r="N778" s="33"/>
      <c r="O778" s="33"/>
      <c r="P778" s="33"/>
      <c r="Q778" s="28"/>
      <c r="R778" s="28"/>
      <c r="S778" s="28"/>
      <c r="T778" s="28"/>
      <c r="U778" s="28"/>
      <c r="V778" s="28"/>
      <c r="W778" s="28"/>
      <c r="X778" s="28"/>
      <c r="Y778" s="28"/>
      <c r="Z778" s="28"/>
      <c r="AA778" s="28"/>
    </row>
    <row r="779" ht="18.75" customHeight="1">
      <c r="A779" s="28"/>
      <c r="B779" s="28"/>
      <c r="C779" s="28"/>
      <c r="D779" s="28"/>
      <c r="E779" s="28"/>
      <c r="F779" s="28"/>
      <c r="G779" s="28"/>
      <c r="H779" s="28"/>
      <c r="I779" s="28"/>
      <c r="J779" s="28"/>
      <c r="K779" s="28"/>
      <c r="L779" s="28"/>
      <c r="M779" s="33"/>
      <c r="N779" s="33"/>
      <c r="O779" s="33"/>
      <c r="P779" s="33"/>
      <c r="Q779" s="28"/>
      <c r="R779" s="28"/>
      <c r="S779" s="28"/>
      <c r="T779" s="28"/>
      <c r="U779" s="28"/>
      <c r="V779" s="28"/>
      <c r="W779" s="28"/>
      <c r="X779" s="28"/>
      <c r="Y779" s="28"/>
      <c r="Z779" s="28"/>
      <c r="AA779" s="28"/>
    </row>
    <row r="780" ht="18.75" customHeight="1">
      <c r="A780" s="28"/>
      <c r="B780" s="28"/>
      <c r="C780" s="28"/>
      <c r="D780" s="28"/>
      <c r="E780" s="28"/>
      <c r="F780" s="28"/>
      <c r="G780" s="28"/>
      <c r="H780" s="28"/>
      <c r="I780" s="28"/>
      <c r="J780" s="28"/>
      <c r="K780" s="28"/>
      <c r="L780" s="28"/>
      <c r="M780" s="33"/>
      <c r="N780" s="33"/>
      <c r="O780" s="33"/>
      <c r="P780" s="33"/>
      <c r="Q780" s="28"/>
      <c r="R780" s="28"/>
      <c r="S780" s="28"/>
      <c r="T780" s="28"/>
      <c r="U780" s="28"/>
      <c r="V780" s="28"/>
      <c r="W780" s="28"/>
      <c r="X780" s="28"/>
      <c r="Y780" s="28"/>
      <c r="Z780" s="28"/>
      <c r="AA780" s="28"/>
    </row>
    <row r="781" ht="18.75" customHeight="1">
      <c r="A781" s="28"/>
      <c r="B781" s="28"/>
      <c r="C781" s="28"/>
      <c r="D781" s="28"/>
      <c r="E781" s="28"/>
      <c r="F781" s="28"/>
      <c r="G781" s="28"/>
      <c r="H781" s="28"/>
      <c r="I781" s="28"/>
      <c r="J781" s="28"/>
      <c r="K781" s="28"/>
      <c r="L781" s="28"/>
      <c r="M781" s="33"/>
      <c r="N781" s="33"/>
      <c r="O781" s="33"/>
      <c r="P781" s="33"/>
      <c r="Q781" s="28"/>
      <c r="R781" s="28"/>
      <c r="S781" s="28"/>
      <c r="T781" s="28"/>
      <c r="U781" s="28"/>
      <c r="V781" s="28"/>
      <c r="W781" s="28"/>
      <c r="X781" s="28"/>
      <c r="Y781" s="28"/>
      <c r="Z781" s="28"/>
      <c r="AA781" s="28"/>
    </row>
    <row r="782" ht="18.75" customHeight="1">
      <c r="A782" s="28"/>
      <c r="B782" s="28"/>
      <c r="C782" s="28"/>
      <c r="D782" s="28"/>
      <c r="E782" s="28"/>
      <c r="F782" s="28"/>
      <c r="G782" s="28"/>
      <c r="H782" s="28"/>
      <c r="I782" s="28"/>
      <c r="J782" s="28"/>
      <c r="K782" s="28"/>
      <c r="L782" s="28"/>
      <c r="M782" s="33"/>
      <c r="N782" s="33"/>
      <c r="O782" s="33"/>
      <c r="P782" s="33"/>
      <c r="Q782" s="28"/>
      <c r="R782" s="28"/>
      <c r="S782" s="28"/>
      <c r="T782" s="28"/>
      <c r="U782" s="28"/>
      <c r="V782" s="28"/>
      <c r="W782" s="28"/>
      <c r="X782" s="28"/>
      <c r="Y782" s="28"/>
      <c r="Z782" s="28"/>
      <c r="AA782" s="28"/>
    </row>
    <row r="783" ht="18.75" customHeight="1">
      <c r="A783" s="28"/>
      <c r="B783" s="28"/>
      <c r="C783" s="28"/>
      <c r="D783" s="28"/>
      <c r="E783" s="28"/>
      <c r="F783" s="28"/>
      <c r="G783" s="28"/>
      <c r="H783" s="28"/>
      <c r="I783" s="28"/>
      <c r="J783" s="28"/>
      <c r="K783" s="28"/>
      <c r="L783" s="28"/>
      <c r="M783" s="33"/>
      <c r="N783" s="33"/>
      <c r="O783" s="33"/>
      <c r="P783" s="33"/>
      <c r="Q783" s="28"/>
      <c r="R783" s="28"/>
      <c r="S783" s="28"/>
      <c r="T783" s="28"/>
      <c r="U783" s="28"/>
      <c r="V783" s="28"/>
      <c r="W783" s="28"/>
      <c r="X783" s="28"/>
      <c r="Y783" s="28"/>
      <c r="Z783" s="28"/>
      <c r="AA783" s="28"/>
    </row>
    <row r="784" ht="18.75" customHeight="1">
      <c r="A784" s="28"/>
      <c r="B784" s="28"/>
      <c r="C784" s="28"/>
      <c r="D784" s="28"/>
      <c r="E784" s="28"/>
      <c r="F784" s="28"/>
      <c r="G784" s="28"/>
      <c r="H784" s="28"/>
      <c r="I784" s="28"/>
      <c r="J784" s="28"/>
      <c r="K784" s="28"/>
      <c r="L784" s="28"/>
      <c r="M784" s="33"/>
      <c r="N784" s="33"/>
      <c r="O784" s="33"/>
      <c r="P784" s="33"/>
      <c r="Q784" s="28"/>
      <c r="R784" s="28"/>
      <c r="S784" s="28"/>
      <c r="T784" s="28"/>
      <c r="U784" s="28"/>
      <c r="V784" s="28"/>
      <c r="W784" s="28"/>
      <c r="X784" s="28"/>
      <c r="Y784" s="28"/>
      <c r="Z784" s="28"/>
      <c r="AA784" s="28"/>
    </row>
    <row r="785" ht="18.75" customHeight="1">
      <c r="A785" s="28"/>
      <c r="B785" s="28"/>
      <c r="C785" s="28"/>
      <c r="D785" s="28"/>
      <c r="E785" s="28"/>
      <c r="F785" s="28"/>
      <c r="G785" s="28"/>
      <c r="H785" s="28"/>
      <c r="I785" s="28"/>
      <c r="J785" s="28"/>
      <c r="K785" s="28"/>
      <c r="L785" s="28"/>
      <c r="M785" s="33"/>
      <c r="N785" s="33"/>
      <c r="O785" s="33"/>
      <c r="P785" s="33"/>
      <c r="Q785" s="28"/>
      <c r="R785" s="28"/>
      <c r="S785" s="28"/>
      <c r="T785" s="28"/>
      <c r="U785" s="28"/>
      <c r="V785" s="28"/>
      <c r="W785" s="28"/>
      <c r="X785" s="28"/>
      <c r="Y785" s="28"/>
      <c r="Z785" s="28"/>
      <c r="AA785" s="28"/>
    </row>
    <row r="786" ht="18.75" customHeight="1">
      <c r="A786" s="28"/>
      <c r="B786" s="28"/>
      <c r="C786" s="28"/>
      <c r="D786" s="28"/>
      <c r="E786" s="28"/>
      <c r="F786" s="28"/>
      <c r="G786" s="28"/>
      <c r="H786" s="28"/>
      <c r="I786" s="28"/>
      <c r="J786" s="28"/>
      <c r="K786" s="28"/>
      <c r="L786" s="28"/>
      <c r="M786" s="33"/>
      <c r="N786" s="33"/>
      <c r="O786" s="33"/>
      <c r="P786" s="33"/>
      <c r="Q786" s="28"/>
      <c r="R786" s="28"/>
      <c r="S786" s="28"/>
      <c r="T786" s="28"/>
      <c r="U786" s="28"/>
      <c r="V786" s="28"/>
      <c r="W786" s="28"/>
      <c r="X786" s="28"/>
      <c r="Y786" s="28"/>
      <c r="Z786" s="28"/>
      <c r="AA786" s="28"/>
    </row>
    <row r="787" ht="18.75" customHeight="1">
      <c r="A787" s="28"/>
      <c r="B787" s="28"/>
      <c r="C787" s="28"/>
      <c r="D787" s="28"/>
      <c r="E787" s="28"/>
      <c r="F787" s="28"/>
      <c r="G787" s="28"/>
      <c r="H787" s="28"/>
      <c r="I787" s="28"/>
      <c r="J787" s="28"/>
      <c r="K787" s="28"/>
      <c r="L787" s="28"/>
      <c r="M787" s="33"/>
      <c r="N787" s="33"/>
      <c r="O787" s="33"/>
      <c r="P787" s="33"/>
      <c r="Q787" s="28"/>
      <c r="R787" s="28"/>
      <c r="S787" s="28"/>
      <c r="T787" s="28"/>
      <c r="U787" s="28"/>
      <c r="V787" s="28"/>
      <c r="W787" s="28"/>
      <c r="X787" s="28"/>
      <c r="Y787" s="28"/>
      <c r="Z787" s="28"/>
      <c r="AA787" s="28"/>
    </row>
    <row r="788" ht="18.75" customHeight="1">
      <c r="A788" s="28"/>
      <c r="B788" s="28"/>
      <c r="C788" s="28"/>
      <c r="D788" s="28"/>
      <c r="E788" s="28"/>
      <c r="F788" s="28"/>
      <c r="G788" s="28"/>
      <c r="H788" s="28"/>
      <c r="I788" s="28"/>
      <c r="J788" s="28"/>
      <c r="K788" s="28"/>
      <c r="L788" s="28"/>
      <c r="M788" s="33"/>
      <c r="N788" s="33"/>
      <c r="O788" s="33"/>
      <c r="P788" s="33"/>
      <c r="Q788" s="28"/>
      <c r="R788" s="28"/>
      <c r="S788" s="28"/>
      <c r="T788" s="28"/>
      <c r="U788" s="28"/>
      <c r="V788" s="28"/>
      <c r="W788" s="28"/>
      <c r="X788" s="28"/>
      <c r="Y788" s="28"/>
      <c r="Z788" s="28"/>
      <c r="AA788" s="28"/>
    </row>
    <row r="789" ht="18.75" customHeight="1">
      <c r="A789" s="28"/>
      <c r="B789" s="28"/>
      <c r="C789" s="28"/>
      <c r="D789" s="28"/>
      <c r="E789" s="28"/>
      <c r="F789" s="28"/>
      <c r="G789" s="28"/>
      <c r="H789" s="28"/>
      <c r="I789" s="28"/>
      <c r="J789" s="28"/>
      <c r="K789" s="28"/>
      <c r="L789" s="28"/>
      <c r="M789" s="33"/>
      <c r="N789" s="33"/>
      <c r="O789" s="33"/>
      <c r="P789" s="33"/>
      <c r="Q789" s="28"/>
      <c r="R789" s="28"/>
      <c r="S789" s="28"/>
      <c r="T789" s="28"/>
      <c r="U789" s="28"/>
      <c r="V789" s="28"/>
      <c r="W789" s="28"/>
      <c r="X789" s="28"/>
      <c r="Y789" s="28"/>
      <c r="Z789" s="28"/>
      <c r="AA789" s="28"/>
    </row>
    <row r="790" ht="18.75" customHeight="1">
      <c r="A790" s="28"/>
      <c r="B790" s="28"/>
      <c r="C790" s="28"/>
      <c r="D790" s="28"/>
      <c r="E790" s="28"/>
      <c r="F790" s="28"/>
      <c r="G790" s="28"/>
      <c r="H790" s="28"/>
      <c r="I790" s="28"/>
      <c r="J790" s="28"/>
      <c r="K790" s="28"/>
      <c r="L790" s="28"/>
      <c r="M790" s="33"/>
      <c r="N790" s="33"/>
      <c r="O790" s="33"/>
      <c r="P790" s="33"/>
      <c r="Q790" s="28"/>
      <c r="R790" s="28"/>
      <c r="S790" s="28"/>
      <c r="T790" s="28"/>
      <c r="U790" s="28"/>
      <c r="V790" s="28"/>
      <c r="W790" s="28"/>
      <c r="X790" s="28"/>
      <c r="Y790" s="28"/>
      <c r="Z790" s="28"/>
      <c r="AA790" s="28"/>
    </row>
    <row r="791" ht="18.75" customHeight="1">
      <c r="A791" s="28"/>
      <c r="B791" s="28"/>
      <c r="C791" s="28"/>
      <c r="D791" s="28"/>
      <c r="E791" s="28"/>
      <c r="F791" s="28"/>
      <c r="G791" s="28"/>
      <c r="H791" s="28"/>
      <c r="I791" s="28"/>
      <c r="J791" s="28"/>
      <c r="K791" s="28"/>
      <c r="L791" s="28"/>
      <c r="M791" s="33"/>
      <c r="N791" s="33"/>
      <c r="O791" s="33"/>
      <c r="P791" s="33"/>
      <c r="Q791" s="28"/>
      <c r="R791" s="28"/>
      <c r="S791" s="28"/>
      <c r="T791" s="28"/>
      <c r="U791" s="28"/>
      <c r="V791" s="28"/>
      <c r="W791" s="28"/>
      <c r="X791" s="28"/>
      <c r="Y791" s="28"/>
      <c r="Z791" s="28"/>
      <c r="AA791" s="28"/>
    </row>
    <row r="792" ht="18.75" customHeight="1">
      <c r="A792" s="28"/>
      <c r="B792" s="28"/>
      <c r="C792" s="28"/>
      <c r="D792" s="28"/>
      <c r="E792" s="28"/>
      <c r="F792" s="28"/>
      <c r="G792" s="28"/>
      <c r="H792" s="28"/>
      <c r="I792" s="28"/>
      <c r="J792" s="28"/>
      <c r="K792" s="28"/>
      <c r="L792" s="28"/>
      <c r="M792" s="33"/>
      <c r="N792" s="33"/>
      <c r="O792" s="33"/>
      <c r="P792" s="33"/>
      <c r="Q792" s="28"/>
      <c r="R792" s="28"/>
      <c r="S792" s="28"/>
      <c r="T792" s="28"/>
      <c r="U792" s="28"/>
      <c r="V792" s="28"/>
      <c r="W792" s="28"/>
      <c r="X792" s="28"/>
      <c r="Y792" s="28"/>
      <c r="Z792" s="28"/>
      <c r="AA792" s="28"/>
    </row>
    <row r="793" ht="18.75" customHeight="1">
      <c r="A793" s="28"/>
      <c r="B793" s="28"/>
      <c r="C793" s="28"/>
      <c r="D793" s="28"/>
      <c r="E793" s="28"/>
      <c r="F793" s="28"/>
      <c r="G793" s="28"/>
      <c r="H793" s="28"/>
      <c r="I793" s="28"/>
      <c r="J793" s="28"/>
      <c r="K793" s="28"/>
      <c r="L793" s="28"/>
      <c r="M793" s="33"/>
      <c r="N793" s="33"/>
      <c r="O793" s="33"/>
      <c r="P793" s="33"/>
      <c r="Q793" s="28"/>
      <c r="R793" s="28"/>
      <c r="S793" s="28"/>
      <c r="T793" s="28"/>
      <c r="U793" s="28"/>
      <c r="V793" s="28"/>
      <c r="W793" s="28"/>
      <c r="X793" s="28"/>
      <c r="Y793" s="28"/>
      <c r="Z793" s="28"/>
      <c r="AA793" s="28"/>
    </row>
    <row r="794" ht="18.75" customHeight="1">
      <c r="A794" s="28"/>
      <c r="B794" s="28"/>
      <c r="C794" s="28"/>
      <c r="D794" s="28"/>
      <c r="E794" s="28"/>
      <c r="F794" s="28"/>
      <c r="G794" s="28"/>
      <c r="H794" s="28"/>
      <c r="I794" s="28"/>
      <c r="J794" s="28"/>
      <c r="K794" s="28"/>
      <c r="L794" s="28"/>
      <c r="M794" s="33"/>
      <c r="N794" s="33"/>
      <c r="O794" s="33"/>
      <c r="P794" s="33"/>
      <c r="Q794" s="28"/>
      <c r="R794" s="28"/>
      <c r="S794" s="28"/>
      <c r="T794" s="28"/>
      <c r="U794" s="28"/>
      <c r="V794" s="28"/>
      <c r="W794" s="28"/>
      <c r="X794" s="28"/>
      <c r="Y794" s="28"/>
      <c r="Z794" s="28"/>
      <c r="AA794" s="28"/>
    </row>
    <row r="795" ht="18.75" customHeight="1">
      <c r="A795" s="28"/>
      <c r="B795" s="28"/>
      <c r="C795" s="28"/>
      <c r="D795" s="28"/>
      <c r="E795" s="28"/>
      <c r="F795" s="28"/>
      <c r="G795" s="28"/>
      <c r="H795" s="28"/>
      <c r="I795" s="28"/>
      <c r="J795" s="28"/>
      <c r="K795" s="28"/>
      <c r="L795" s="28"/>
      <c r="M795" s="33"/>
      <c r="N795" s="33"/>
      <c r="O795" s="33"/>
      <c r="P795" s="33"/>
      <c r="Q795" s="28"/>
      <c r="R795" s="28"/>
      <c r="S795" s="28"/>
      <c r="T795" s="28"/>
      <c r="U795" s="28"/>
      <c r="V795" s="28"/>
      <c r="W795" s="28"/>
      <c r="X795" s="28"/>
      <c r="Y795" s="28"/>
      <c r="Z795" s="28"/>
      <c r="AA795" s="28"/>
    </row>
    <row r="796" ht="18.75" customHeight="1">
      <c r="A796" s="28"/>
      <c r="B796" s="28"/>
      <c r="C796" s="28"/>
      <c r="D796" s="28"/>
      <c r="E796" s="28"/>
      <c r="F796" s="28"/>
      <c r="G796" s="28"/>
      <c r="H796" s="28"/>
      <c r="I796" s="28"/>
      <c r="J796" s="28"/>
      <c r="K796" s="28"/>
      <c r="L796" s="28"/>
      <c r="M796" s="33"/>
      <c r="N796" s="33"/>
      <c r="O796" s="33"/>
      <c r="P796" s="33"/>
      <c r="Q796" s="28"/>
      <c r="R796" s="28"/>
      <c r="S796" s="28"/>
      <c r="T796" s="28"/>
      <c r="U796" s="28"/>
      <c r="V796" s="28"/>
      <c r="W796" s="28"/>
      <c r="X796" s="28"/>
      <c r="Y796" s="28"/>
      <c r="Z796" s="28"/>
      <c r="AA796" s="28"/>
    </row>
    <row r="797" ht="18.75" customHeight="1">
      <c r="A797" s="28"/>
      <c r="B797" s="28"/>
      <c r="C797" s="28"/>
      <c r="D797" s="28"/>
      <c r="E797" s="28"/>
      <c r="F797" s="28"/>
      <c r="G797" s="28"/>
      <c r="H797" s="28"/>
      <c r="I797" s="28"/>
      <c r="J797" s="28"/>
      <c r="K797" s="28"/>
      <c r="L797" s="28"/>
      <c r="M797" s="33"/>
      <c r="N797" s="33"/>
      <c r="O797" s="33"/>
      <c r="P797" s="33"/>
      <c r="Q797" s="28"/>
      <c r="R797" s="28"/>
      <c r="S797" s="28"/>
      <c r="T797" s="28"/>
      <c r="U797" s="28"/>
      <c r="V797" s="28"/>
      <c r="W797" s="28"/>
      <c r="X797" s="28"/>
      <c r="Y797" s="28"/>
      <c r="Z797" s="28"/>
      <c r="AA797" s="28"/>
    </row>
    <row r="798" ht="18.75" customHeight="1">
      <c r="A798" s="28"/>
      <c r="B798" s="28"/>
      <c r="C798" s="28"/>
      <c r="D798" s="28"/>
      <c r="E798" s="28"/>
      <c r="F798" s="28"/>
      <c r="G798" s="28"/>
      <c r="H798" s="28"/>
      <c r="I798" s="28"/>
      <c r="J798" s="28"/>
      <c r="K798" s="28"/>
      <c r="L798" s="28"/>
      <c r="M798" s="33"/>
      <c r="N798" s="33"/>
      <c r="O798" s="33"/>
      <c r="P798" s="33"/>
      <c r="Q798" s="28"/>
      <c r="R798" s="28"/>
      <c r="S798" s="28"/>
      <c r="T798" s="28"/>
      <c r="U798" s="28"/>
      <c r="V798" s="28"/>
      <c r="W798" s="28"/>
      <c r="X798" s="28"/>
      <c r="Y798" s="28"/>
      <c r="Z798" s="28"/>
      <c r="AA798" s="28"/>
    </row>
    <row r="799" ht="18.75" customHeight="1">
      <c r="A799" s="28"/>
      <c r="B799" s="28"/>
      <c r="C799" s="28"/>
      <c r="D799" s="28"/>
      <c r="E799" s="28"/>
      <c r="F799" s="28"/>
      <c r="G799" s="28"/>
      <c r="H799" s="28"/>
      <c r="I799" s="28"/>
      <c r="J799" s="28"/>
      <c r="K799" s="28"/>
      <c r="L799" s="28"/>
      <c r="M799" s="33"/>
      <c r="N799" s="33"/>
      <c r="O799" s="33"/>
      <c r="P799" s="33"/>
      <c r="Q799" s="28"/>
      <c r="R799" s="28"/>
      <c r="S799" s="28"/>
      <c r="T799" s="28"/>
      <c r="U799" s="28"/>
      <c r="V799" s="28"/>
      <c r="W799" s="28"/>
      <c r="X799" s="28"/>
      <c r="Y799" s="28"/>
      <c r="Z799" s="28"/>
      <c r="AA799" s="28"/>
    </row>
    <row r="800" ht="18.75" customHeight="1">
      <c r="A800" s="28"/>
      <c r="B800" s="28"/>
      <c r="C800" s="28"/>
      <c r="D800" s="28"/>
      <c r="E800" s="28"/>
      <c r="F800" s="28"/>
      <c r="G800" s="28"/>
      <c r="H800" s="28"/>
      <c r="I800" s="28"/>
      <c r="J800" s="28"/>
      <c r="K800" s="28"/>
      <c r="L800" s="28"/>
      <c r="M800" s="33"/>
      <c r="N800" s="33"/>
      <c r="O800" s="33"/>
      <c r="P800" s="33"/>
      <c r="Q800" s="28"/>
      <c r="R800" s="28"/>
      <c r="S800" s="28"/>
      <c r="T800" s="28"/>
      <c r="U800" s="28"/>
      <c r="V800" s="28"/>
      <c r="W800" s="28"/>
      <c r="X800" s="28"/>
      <c r="Y800" s="28"/>
      <c r="Z800" s="28"/>
      <c r="AA800" s="28"/>
    </row>
    <row r="801" ht="18.75" customHeight="1">
      <c r="A801" s="28"/>
      <c r="B801" s="28"/>
      <c r="C801" s="28"/>
      <c r="D801" s="28"/>
      <c r="E801" s="28"/>
      <c r="F801" s="28"/>
      <c r="G801" s="28"/>
      <c r="H801" s="28"/>
      <c r="I801" s="28"/>
      <c r="J801" s="28"/>
      <c r="K801" s="28"/>
      <c r="L801" s="28"/>
      <c r="M801" s="33"/>
      <c r="N801" s="33"/>
      <c r="O801" s="33"/>
      <c r="P801" s="33"/>
      <c r="Q801" s="28"/>
      <c r="R801" s="28"/>
      <c r="S801" s="28"/>
      <c r="T801" s="28"/>
      <c r="U801" s="28"/>
      <c r="V801" s="28"/>
      <c r="W801" s="28"/>
      <c r="X801" s="28"/>
      <c r="Y801" s="28"/>
      <c r="Z801" s="28"/>
      <c r="AA801" s="28"/>
    </row>
    <row r="802" ht="18.75" customHeight="1">
      <c r="A802" s="28"/>
      <c r="B802" s="28"/>
      <c r="C802" s="28"/>
      <c r="D802" s="28"/>
      <c r="E802" s="28"/>
      <c r="F802" s="28"/>
      <c r="G802" s="28"/>
      <c r="H802" s="28"/>
      <c r="I802" s="28"/>
      <c r="J802" s="28"/>
      <c r="K802" s="28"/>
      <c r="L802" s="28"/>
      <c r="M802" s="33"/>
      <c r="N802" s="33"/>
      <c r="O802" s="33"/>
      <c r="P802" s="33"/>
      <c r="Q802" s="28"/>
      <c r="R802" s="28"/>
      <c r="S802" s="28"/>
      <c r="T802" s="28"/>
      <c r="U802" s="28"/>
      <c r="V802" s="28"/>
      <c r="W802" s="28"/>
      <c r="X802" s="28"/>
      <c r="Y802" s="28"/>
      <c r="Z802" s="28"/>
      <c r="AA802" s="28"/>
    </row>
    <row r="803" ht="18.75" customHeight="1">
      <c r="A803" s="28"/>
      <c r="B803" s="28"/>
      <c r="C803" s="28"/>
      <c r="D803" s="28"/>
      <c r="E803" s="28"/>
      <c r="F803" s="28"/>
      <c r="G803" s="28"/>
      <c r="H803" s="28"/>
      <c r="I803" s="28"/>
      <c r="J803" s="28"/>
      <c r="K803" s="28"/>
      <c r="L803" s="28"/>
      <c r="M803" s="33"/>
      <c r="N803" s="33"/>
      <c r="O803" s="33"/>
      <c r="P803" s="33"/>
      <c r="Q803" s="28"/>
      <c r="R803" s="28"/>
      <c r="S803" s="28"/>
      <c r="T803" s="28"/>
      <c r="U803" s="28"/>
      <c r="V803" s="28"/>
      <c r="W803" s="28"/>
      <c r="X803" s="28"/>
      <c r="Y803" s="28"/>
      <c r="Z803" s="28"/>
      <c r="AA803" s="28"/>
    </row>
    <row r="804" ht="18.75" customHeight="1">
      <c r="A804" s="28"/>
      <c r="B804" s="28"/>
      <c r="C804" s="28"/>
      <c r="D804" s="28"/>
      <c r="E804" s="28"/>
      <c r="F804" s="28"/>
      <c r="G804" s="28"/>
      <c r="H804" s="28"/>
      <c r="I804" s="28"/>
      <c r="J804" s="28"/>
      <c r="K804" s="28"/>
      <c r="L804" s="28"/>
      <c r="M804" s="33"/>
      <c r="N804" s="33"/>
      <c r="O804" s="33"/>
      <c r="P804" s="33"/>
      <c r="Q804" s="28"/>
      <c r="R804" s="28"/>
      <c r="S804" s="28"/>
      <c r="T804" s="28"/>
      <c r="U804" s="28"/>
      <c r="V804" s="28"/>
      <c r="W804" s="28"/>
      <c r="X804" s="28"/>
      <c r="Y804" s="28"/>
      <c r="Z804" s="28"/>
      <c r="AA804" s="28"/>
    </row>
    <row r="805" ht="18.75" customHeight="1">
      <c r="A805" s="28"/>
      <c r="B805" s="28"/>
      <c r="C805" s="28"/>
      <c r="D805" s="28"/>
      <c r="E805" s="28"/>
      <c r="F805" s="28"/>
      <c r="G805" s="28"/>
      <c r="H805" s="28"/>
      <c r="I805" s="28"/>
      <c r="J805" s="28"/>
      <c r="K805" s="28"/>
      <c r="L805" s="28"/>
      <c r="M805" s="33"/>
      <c r="N805" s="33"/>
      <c r="O805" s="33"/>
      <c r="P805" s="33"/>
      <c r="Q805" s="28"/>
      <c r="R805" s="28"/>
      <c r="S805" s="28"/>
      <c r="T805" s="28"/>
      <c r="U805" s="28"/>
      <c r="V805" s="28"/>
      <c r="W805" s="28"/>
      <c r="X805" s="28"/>
      <c r="Y805" s="28"/>
      <c r="Z805" s="28"/>
      <c r="AA805" s="28"/>
    </row>
    <row r="806" ht="18.75" customHeight="1">
      <c r="A806" s="28"/>
      <c r="B806" s="28"/>
      <c r="C806" s="28"/>
      <c r="D806" s="28"/>
      <c r="E806" s="28"/>
      <c r="F806" s="28"/>
      <c r="G806" s="28"/>
      <c r="H806" s="28"/>
      <c r="I806" s="28"/>
      <c r="J806" s="28"/>
      <c r="K806" s="28"/>
      <c r="L806" s="28"/>
      <c r="M806" s="33"/>
      <c r="N806" s="33"/>
      <c r="O806" s="33"/>
      <c r="P806" s="33"/>
      <c r="Q806" s="28"/>
      <c r="R806" s="28"/>
      <c r="S806" s="28"/>
      <c r="T806" s="28"/>
      <c r="U806" s="28"/>
      <c r="V806" s="28"/>
      <c r="W806" s="28"/>
      <c r="X806" s="28"/>
      <c r="Y806" s="28"/>
      <c r="Z806" s="28"/>
      <c r="AA806" s="28"/>
    </row>
    <row r="807" ht="18.75" customHeight="1">
      <c r="A807" s="28"/>
      <c r="B807" s="28"/>
      <c r="C807" s="28"/>
      <c r="D807" s="28"/>
      <c r="E807" s="28"/>
      <c r="F807" s="28"/>
      <c r="G807" s="28"/>
      <c r="H807" s="28"/>
      <c r="I807" s="28"/>
      <c r="J807" s="28"/>
      <c r="K807" s="28"/>
      <c r="L807" s="28"/>
      <c r="M807" s="33"/>
      <c r="N807" s="33"/>
      <c r="O807" s="33"/>
      <c r="P807" s="33"/>
      <c r="Q807" s="28"/>
      <c r="R807" s="28"/>
      <c r="S807" s="28"/>
      <c r="T807" s="28"/>
      <c r="U807" s="28"/>
      <c r="V807" s="28"/>
      <c r="W807" s="28"/>
      <c r="X807" s="28"/>
      <c r="Y807" s="28"/>
      <c r="Z807" s="28"/>
      <c r="AA807" s="28"/>
    </row>
    <row r="808" ht="18.75" customHeight="1">
      <c r="A808" s="28"/>
      <c r="B808" s="28"/>
      <c r="C808" s="28"/>
      <c r="D808" s="28"/>
      <c r="E808" s="28"/>
      <c r="F808" s="28"/>
      <c r="G808" s="28"/>
      <c r="H808" s="28"/>
      <c r="I808" s="28"/>
      <c r="J808" s="28"/>
      <c r="K808" s="28"/>
      <c r="L808" s="28"/>
      <c r="M808" s="33"/>
      <c r="N808" s="33"/>
      <c r="O808" s="33"/>
      <c r="P808" s="33"/>
      <c r="Q808" s="28"/>
      <c r="R808" s="28"/>
      <c r="S808" s="28"/>
      <c r="T808" s="28"/>
      <c r="U808" s="28"/>
      <c r="V808" s="28"/>
      <c r="W808" s="28"/>
      <c r="X808" s="28"/>
      <c r="Y808" s="28"/>
      <c r="Z808" s="28"/>
      <c r="AA808" s="28"/>
    </row>
    <row r="809" ht="18.75" customHeight="1">
      <c r="A809" s="28"/>
      <c r="B809" s="28"/>
      <c r="C809" s="28"/>
      <c r="D809" s="28"/>
      <c r="E809" s="28"/>
      <c r="F809" s="28"/>
      <c r="G809" s="28"/>
      <c r="H809" s="28"/>
      <c r="I809" s="28"/>
      <c r="J809" s="28"/>
      <c r="K809" s="28"/>
      <c r="L809" s="28"/>
      <c r="M809" s="33"/>
      <c r="N809" s="33"/>
      <c r="O809" s="33"/>
      <c r="P809" s="33"/>
      <c r="Q809" s="28"/>
      <c r="R809" s="28"/>
      <c r="S809" s="28"/>
      <c r="T809" s="28"/>
      <c r="U809" s="28"/>
      <c r="V809" s="28"/>
      <c r="W809" s="28"/>
      <c r="X809" s="28"/>
      <c r="Y809" s="28"/>
      <c r="Z809" s="28"/>
      <c r="AA809" s="28"/>
    </row>
    <row r="810" ht="18.75" customHeight="1">
      <c r="A810" s="28"/>
      <c r="B810" s="28"/>
      <c r="C810" s="28"/>
      <c r="D810" s="28"/>
      <c r="E810" s="28"/>
      <c r="F810" s="28"/>
      <c r="G810" s="28"/>
      <c r="H810" s="28"/>
      <c r="I810" s="28"/>
      <c r="J810" s="28"/>
      <c r="K810" s="28"/>
      <c r="L810" s="28"/>
      <c r="M810" s="33"/>
      <c r="N810" s="33"/>
      <c r="O810" s="33"/>
      <c r="P810" s="33"/>
      <c r="Q810" s="28"/>
      <c r="R810" s="28"/>
      <c r="S810" s="28"/>
      <c r="T810" s="28"/>
      <c r="U810" s="28"/>
      <c r="V810" s="28"/>
      <c r="W810" s="28"/>
      <c r="X810" s="28"/>
      <c r="Y810" s="28"/>
      <c r="Z810" s="28"/>
      <c r="AA810" s="28"/>
    </row>
    <row r="811" ht="18.75" customHeight="1">
      <c r="A811" s="28"/>
      <c r="B811" s="28"/>
      <c r="C811" s="28"/>
      <c r="D811" s="28"/>
      <c r="E811" s="28"/>
      <c r="F811" s="28"/>
      <c r="G811" s="28"/>
      <c r="H811" s="28"/>
      <c r="I811" s="28"/>
      <c r="J811" s="28"/>
      <c r="K811" s="28"/>
      <c r="L811" s="28"/>
      <c r="M811" s="33"/>
      <c r="N811" s="33"/>
      <c r="O811" s="33"/>
      <c r="P811" s="33"/>
      <c r="Q811" s="28"/>
      <c r="R811" s="28"/>
      <c r="S811" s="28"/>
      <c r="T811" s="28"/>
      <c r="U811" s="28"/>
      <c r="V811" s="28"/>
      <c r="W811" s="28"/>
      <c r="X811" s="28"/>
      <c r="Y811" s="28"/>
      <c r="Z811" s="28"/>
      <c r="AA811" s="28"/>
    </row>
    <row r="812" ht="18.75" customHeight="1">
      <c r="A812" s="28"/>
      <c r="B812" s="28"/>
      <c r="C812" s="28"/>
      <c r="D812" s="28"/>
      <c r="E812" s="28"/>
      <c r="F812" s="28"/>
      <c r="G812" s="28"/>
      <c r="H812" s="28"/>
      <c r="I812" s="28"/>
      <c r="J812" s="28"/>
      <c r="K812" s="28"/>
      <c r="L812" s="28"/>
      <c r="M812" s="33"/>
      <c r="N812" s="33"/>
      <c r="O812" s="33"/>
      <c r="P812" s="33"/>
      <c r="Q812" s="28"/>
      <c r="R812" s="28"/>
      <c r="S812" s="28"/>
      <c r="T812" s="28"/>
      <c r="U812" s="28"/>
      <c r="V812" s="28"/>
      <c r="W812" s="28"/>
      <c r="X812" s="28"/>
      <c r="Y812" s="28"/>
      <c r="Z812" s="28"/>
      <c r="AA812" s="28"/>
    </row>
    <row r="813" ht="18.75" customHeight="1">
      <c r="A813" s="28"/>
      <c r="B813" s="28"/>
      <c r="C813" s="28"/>
      <c r="D813" s="28"/>
      <c r="E813" s="28"/>
      <c r="F813" s="28"/>
      <c r="G813" s="28"/>
      <c r="H813" s="28"/>
      <c r="I813" s="28"/>
      <c r="J813" s="28"/>
      <c r="K813" s="28"/>
      <c r="L813" s="28"/>
      <c r="M813" s="33"/>
      <c r="N813" s="33"/>
      <c r="O813" s="33"/>
      <c r="P813" s="33"/>
      <c r="Q813" s="28"/>
      <c r="R813" s="28"/>
      <c r="S813" s="28"/>
      <c r="T813" s="28"/>
      <c r="U813" s="28"/>
      <c r="V813" s="28"/>
      <c r="W813" s="28"/>
      <c r="X813" s="28"/>
      <c r="Y813" s="28"/>
      <c r="Z813" s="28"/>
      <c r="AA813" s="28"/>
    </row>
    <row r="814" ht="18.75" customHeight="1">
      <c r="A814" s="28"/>
      <c r="B814" s="28"/>
      <c r="C814" s="28"/>
      <c r="D814" s="28"/>
      <c r="E814" s="28"/>
      <c r="F814" s="28"/>
      <c r="G814" s="28"/>
      <c r="H814" s="28"/>
      <c r="I814" s="28"/>
      <c r="J814" s="28"/>
      <c r="K814" s="28"/>
      <c r="L814" s="28"/>
      <c r="M814" s="33"/>
      <c r="N814" s="33"/>
      <c r="O814" s="33"/>
      <c r="P814" s="33"/>
      <c r="Q814" s="28"/>
      <c r="R814" s="28"/>
      <c r="S814" s="28"/>
      <c r="T814" s="28"/>
      <c r="U814" s="28"/>
      <c r="V814" s="28"/>
      <c r="W814" s="28"/>
      <c r="X814" s="28"/>
      <c r="Y814" s="28"/>
      <c r="Z814" s="28"/>
      <c r="AA814" s="28"/>
    </row>
    <row r="815" ht="18.75" customHeight="1">
      <c r="A815" s="28"/>
      <c r="B815" s="28"/>
      <c r="C815" s="28"/>
      <c r="D815" s="28"/>
      <c r="E815" s="28"/>
      <c r="F815" s="28"/>
      <c r="G815" s="28"/>
      <c r="H815" s="28"/>
      <c r="I815" s="28"/>
      <c r="J815" s="28"/>
      <c r="K815" s="28"/>
      <c r="L815" s="28"/>
      <c r="M815" s="33"/>
      <c r="N815" s="33"/>
      <c r="O815" s="33"/>
      <c r="P815" s="33"/>
      <c r="Q815" s="28"/>
      <c r="R815" s="28"/>
      <c r="S815" s="28"/>
      <c r="T815" s="28"/>
      <c r="U815" s="28"/>
      <c r="V815" s="28"/>
      <c r="W815" s="28"/>
      <c r="X815" s="28"/>
      <c r="Y815" s="28"/>
      <c r="Z815" s="28"/>
      <c r="AA815" s="28"/>
    </row>
    <row r="816" ht="18.75" customHeight="1">
      <c r="A816" s="28"/>
      <c r="B816" s="28"/>
      <c r="C816" s="28"/>
      <c r="D816" s="28"/>
      <c r="E816" s="28"/>
      <c r="F816" s="28"/>
      <c r="G816" s="28"/>
      <c r="H816" s="28"/>
      <c r="I816" s="28"/>
      <c r="J816" s="28"/>
      <c r="K816" s="28"/>
      <c r="L816" s="28"/>
      <c r="M816" s="33"/>
      <c r="N816" s="33"/>
      <c r="O816" s="33"/>
      <c r="P816" s="33"/>
      <c r="Q816" s="28"/>
      <c r="R816" s="28"/>
      <c r="S816" s="28"/>
      <c r="T816" s="28"/>
      <c r="U816" s="28"/>
      <c r="V816" s="28"/>
      <c r="W816" s="28"/>
      <c r="X816" s="28"/>
      <c r="Y816" s="28"/>
      <c r="Z816" s="28"/>
      <c r="AA816" s="28"/>
    </row>
    <row r="817" ht="18.75" customHeight="1">
      <c r="A817" s="28"/>
      <c r="B817" s="28"/>
      <c r="C817" s="28"/>
      <c r="D817" s="28"/>
      <c r="E817" s="28"/>
      <c r="F817" s="28"/>
      <c r="G817" s="28"/>
      <c r="H817" s="28"/>
      <c r="I817" s="28"/>
      <c r="J817" s="28"/>
      <c r="K817" s="28"/>
      <c r="L817" s="28"/>
      <c r="M817" s="33"/>
      <c r="N817" s="33"/>
      <c r="O817" s="33"/>
      <c r="P817" s="33"/>
      <c r="Q817" s="28"/>
      <c r="R817" s="28"/>
      <c r="S817" s="28"/>
      <c r="T817" s="28"/>
      <c r="U817" s="28"/>
      <c r="V817" s="28"/>
      <c r="W817" s="28"/>
      <c r="X817" s="28"/>
      <c r="Y817" s="28"/>
      <c r="Z817" s="28"/>
      <c r="AA817" s="28"/>
    </row>
    <row r="818" ht="18.75" customHeight="1">
      <c r="A818" s="28"/>
      <c r="B818" s="28"/>
      <c r="C818" s="28"/>
      <c r="D818" s="28"/>
      <c r="E818" s="28"/>
      <c r="F818" s="28"/>
      <c r="G818" s="28"/>
      <c r="H818" s="28"/>
      <c r="I818" s="28"/>
      <c r="J818" s="28"/>
      <c r="K818" s="28"/>
      <c r="L818" s="28"/>
      <c r="M818" s="33"/>
      <c r="N818" s="33"/>
      <c r="O818" s="33"/>
      <c r="P818" s="33"/>
      <c r="Q818" s="28"/>
      <c r="R818" s="28"/>
      <c r="S818" s="28"/>
      <c r="T818" s="28"/>
      <c r="U818" s="28"/>
      <c r="V818" s="28"/>
      <c r="W818" s="28"/>
      <c r="X818" s="28"/>
      <c r="Y818" s="28"/>
      <c r="Z818" s="28"/>
      <c r="AA818" s="28"/>
    </row>
    <row r="819" ht="18.75" customHeight="1">
      <c r="A819" s="28"/>
      <c r="B819" s="28"/>
      <c r="C819" s="28"/>
      <c r="D819" s="28"/>
      <c r="E819" s="28"/>
      <c r="F819" s="28"/>
      <c r="G819" s="28"/>
      <c r="H819" s="28"/>
      <c r="I819" s="28"/>
      <c r="J819" s="28"/>
      <c r="K819" s="28"/>
      <c r="L819" s="28"/>
      <c r="M819" s="33"/>
      <c r="N819" s="33"/>
      <c r="O819" s="33"/>
      <c r="P819" s="33"/>
      <c r="Q819" s="28"/>
      <c r="R819" s="28"/>
      <c r="S819" s="28"/>
      <c r="T819" s="28"/>
      <c r="U819" s="28"/>
      <c r="V819" s="28"/>
      <c r="W819" s="28"/>
      <c r="X819" s="28"/>
      <c r="Y819" s="28"/>
      <c r="Z819" s="28"/>
      <c r="AA819" s="28"/>
    </row>
    <row r="820" ht="18.75" customHeight="1">
      <c r="A820" s="28"/>
      <c r="B820" s="28"/>
      <c r="C820" s="28"/>
      <c r="D820" s="28"/>
      <c r="E820" s="28"/>
      <c r="F820" s="28"/>
      <c r="G820" s="28"/>
      <c r="H820" s="28"/>
      <c r="I820" s="28"/>
      <c r="J820" s="28"/>
      <c r="K820" s="28"/>
      <c r="L820" s="28"/>
      <c r="M820" s="33"/>
      <c r="N820" s="33"/>
      <c r="O820" s="33"/>
      <c r="P820" s="33"/>
      <c r="Q820" s="28"/>
      <c r="R820" s="28"/>
      <c r="S820" s="28"/>
      <c r="T820" s="28"/>
      <c r="U820" s="28"/>
      <c r="V820" s="28"/>
      <c r="W820" s="28"/>
      <c r="X820" s="28"/>
      <c r="Y820" s="28"/>
      <c r="Z820" s="28"/>
      <c r="AA820" s="28"/>
    </row>
    <row r="821" ht="18.75" customHeight="1">
      <c r="A821" s="28"/>
      <c r="B821" s="28"/>
      <c r="C821" s="28"/>
      <c r="D821" s="28"/>
      <c r="E821" s="28"/>
      <c r="F821" s="28"/>
      <c r="G821" s="28"/>
      <c r="H821" s="28"/>
      <c r="I821" s="28"/>
      <c r="J821" s="28"/>
      <c r="K821" s="28"/>
      <c r="L821" s="28"/>
      <c r="M821" s="33"/>
      <c r="N821" s="33"/>
      <c r="O821" s="33"/>
      <c r="P821" s="33"/>
      <c r="Q821" s="28"/>
      <c r="R821" s="28"/>
      <c r="S821" s="28"/>
      <c r="T821" s="28"/>
      <c r="U821" s="28"/>
      <c r="V821" s="28"/>
      <c r="W821" s="28"/>
      <c r="X821" s="28"/>
      <c r="Y821" s="28"/>
      <c r="Z821" s="28"/>
      <c r="AA821" s="28"/>
    </row>
    <row r="822" ht="18.75" customHeight="1">
      <c r="A822" s="28"/>
      <c r="B822" s="28"/>
      <c r="C822" s="28"/>
      <c r="D822" s="28"/>
      <c r="E822" s="28"/>
      <c r="F822" s="28"/>
      <c r="G822" s="28"/>
      <c r="H822" s="28"/>
      <c r="I822" s="28"/>
      <c r="J822" s="28"/>
      <c r="K822" s="28"/>
      <c r="L822" s="28"/>
      <c r="M822" s="33"/>
      <c r="N822" s="33"/>
      <c r="O822" s="33"/>
      <c r="P822" s="33"/>
      <c r="Q822" s="28"/>
      <c r="R822" s="28"/>
      <c r="S822" s="28"/>
      <c r="T822" s="28"/>
      <c r="U822" s="28"/>
      <c r="V822" s="28"/>
      <c r="W822" s="28"/>
      <c r="X822" s="28"/>
      <c r="Y822" s="28"/>
      <c r="Z822" s="28"/>
      <c r="AA822" s="28"/>
    </row>
    <row r="823" ht="18.75" customHeight="1">
      <c r="A823" s="28"/>
      <c r="B823" s="28"/>
      <c r="C823" s="28"/>
      <c r="D823" s="28"/>
      <c r="E823" s="28"/>
      <c r="F823" s="28"/>
      <c r="G823" s="28"/>
      <c r="H823" s="28"/>
      <c r="I823" s="28"/>
      <c r="J823" s="28"/>
      <c r="K823" s="28"/>
      <c r="L823" s="28"/>
      <c r="M823" s="33"/>
      <c r="N823" s="33"/>
      <c r="O823" s="33"/>
      <c r="P823" s="33"/>
      <c r="Q823" s="28"/>
      <c r="R823" s="28"/>
      <c r="S823" s="28"/>
      <c r="T823" s="28"/>
      <c r="U823" s="28"/>
      <c r="V823" s="28"/>
      <c r="W823" s="28"/>
      <c r="X823" s="28"/>
      <c r="Y823" s="28"/>
      <c r="Z823" s="28"/>
      <c r="AA823" s="28"/>
    </row>
    <row r="824" ht="18.75" customHeight="1">
      <c r="A824" s="28"/>
      <c r="B824" s="28"/>
      <c r="C824" s="28"/>
      <c r="D824" s="28"/>
      <c r="E824" s="28"/>
      <c r="F824" s="28"/>
      <c r="G824" s="28"/>
      <c r="H824" s="28"/>
      <c r="I824" s="28"/>
      <c r="J824" s="28"/>
      <c r="K824" s="28"/>
      <c r="L824" s="28"/>
      <c r="M824" s="33"/>
      <c r="N824" s="33"/>
      <c r="O824" s="33"/>
      <c r="P824" s="33"/>
      <c r="Q824" s="28"/>
      <c r="R824" s="28"/>
      <c r="S824" s="28"/>
      <c r="T824" s="28"/>
      <c r="U824" s="28"/>
      <c r="V824" s="28"/>
      <c r="W824" s="28"/>
      <c r="X824" s="28"/>
      <c r="Y824" s="28"/>
      <c r="Z824" s="28"/>
      <c r="AA824" s="28"/>
    </row>
    <row r="825" ht="18.75" customHeight="1">
      <c r="A825" s="28"/>
      <c r="B825" s="28"/>
      <c r="C825" s="28"/>
      <c r="D825" s="28"/>
      <c r="E825" s="28"/>
      <c r="F825" s="28"/>
      <c r="G825" s="28"/>
      <c r="H825" s="28"/>
      <c r="I825" s="28"/>
      <c r="J825" s="28"/>
      <c r="K825" s="28"/>
      <c r="L825" s="28"/>
      <c r="M825" s="33"/>
      <c r="N825" s="33"/>
      <c r="O825" s="33"/>
      <c r="P825" s="33"/>
      <c r="Q825" s="28"/>
      <c r="R825" s="28"/>
      <c r="S825" s="28"/>
      <c r="T825" s="28"/>
      <c r="U825" s="28"/>
      <c r="V825" s="28"/>
      <c r="W825" s="28"/>
      <c r="X825" s="28"/>
      <c r="Y825" s="28"/>
      <c r="Z825" s="28"/>
      <c r="AA825" s="28"/>
    </row>
    <row r="826" ht="18.75" customHeight="1">
      <c r="A826" s="28"/>
      <c r="B826" s="28"/>
      <c r="C826" s="28"/>
      <c r="D826" s="28"/>
      <c r="E826" s="28"/>
      <c r="F826" s="28"/>
      <c r="G826" s="28"/>
      <c r="H826" s="28"/>
      <c r="I826" s="28"/>
      <c r="J826" s="28"/>
      <c r="K826" s="28"/>
      <c r="L826" s="28"/>
      <c r="M826" s="33"/>
      <c r="N826" s="33"/>
      <c r="O826" s="33"/>
      <c r="P826" s="33"/>
      <c r="Q826" s="28"/>
      <c r="R826" s="28"/>
      <c r="S826" s="28"/>
      <c r="T826" s="28"/>
      <c r="U826" s="28"/>
      <c r="V826" s="28"/>
      <c r="W826" s="28"/>
      <c r="X826" s="28"/>
      <c r="Y826" s="28"/>
      <c r="Z826" s="28"/>
      <c r="AA826" s="28"/>
    </row>
    <row r="827" ht="18.75" customHeight="1">
      <c r="A827" s="28"/>
      <c r="B827" s="28"/>
      <c r="C827" s="28"/>
      <c r="D827" s="28"/>
      <c r="E827" s="28"/>
      <c r="F827" s="28"/>
      <c r="G827" s="28"/>
      <c r="H827" s="28"/>
      <c r="I827" s="28"/>
      <c r="J827" s="28"/>
      <c r="K827" s="28"/>
      <c r="L827" s="28"/>
      <c r="M827" s="33"/>
      <c r="N827" s="33"/>
      <c r="O827" s="33"/>
      <c r="P827" s="33"/>
      <c r="Q827" s="28"/>
      <c r="R827" s="28"/>
      <c r="S827" s="28"/>
      <c r="T827" s="28"/>
      <c r="U827" s="28"/>
      <c r="V827" s="28"/>
      <c r="W827" s="28"/>
      <c r="X827" s="28"/>
      <c r="Y827" s="28"/>
      <c r="Z827" s="28"/>
      <c r="AA827" s="28"/>
    </row>
    <row r="828" ht="18.75" customHeight="1">
      <c r="A828" s="28"/>
      <c r="B828" s="28"/>
      <c r="C828" s="28"/>
      <c r="D828" s="28"/>
      <c r="E828" s="28"/>
      <c r="F828" s="28"/>
      <c r="G828" s="28"/>
      <c r="H828" s="28"/>
      <c r="I828" s="28"/>
      <c r="J828" s="28"/>
      <c r="K828" s="28"/>
      <c r="L828" s="28"/>
      <c r="M828" s="33"/>
      <c r="N828" s="33"/>
      <c r="O828" s="33"/>
      <c r="P828" s="33"/>
      <c r="Q828" s="28"/>
      <c r="R828" s="28"/>
      <c r="S828" s="28"/>
      <c r="T828" s="28"/>
      <c r="U828" s="28"/>
      <c r="V828" s="28"/>
      <c r="W828" s="28"/>
      <c r="X828" s="28"/>
      <c r="Y828" s="28"/>
      <c r="Z828" s="28"/>
      <c r="AA828" s="28"/>
    </row>
    <row r="829" ht="18.75" customHeight="1">
      <c r="A829" s="28"/>
      <c r="B829" s="28"/>
      <c r="C829" s="28"/>
      <c r="D829" s="28"/>
      <c r="E829" s="28"/>
      <c r="F829" s="28"/>
      <c r="G829" s="28"/>
      <c r="H829" s="28"/>
      <c r="I829" s="28"/>
      <c r="J829" s="28"/>
      <c r="K829" s="28"/>
      <c r="L829" s="28"/>
      <c r="M829" s="33"/>
      <c r="N829" s="33"/>
      <c r="O829" s="33"/>
      <c r="P829" s="33"/>
      <c r="Q829" s="28"/>
      <c r="R829" s="28"/>
      <c r="S829" s="28"/>
      <c r="T829" s="28"/>
      <c r="U829" s="28"/>
      <c r="V829" s="28"/>
      <c r="W829" s="28"/>
      <c r="X829" s="28"/>
      <c r="Y829" s="28"/>
      <c r="Z829" s="28"/>
      <c r="AA829" s="28"/>
    </row>
    <row r="830" ht="18.75" customHeight="1">
      <c r="A830" s="28"/>
      <c r="B830" s="28"/>
      <c r="C830" s="28"/>
      <c r="D830" s="28"/>
      <c r="E830" s="28"/>
      <c r="F830" s="28"/>
      <c r="G830" s="28"/>
      <c r="H830" s="28"/>
      <c r="I830" s="28"/>
      <c r="J830" s="28"/>
      <c r="K830" s="28"/>
      <c r="L830" s="28"/>
      <c r="M830" s="33"/>
      <c r="N830" s="33"/>
      <c r="O830" s="33"/>
      <c r="P830" s="33"/>
      <c r="Q830" s="28"/>
      <c r="R830" s="28"/>
      <c r="S830" s="28"/>
      <c r="T830" s="28"/>
      <c r="U830" s="28"/>
      <c r="V830" s="28"/>
      <c r="W830" s="28"/>
      <c r="X830" s="28"/>
      <c r="Y830" s="28"/>
      <c r="Z830" s="28"/>
      <c r="AA830" s="28"/>
    </row>
    <row r="831" ht="18.75" customHeight="1">
      <c r="A831" s="28"/>
      <c r="B831" s="28"/>
      <c r="C831" s="28"/>
      <c r="D831" s="28"/>
      <c r="E831" s="28"/>
      <c r="F831" s="28"/>
      <c r="G831" s="28"/>
      <c r="H831" s="28"/>
      <c r="I831" s="28"/>
      <c r="J831" s="28"/>
      <c r="K831" s="28"/>
      <c r="L831" s="28"/>
      <c r="M831" s="33"/>
      <c r="N831" s="33"/>
      <c r="O831" s="33"/>
      <c r="P831" s="33"/>
      <c r="Q831" s="28"/>
      <c r="R831" s="28"/>
      <c r="S831" s="28"/>
      <c r="T831" s="28"/>
      <c r="U831" s="28"/>
      <c r="V831" s="28"/>
      <c r="W831" s="28"/>
      <c r="X831" s="28"/>
      <c r="Y831" s="28"/>
      <c r="Z831" s="28"/>
      <c r="AA831" s="28"/>
    </row>
    <row r="832" ht="18.75" customHeight="1">
      <c r="A832" s="28"/>
      <c r="B832" s="28"/>
      <c r="C832" s="28"/>
      <c r="D832" s="28"/>
      <c r="E832" s="28"/>
      <c r="F832" s="28"/>
      <c r="G832" s="28"/>
      <c r="H832" s="28"/>
      <c r="I832" s="28"/>
      <c r="J832" s="28"/>
      <c r="K832" s="28"/>
      <c r="L832" s="28"/>
      <c r="M832" s="33"/>
      <c r="N832" s="33"/>
      <c r="O832" s="33"/>
      <c r="P832" s="33"/>
      <c r="Q832" s="28"/>
      <c r="R832" s="28"/>
      <c r="S832" s="28"/>
      <c r="T832" s="28"/>
      <c r="U832" s="28"/>
      <c r="V832" s="28"/>
      <c r="W832" s="28"/>
      <c r="X832" s="28"/>
      <c r="Y832" s="28"/>
      <c r="Z832" s="28"/>
      <c r="AA832" s="28"/>
    </row>
    <row r="833" ht="18.75" customHeight="1">
      <c r="A833" s="28"/>
      <c r="B833" s="28"/>
      <c r="C833" s="28"/>
      <c r="D833" s="28"/>
      <c r="E833" s="28"/>
      <c r="F833" s="28"/>
      <c r="G833" s="28"/>
      <c r="H833" s="28"/>
      <c r="I833" s="28"/>
      <c r="J833" s="28"/>
      <c r="K833" s="28"/>
      <c r="L833" s="28"/>
      <c r="M833" s="33"/>
      <c r="N833" s="33"/>
      <c r="O833" s="33"/>
      <c r="P833" s="33"/>
      <c r="Q833" s="28"/>
      <c r="R833" s="28"/>
      <c r="S833" s="28"/>
      <c r="T833" s="28"/>
      <c r="U833" s="28"/>
      <c r="V833" s="28"/>
      <c r="W833" s="28"/>
      <c r="X833" s="28"/>
      <c r="Y833" s="28"/>
      <c r="Z833" s="28"/>
      <c r="AA833" s="28"/>
    </row>
    <row r="834" ht="18.75" customHeight="1">
      <c r="A834" s="28"/>
      <c r="B834" s="28"/>
      <c r="C834" s="28"/>
      <c r="D834" s="28"/>
      <c r="E834" s="28"/>
      <c r="F834" s="28"/>
      <c r="G834" s="28"/>
      <c r="H834" s="28"/>
      <c r="I834" s="28"/>
      <c r="J834" s="28"/>
      <c r="K834" s="28"/>
      <c r="L834" s="28"/>
      <c r="M834" s="33"/>
      <c r="N834" s="33"/>
      <c r="O834" s="33"/>
      <c r="P834" s="33"/>
      <c r="Q834" s="28"/>
      <c r="R834" s="28"/>
      <c r="S834" s="28"/>
      <c r="T834" s="28"/>
      <c r="U834" s="28"/>
      <c r="V834" s="28"/>
      <c r="W834" s="28"/>
      <c r="X834" s="28"/>
      <c r="Y834" s="28"/>
      <c r="Z834" s="28"/>
      <c r="AA834" s="28"/>
    </row>
    <row r="835" ht="18.75" customHeight="1">
      <c r="A835" s="28"/>
      <c r="B835" s="28"/>
      <c r="C835" s="28"/>
      <c r="D835" s="28"/>
      <c r="E835" s="28"/>
      <c r="F835" s="28"/>
      <c r="G835" s="28"/>
      <c r="H835" s="28"/>
      <c r="I835" s="28"/>
      <c r="J835" s="28"/>
      <c r="K835" s="28"/>
      <c r="L835" s="28"/>
      <c r="M835" s="33"/>
      <c r="N835" s="33"/>
      <c r="O835" s="33"/>
      <c r="P835" s="33"/>
      <c r="Q835" s="28"/>
      <c r="R835" s="28"/>
      <c r="S835" s="28"/>
      <c r="T835" s="28"/>
      <c r="U835" s="28"/>
      <c r="V835" s="28"/>
      <c r="W835" s="28"/>
      <c r="X835" s="28"/>
      <c r="Y835" s="28"/>
      <c r="Z835" s="28"/>
      <c r="AA835" s="28"/>
    </row>
    <row r="836" ht="18.75" customHeight="1">
      <c r="A836" s="28"/>
      <c r="B836" s="28"/>
      <c r="C836" s="28"/>
      <c r="D836" s="28"/>
      <c r="E836" s="28"/>
      <c r="F836" s="28"/>
      <c r="G836" s="28"/>
      <c r="H836" s="28"/>
      <c r="I836" s="28"/>
      <c r="J836" s="28"/>
      <c r="K836" s="28"/>
      <c r="L836" s="28"/>
      <c r="M836" s="33"/>
      <c r="N836" s="33"/>
      <c r="O836" s="33"/>
      <c r="P836" s="33"/>
      <c r="Q836" s="28"/>
      <c r="R836" s="28"/>
      <c r="S836" s="28"/>
      <c r="T836" s="28"/>
      <c r="U836" s="28"/>
      <c r="V836" s="28"/>
      <c r="W836" s="28"/>
      <c r="X836" s="28"/>
      <c r="Y836" s="28"/>
      <c r="Z836" s="28"/>
      <c r="AA836" s="28"/>
    </row>
    <row r="837" ht="18.75" customHeight="1">
      <c r="A837" s="28"/>
      <c r="B837" s="28"/>
      <c r="C837" s="28"/>
      <c r="D837" s="28"/>
      <c r="E837" s="28"/>
      <c r="F837" s="28"/>
      <c r="G837" s="28"/>
      <c r="H837" s="28"/>
      <c r="I837" s="28"/>
      <c r="J837" s="28"/>
      <c r="K837" s="28"/>
      <c r="L837" s="28"/>
      <c r="M837" s="33"/>
      <c r="N837" s="33"/>
      <c r="O837" s="33"/>
      <c r="P837" s="33"/>
      <c r="Q837" s="28"/>
      <c r="R837" s="28"/>
      <c r="S837" s="28"/>
      <c r="T837" s="28"/>
      <c r="U837" s="28"/>
      <c r="V837" s="28"/>
      <c r="W837" s="28"/>
      <c r="X837" s="28"/>
      <c r="Y837" s="28"/>
      <c r="Z837" s="28"/>
      <c r="AA837" s="28"/>
    </row>
    <row r="838" ht="18.75" customHeight="1">
      <c r="A838" s="28"/>
      <c r="B838" s="28"/>
      <c r="C838" s="28"/>
      <c r="D838" s="28"/>
      <c r="E838" s="28"/>
      <c r="F838" s="28"/>
      <c r="G838" s="28"/>
      <c r="H838" s="28"/>
      <c r="I838" s="28"/>
      <c r="J838" s="28"/>
      <c r="K838" s="28"/>
      <c r="L838" s="28"/>
      <c r="M838" s="33"/>
      <c r="N838" s="33"/>
      <c r="O838" s="33"/>
      <c r="P838" s="33"/>
      <c r="Q838" s="28"/>
      <c r="R838" s="28"/>
      <c r="S838" s="28"/>
      <c r="T838" s="28"/>
      <c r="U838" s="28"/>
      <c r="V838" s="28"/>
      <c r="W838" s="28"/>
      <c r="X838" s="28"/>
      <c r="Y838" s="28"/>
      <c r="Z838" s="28"/>
      <c r="AA838" s="28"/>
    </row>
    <row r="839" ht="18.75" customHeight="1">
      <c r="A839" s="28"/>
      <c r="B839" s="28"/>
      <c r="C839" s="28"/>
      <c r="D839" s="28"/>
      <c r="E839" s="28"/>
      <c r="F839" s="28"/>
      <c r="G839" s="28"/>
      <c r="H839" s="28"/>
      <c r="I839" s="28"/>
      <c r="J839" s="28"/>
      <c r="K839" s="28"/>
      <c r="L839" s="28"/>
      <c r="M839" s="33"/>
      <c r="N839" s="33"/>
      <c r="O839" s="33"/>
      <c r="P839" s="33"/>
      <c r="Q839" s="28"/>
      <c r="R839" s="28"/>
      <c r="S839" s="28"/>
      <c r="T839" s="28"/>
      <c r="U839" s="28"/>
      <c r="V839" s="28"/>
      <c r="W839" s="28"/>
      <c r="X839" s="28"/>
      <c r="Y839" s="28"/>
      <c r="Z839" s="28"/>
      <c r="AA839" s="28"/>
    </row>
    <row r="840" ht="18.75" customHeight="1">
      <c r="A840" s="28"/>
      <c r="B840" s="28"/>
      <c r="C840" s="28"/>
      <c r="D840" s="28"/>
      <c r="E840" s="28"/>
      <c r="F840" s="28"/>
      <c r="G840" s="28"/>
      <c r="H840" s="28"/>
      <c r="I840" s="28"/>
      <c r="J840" s="28"/>
      <c r="K840" s="28"/>
      <c r="L840" s="28"/>
      <c r="M840" s="33"/>
      <c r="N840" s="33"/>
      <c r="O840" s="33"/>
      <c r="P840" s="33"/>
      <c r="Q840" s="28"/>
      <c r="R840" s="28"/>
      <c r="S840" s="28"/>
      <c r="T840" s="28"/>
      <c r="U840" s="28"/>
      <c r="V840" s="28"/>
      <c r="W840" s="28"/>
      <c r="X840" s="28"/>
      <c r="Y840" s="28"/>
      <c r="Z840" s="28"/>
      <c r="AA840" s="28"/>
    </row>
    <row r="841" ht="18.75" customHeight="1">
      <c r="A841" s="28"/>
      <c r="B841" s="28"/>
      <c r="C841" s="28"/>
      <c r="D841" s="28"/>
      <c r="E841" s="28"/>
      <c r="F841" s="28"/>
      <c r="G841" s="28"/>
      <c r="H841" s="28"/>
      <c r="I841" s="28"/>
      <c r="J841" s="28"/>
      <c r="K841" s="28"/>
      <c r="L841" s="28"/>
      <c r="M841" s="33"/>
      <c r="N841" s="33"/>
      <c r="O841" s="33"/>
      <c r="P841" s="33"/>
      <c r="Q841" s="28"/>
      <c r="R841" s="28"/>
      <c r="S841" s="28"/>
      <c r="T841" s="28"/>
      <c r="U841" s="28"/>
      <c r="V841" s="28"/>
      <c r="W841" s="28"/>
      <c r="X841" s="28"/>
      <c r="Y841" s="28"/>
      <c r="Z841" s="28"/>
      <c r="AA841" s="28"/>
    </row>
    <row r="842" ht="18.75" customHeight="1">
      <c r="A842" s="28"/>
      <c r="B842" s="28"/>
      <c r="C842" s="28"/>
      <c r="D842" s="28"/>
      <c r="E842" s="28"/>
      <c r="F842" s="28"/>
      <c r="G842" s="28"/>
      <c r="H842" s="28"/>
      <c r="I842" s="28"/>
      <c r="J842" s="28"/>
      <c r="K842" s="28"/>
      <c r="L842" s="28"/>
      <c r="M842" s="33"/>
      <c r="N842" s="33"/>
      <c r="O842" s="33"/>
      <c r="P842" s="33"/>
      <c r="Q842" s="28"/>
      <c r="R842" s="28"/>
      <c r="S842" s="28"/>
      <c r="T842" s="28"/>
      <c r="U842" s="28"/>
      <c r="V842" s="28"/>
      <c r="W842" s="28"/>
      <c r="X842" s="28"/>
      <c r="Y842" s="28"/>
      <c r="Z842" s="28"/>
      <c r="AA842" s="28"/>
    </row>
    <row r="843" ht="18.75" customHeight="1">
      <c r="A843" s="28"/>
      <c r="B843" s="28"/>
      <c r="C843" s="28"/>
      <c r="D843" s="28"/>
      <c r="E843" s="28"/>
      <c r="F843" s="28"/>
      <c r="G843" s="28"/>
      <c r="H843" s="28"/>
      <c r="I843" s="28"/>
      <c r="J843" s="28"/>
      <c r="K843" s="28"/>
      <c r="L843" s="28"/>
      <c r="M843" s="33"/>
      <c r="N843" s="33"/>
      <c r="O843" s="33"/>
      <c r="P843" s="33"/>
      <c r="Q843" s="28"/>
      <c r="R843" s="28"/>
      <c r="S843" s="28"/>
      <c r="T843" s="28"/>
      <c r="U843" s="28"/>
      <c r="V843" s="28"/>
      <c r="W843" s="28"/>
      <c r="X843" s="28"/>
      <c r="Y843" s="28"/>
      <c r="Z843" s="28"/>
      <c r="AA843" s="28"/>
    </row>
    <row r="844" ht="18.75" customHeight="1">
      <c r="A844" s="28"/>
      <c r="B844" s="28"/>
      <c r="C844" s="28"/>
      <c r="D844" s="28"/>
      <c r="E844" s="28"/>
      <c r="F844" s="28"/>
      <c r="G844" s="28"/>
      <c r="H844" s="28"/>
      <c r="I844" s="28"/>
      <c r="J844" s="28"/>
      <c r="K844" s="28"/>
      <c r="L844" s="28"/>
      <c r="M844" s="33"/>
      <c r="N844" s="33"/>
      <c r="O844" s="33"/>
      <c r="P844" s="33"/>
      <c r="Q844" s="28"/>
      <c r="R844" s="28"/>
      <c r="S844" s="28"/>
      <c r="T844" s="28"/>
      <c r="U844" s="28"/>
      <c r="V844" s="28"/>
      <c r="W844" s="28"/>
      <c r="X844" s="28"/>
      <c r="Y844" s="28"/>
      <c r="Z844" s="28"/>
      <c r="AA844" s="28"/>
    </row>
    <row r="845" ht="18.75" customHeight="1">
      <c r="A845" s="28"/>
      <c r="B845" s="28"/>
      <c r="C845" s="28"/>
      <c r="D845" s="28"/>
      <c r="E845" s="28"/>
      <c r="F845" s="28"/>
      <c r="G845" s="28"/>
      <c r="H845" s="28"/>
      <c r="I845" s="28"/>
      <c r="J845" s="28"/>
      <c r="K845" s="28"/>
      <c r="L845" s="28"/>
      <c r="M845" s="33"/>
      <c r="N845" s="33"/>
      <c r="O845" s="33"/>
      <c r="P845" s="33"/>
      <c r="Q845" s="28"/>
      <c r="R845" s="28"/>
      <c r="S845" s="28"/>
      <c r="T845" s="28"/>
      <c r="U845" s="28"/>
      <c r="V845" s="28"/>
      <c r="W845" s="28"/>
      <c r="X845" s="28"/>
      <c r="Y845" s="28"/>
      <c r="Z845" s="28"/>
      <c r="AA845" s="28"/>
    </row>
    <row r="846" ht="18.75" customHeight="1">
      <c r="A846" s="28"/>
      <c r="B846" s="28"/>
      <c r="C846" s="28"/>
      <c r="D846" s="28"/>
      <c r="E846" s="28"/>
      <c r="F846" s="28"/>
      <c r="G846" s="28"/>
      <c r="H846" s="28"/>
      <c r="I846" s="28"/>
      <c r="J846" s="28"/>
      <c r="K846" s="28"/>
      <c r="L846" s="28"/>
      <c r="M846" s="33"/>
      <c r="N846" s="33"/>
      <c r="O846" s="33"/>
      <c r="P846" s="33"/>
      <c r="Q846" s="28"/>
      <c r="R846" s="28"/>
      <c r="S846" s="28"/>
      <c r="T846" s="28"/>
      <c r="U846" s="28"/>
      <c r="V846" s="28"/>
      <c r="W846" s="28"/>
      <c r="X846" s="28"/>
      <c r="Y846" s="28"/>
      <c r="Z846" s="28"/>
      <c r="AA846" s="28"/>
    </row>
    <row r="847" ht="18.75" customHeight="1">
      <c r="A847" s="28"/>
      <c r="B847" s="28"/>
      <c r="C847" s="28"/>
      <c r="D847" s="28"/>
      <c r="E847" s="28"/>
      <c r="F847" s="28"/>
      <c r="G847" s="28"/>
      <c r="H847" s="28"/>
      <c r="I847" s="28"/>
      <c r="J847" s="28"/>
      <c r="K847" s="28"/>
      <c r="L847" s="28"/>
      <c r="M847" s="33"/>
      <c r="N847" s="33"/>
      <c r="O847" s="33"/>
      <c r="P847" s="33"/>
      <c r="Q847" s="28"/>
      <c r="R847" s="28"/>
      <c r="S847" s="28"/>
      <c r="T847" s="28"/>
      <c r="U847" s="28"/>
      <c r="V847" s="28"/>
      <c r="W847" s="28"/>
      <c r="X847" s="28"/>
      <c r="Y847" s="28"/>
      <c r="Z847" s="28"/>
      <c r="AA847" s="28"/>
    </row>
    <row r="848" ht="18.75" customHeight="1">
      <c r="A848" s="28"/>
      <c r="B848" s="28"/>
      <c r="C848" s="28"/>
      <c r="D848" s="28"/>
      <c r="E848" s="28"/>
      <c r="F848" s="28"/>
      <c r="G848" s="28"/>
      <c r="H848" s="28"/>
      <c r="I848" s="28"/>
      <c r="J848" s="28"/>
      <c r="K848" s="28"/>
      <c r="L848" s="28"/>
      <c r="M848" s="33"/>
      <c r="N848" s="33"/>
      <c r="O848" s="33"/>
      <c r="P848" s="33"/>
      <c r="Q848" s="28"/>
      <c r="R848" s="28"/>
      <c r="S848" s="28"/>
      <c r="T848" s="28"/>
      <c r="U848" s="28"/>
      <c r="V848" s="28"/>
      <c r="W848" s="28"/>
      <c r="X848" s="28"/>
      <c r="Y848" s="28"/>
      <c r="Z848" s="28"/>
      <c r="AA848" s="28"/>
    </row>
    <row r="849" ht="18.75" customHeight="1">
      <c r="A849" s="28"/>
      <c r="B849" s="28"/>
      <c r="C849" s="28"/>
      <c r="D849" s="28"/>
      <c r="E849" s="28"/>
      <c r="F849" s="28"/>
      <c r="G849" s="28"/>
      <c r="H849" s="28"/>
      <c r="I849" s="28"/>
      <c r="J849" s="28"/>
      <c r="K849" s="28"/>
      <c r="L849" s="28"/>
      <c r="M849" s="33"/>
      <c r="N849" s="33"/>
      <c r="O849" s="33"/>
      <c r="P849" s="33"/>
      <c r="Q849" s="28"/>
      <c r="R849" s="28"/>
      <c r="S849" s="28"/>
      <c r="T849" s="28"/>
      <c r="U849" s="28"/>
      <c r="V849" s="28"/>
      <c r="W849" s="28"/>
      <c r="X849" s="28"/>
      <c r="Y849" s="28"/>
      <c r="Z849" s="28"/>
      <c r="AA849" s="28"/>
    </row>
    <row r="850" ht="18.75" customHeight="1">
      <c r="A850" s="28"/>
      <c r="B850" s="28"/>
      <c r="C850" s="28"/>
      <c r="D850" s="28"/>
      <c r="E850" s="28"/>
      <c r="F850" s="28"/>
      <c r="G850" s="28"/>
      <c r="H850" s="28"/>
      <c r="I850" s="28"/>
      <c r="J850" s="28"/>
      <c r="K850" s="28"/>
      <c r="L850" s="28"/>
      <c r="M850" s="33"/>
      <c r="N850" s="33"/>
      <c r="O850" s="33"/>
      <c r="P850" s="33"/>
      <c r="Q850" s="28"/>
      <c r="R850" s="28"/>
      <c r="S850" s="28"/>
      <c r="T850" s="28"/>
      <c r="U850" s="28"/>
      <c r="V850" s="28"/>
      <c r="W850" s="28"/>
      <c r="X850" s="28"/>
      <c r="Y850" s="28"/>
      <c r="Z850" s="28"/>
      <c r="AA850" s="28"/>
    </row>
    <row r="851" ht="18.75" customHeight="1">
      <c r="A851" s="28"/>
      <c r="B851" s="28"/>
      <c r="C851" s="28"/>
      <c r="D851" s="28"/>
      <c r="E851" s="28"/>
      <c r="F851" s="28"/>
      <c r="G851" s="28"/>
      <c r="H851" s="28"/>
      <c r="I851" s="28"/>
      <c r="J851" s="28"/>
      <c r="K851" s="28"/>
      <c r="L851" s="28"/>
      <c r="M851" s="33"/>
      <c r="N851" s="33"/>
      <c r="O851" s="33"/>
      <c r="P851" s="33"/>
      <c r="Q851" s="28"/>
      <c r="R851" s="28"/>
      <c r="S851" s="28"/>
      <c r="T851" s="28"/>
      <c r="U851" s="28"/>
      <c r="V851" s="28"/>
      <c r="W851" s="28"/>
      <c r="X851" s="28"/>
      <c r="Y851" s="28"/>
      <c r="Z851" s="28"/>
      <c r="AA851" s="28"/>
    </row>
    <row r="852" ht="18.75" customHeight="1">
      <c r="A852" s="28"/>
      <c r="B852" s="28"/>
      <c r="C852" s="28"/>
      <c r="D852" s="28"/>
      <c r="E852" s="28"/>
      <c r="F852" s="28"/>
      <c r="G852" s="28"/>
      <c r="H852" s="28"/>
      <c r="I852" s="28"/>
      <c r="J852" s="28"/>
      <c r="K852" s="28"/>
      <c r="L852" s="28"/>
      <c r="M852" s="33"/>
      <c r="N852" s="33"/>
      <c r="O852" s="33"/>
      <c r="P852" s="33"/>
      <c r="Q852" s="28"/>
      <c r="R852" s="28"/>
      <c r="S852" s="28"/>
      <c r="T852" s="28"/>
      <c r="U852" s="28"/>
      <c r="V852" s="28"/>
      <c r="W852" s="28"/>
      <c r="X852" s="28"/>
      <c r="Y852" s="28"/>
      <c r="Z852" s="28"/>
      <c r="AA852" s="28"/>
    </row>
    <row r="853" ht="18.75" customHeight="1">
      <c r="A853" s="28"/>
      <c r="B853" s="28"/>
      <c r="C853" s="28"/>
      <c r="D853" s="28"/>
      <c r="E853" s="28"/>
      <c r="F853" s="28"/>
      <c r="G853" s="28"/>
      <c r="H853" s="28"/>
      <c r="I853" s="28"/>
      <c r="J853" s="28"/>
      <c r="K853" s="28"/>
      <c r="L853" s="28"/>
      <c r="M853" s="33"/>
      <c r="N853" s="33"/>
      <c r="O853" s="33"/>
      <c r="P853" s="33"/>
      <c r="Q853" s="28"/>
      <c r="R853" s="28"/>
      <c r="S853" s="28"/>
      <c r="T853" s="28"/>
      <c r="U853" s="28"/>
      <c r="V853" s="28"/>
      <c r="W853" s="28"/>
      <c r="X853" s="28"/>
      <c r="Y853" s="28"/>
      <c r="Z853" s="28"/>
      <c r="AA853" s="28"/>
    </row>
    <row r="854" ht="18.75" customHeight="1">
      <c r="A854" s="28"/>
      <c r="B854" s="28"/>
      <c r="C854" s="28"/>
      <c r="D854" s="28"/>
      <c r="E854" s="28"/>
      <c r="F854" s="28"/>
      <c r="G854" s="28"/>
      <c r="H854" s="28"/>
      <c r="I854" s="28"/>
      <c r="J854" s="28"/>
      <c r="K854" s="28"/>
      <c r="L854" s="28"/>
      <c r="M854" s="33"/>
      <c r="N854" s="33"/>
      <c r="O854" s="33"/>
      <c r="P854" s="33"/>
      <c r="Q854" s="28"/>
      <c r="R854" s="28"/>
      <c r="S854" s="28"/>
      <c r="T854" s="28"/>
      <c r="U854" s="28"/>
      <c r="V854" s="28"/>
      <c r="W854" s="28"/>
      <c r="X854" s="28"/>
      <c r="Y854" s="28"/>
      <c r="Z854" s="28"/>
      <c r="AA854" s="28"/>
    </row>
    <row r="855" ht="18.75" customHeight="1">
      <c r="A855" s="28"/>
      <c r="B855" s="28"/>
      <c r="C855" s="28"/>
      <c r="D855" s="28"/>
      <c r="E855" s="28"/>
      <c r="F855" s="28"/>
      <c r="G855" s="28"/>
      <c r="H855" s="28"/>
      <c r="I855" s="28"/>
      <c r="J855" s="28"/>
      <c r="K855" s="28"/>
      <c r="L855" s="28"/>
      <c r="M855" s="33"/>
      <c r="N855" s="33"/>
      <c r="O855" s="33"/>
      <c r="P855" s="33"/>
      <c r="Q855" s="28"/>
      <c r="R855" s="28"/>
      <c r="S855" s="28"/>
      <c r="T855" s="28"/>
      <c r="U855" s="28"/>
      <c r="V855" s="28"/>
      <c r="W855" s="28"/>
      <c r="X855" s="28"/>
      <c r="Y855" s="28"/>
      <c r="Z855" s="28"/>
      <c r="AA855" s="28"/>
    </row>
    <row r="856" ht="18.75" customHeight="1">
      <c r="A856" s="28"/>
      <c r="B856" s="28"/>
      <c r="C856" s="28"/>
      <c r="D856" s="28"/>
      <c r="E856" s="28"/>
      <c r="F856" s="28"/>
      <c r="G856" s="28"/>
      <c r="H856" s="28"/>
      <c r="I856" s="28"/>
      <c r="J856" s="28"/>
      <c r="K856" s="28"/>
      <c r="L856" s="28"/>
      <c r="M856" s="33"/>
      <c r="N856" s="33"/>
      <c r="O856" s="33"/>
      <c r="P856" s="33"/>
      <c r="Q856" s="28"/>
      <c r="R856" s="28"/>
      <c r="S856" s="28"/>
      <c r="T856" s="28"/>
      <c r="U856" s="28"/>
      <c r="V856" s="28"/>
      <c r="W856" s="28"/>
      <c r="X856" s="28"/>
      <c r="Y856" s="28"/>
      <c r="Z856" s="28"/>
      <c r="AA856" s="28"/>
    </row>
    <row r="857" ht="18.75" customHeight="1">
      <c r="A857" s="28"/>
      <c r="B857" s="28"/>
      <c r="C857" s="28"/>
      <c r="D857" s="28"/>
      <c r="E857" s="28"/>
      <c r="F857" s="28"/>
      <c r="G857" s="28"/>
      <c r="H857" s="28"/>
      <c r="I857" s="28"/>
      <c r="J857" s="28"/>
      <c r="K857" s="28"/>
      <c r="L857" s="28"/>
      <c r="M857" s="33"/>
      <c r="N857" s="33"/>
      <c r="O857" s="33"/>
      <c r="P857" s="33"/>
      <c r="Q857" s="28"/>
      <c r="R857" s="28"/>
      <c r="S857" s="28"/>
      <c r="T857" s="28"/>
      <c r="U857" s="28"/>
      <c r="V857" s="28"/>
      <c r="W857" s="28"/>
      <c r="X857" s="28"/>
      <c r="Y857" s="28"/>
      <c r="Z857" s="28"/>
      <c r="AA857" s="28"/>
    </row>
    <row r="858" ht="18.75" customHeight="1">
      <c r="A858" s="28"/>
      <c r="B858" s="28"/>
      <c r="C858" s="28"/>
      <c r="D858" s="28"/>
      <c r="E858" s="28"/>
      <c r="F858" s="28"/>
      <c r="G858" s="28"/>
      <c r="H858" s="28"/>
      <c r="I858" s="28"/>
      <c r="J858" s="28"/>
      <c r="K858" s="28"/>
      <c r="L858" s="28"/>
      <c r="M858" s="33"/>
      <c r="N858" s="33"/>
      <c r="O858" s="33"/>
      <c r="P858" s="33"/>
      <c r="Q858" s="28"/>
      <c r="R858" s="28"/>
      <c r="S858" s="28"/>
      <c r="T858" s="28"/>
      <c r="U858" s="28"/>
      <c r="V858" s="28"/>
      <c r="W858" s="28"/>
      <c r="X858" s="28"/>
      <c r="Y858" s="28"/>
      <c r="Z858" s="28"/>
      <c r="AA858" s="28"/>
    </row>
    <row r="859" ht="18.75" customHeight="1">
      <c r="A859" s="28"/>
      <c r="B859" s="28"/>
      <c r="C859" s="28"/>
      <c r="D859" s="28"/>
      <c r="E859" s="28"/>
      <c r="F859" s="28"/>
      <c r="G859" s="28"/>
      <c r="H859" s="28"/>
      <c r="I859" s="28"/>
      <c r="J859" s="28"/>
      <c r="K859" s="28"/>
      <c r="L859" s="28"/>
      <c r="M859" s="33"/>
      <c r="N859" s="33"/>
      <c r="O859" s="33"/>
      <c r="P859" s="33"/>
      <c r="Q859" s="28"/>
      <c r="R859" s="28"/>
      <c r="S859" s="28"/>
      <c r="T859" s="28"/>
      <c r="U859" s="28"/>
      <c r="V859" s="28"/>
      <c r="W859" s="28"/>
      <c r="X859" s="28"/>
      <c r="Y859" s="28"/>
      <c r="Z859" s="28"/>
      <c r="AA859" s="28"/>
    </row>
    <row r="860" ht="18.75" customHeight="1">
      <c r="A860" s="28"/>
      <c r="B860" s="28"/>
      <c r="C860" s="28"/>
      <c r="D860" s="28"/>
      <c r="E860" s="28"/>
      <c r="F860" s="28"/>
      <c r="G860" s="28"/>
      <c r="H860" s="28"/>
      <c r="I860" s="28"/>
      <c r="J860" s="28"/>
      <c r="K860" s="28"/>
      <c r="L860" s="28"/>
      <c r="M860" s="33"/>
      <c r="N860" s="33"/>
      <c r="O860" s="33"/>
      <c r="P860" s="33"/>
      <c r="Q860" s="28"/>
      <c r="R860" s="28"/>
      <c r="S860" s="28"/>
      <c r="T860" s="28"/>
      <c r="U860" s="28"/>
      <c r="V860" s="28"/>
      <c r="W860" s="28"/>
      <c r="X860" s="28"/>
      <c r="Y860" s="28"/>
      <c r="Z860" s="28"/>
      <c r="AA860" s="28"/>
    </row>
    <row r="861" ht="18.75" customHeight="1">
      <c r="A861" s="28"/>
      <c r="B861" s="28"/>
      <c r="C861" s="28"/>
      <c r="D861" s="28"/>
      <c r="E861" s="28"/>
      <c r="F861" s="28"/>
      <c r="G861" s="28"/>
      <c r="H861" s="28"/>
      <c r="I861" s="28"/>
      <c r="J861" s="28"/>
      <c r="K861" s="28"/>
      <c r="L861" s="28"/>
      <c r="M861" s="33"/>
      <c r="N861" s="33"/>
      <c r="O861" s="33"/>
      <c r="P861" s="33"/>
      <c r="Q861" s="28"/>
      <c r="R861" s="28"/>
      <c r="S861" s="28"/>
      <c r="T861" s="28"/>
      <c r="U861" s="28"/>
      <c r="V861" s="28"/>
      <c r="W861" s="28"/>
      <c r="X861" s="28"/>
      <c r="Y861" s="28"/>
      <c r="Z861" s="28"/>
      <c r="AA861" s="28"/>
    </row>
    <row r="862" ht="18.75" customHeight="1">
      <c r="A862" s="28"/>
      <c r="B862" s="28"/>
      <c r="C862" s="28"/>
      <c r="D862" s="28"/>
      <c r="E862" s="28"/>
      <c r="F862" s="28"/>
      <c r="G862" s="28"/>
      <c r="H862" s="28"/>
      <c r="I862" s="28"/>
      <c r="J862" s="28"/>
      <c r="K862" s="28"/>
      <c r="L862" s="28"/>
      <c r="M862" s="33"/>
      <c r="N862" s="33"/>
      <c r="O862" s="33"/>
      <c r="P862" s="33"/>
      <c r="Q862" s="28"/>
      <c r="R862" s="28"/>
      <c r="S862" s="28"/>
      <c r="T862" s="28"/>
      <c r="U862" s="28"/>
      <c r="V862" s="28"/>
      <c r="W862" s="28"/>
      <c r="X862" s="28"/>
      <c r="Y862" s="28"/>
      <c r="Z862" s="28"/>
      <c r="AA862" s="28"/>
    </row>
    <row r="863" ht="18.75" customHeight="1">
      <c r="A863" s="28"/>
      <c r="B863" s="28"/>
      <c r="C863" s="28"/>
      <c r="D863" s="28"/>
      <c r="E863" s="28"/>
      <c r="F863" s="28"/>
      <c r="G863" s="28"/>
      <c r="H863" s="28"/>
      <c r="I863" s="28"/>
      <c r="J863" s="28"/>
      <c r="K863" s="28"/>
      <c r="L863" s="28"/>
      <c r="M863" s="33"/>
      <c r="N863" s="33"/>
      <c r="O863" s="33"/>
      <c r="P863" s="33"/>
      <c r="Q863" s="28"/>
      <c r="R863" s="28"/>
      <c r="S863" s="28"/>
      <c r="T863" s="28"/>
      <c r="U863" s="28"/>
      <c r="V863" s="28"/>
      <c r="W863" s="28"/>
      <c r="X863" s="28"/>
      <c r="Y863" s="28"/>
      <c r="Z863" s="28"/>
      <c r="AA863" s="28"/>
    </row>
    <row r="864" ht="18.75" customHeight="1">
      <c r="A864" s="28"/>
      <c r="B864" s="28"/>
      <c r="C864" s="28"/>
      <c r="D864" s="28"/>
      <c r="E864" s="28"/>
      <c r="F864" s="28"/>
      <c r="G864" s="28"/>
      <c r="H864" s="28"/>
      <c r="I864" s="28"/>
      <c r="J864" s="28"/>
      <c r="K864" s="28"/>
      <c r="L864" s="28"/>
      <c r="M864" s="33"/>
      <c r="N864" s="33"/>
      <c r="O864" s="33"/>
      <c r="P864" s="33"/>
      <c r="Q864" s="28"/>
      <c r="R864" s="28"/>
      <c r="S864" s="28"/>
      <c r="T864" s="28"/>
      <c r="U864" s="28"/>
      <c r="V864" s="28"/>
      <c r="W864" s="28"/>
      <c r="X864" s="28"/>
      <c r="Y864" s="28"/>
      <c r="Z864" s="28"/>
      <c r="AA864" s="28"/>
    </row>
    <row r="865" ht="18.75" customHeight="1">
      <c r="A865" s="28"/>
      <c r="B865" s="28"/>
      <c r="C865" s="28"/>
      <c r="D865" s="28"/>
      <c r="E865" s="28"/>
      <c r="F865" s="28"/>
      <c r="G865" s="28"/>
      <c r="H865" s="28"/>
      <c r="I865" s="28"/>
      <c r="J865" s="28"/>
      <c r="K865" s="28"/>
      <c r="L865" s="28"/>
      <c r="M865" s="33"/>
      <c r="N865" s="33"/>
      <c r="O865" s="33"/>
      <c r="P865" s="33"/>
      <c r="Q865" s="28"/>
      <c r="R865" s="28"/>
      <c r="S865" s="28"/>
      <c r="T865" s="28"/>
      <c r="U865" s="28"/>
      <c r="V865" s="28"/>
      <c r="W865" s="28"/>
      <c r="X865" s="28"/>
      <c r="Y865" s="28"/>
      <c r="Z865" s="28"/>
      <c r="AA865" s="28"/>
    </row>
    <row r="866" ht="18.75" customHeight="1">
      <c r="A866" s="28"/>
      <c r="B866" s="28"/>
      <c r="C866" s="28"/>
      <c r="D866" s="28"/>
      <c r="E866" s="28"/>
      <c r="F866" s="28"/>
      <c r="G866" s="28"/>
      <c r="H866" s="28"/>
      <c r="I866" s="28"/>
      <c r="J866" s="28"/>
      <c r="K866" s="28"/>
      <c r="L866" s="28"/>
      <c r="M866" s="33"/>
      <c r="N866" s="33"/>
      <c r="O866" s="33"/>
      <c r="P866" s="33"/>
      <c r="Q866" s="28"/>
      <c r="R866" s="28"/>
      <c r="S866" s="28"/>
      <c r="T866" s="28"/>
      <c r="U866" s="28"/>
      <c r="V866" s="28"/>
      <c r="W866" s="28"/>
      <c r="X866" s="28"/>
      <c r="Y866" s="28"/>
      <c r="Z866" s="28"/>
      <c r="AA866" s="28"/>
    </row>
    <row r="867" ht="18.75" customHeight="1">
      <c r="A867" s="28"/>
      <c r="B867" s="28"/>
      <c r="C867" s="28"/>
      <c r="D867" s="28"/>
      <c r="E867" s="28"/>
      <c r="F867" s="28"/>
      <c r="G867" s="28"/>
      <c r="H867" s="28"/>
      <c r="I867" s="28"/>
      <c r="J867" s="28"/>
      <c r="K867" s="28"/>
      <c r="L867" s="28"/>
      <c r="M867" s="33"/>
      <c r="N867" s="33"/>
      <c r="O867" s="33"/>
      <c r="P867" s="33"/>
      <c r="Q867" s="28"/>
      <c r="R867" s="28"/>
      <c r="S867" s="28"/>
      <c r="T867" s="28"/>
      <c r="U867" s="28"/>
      <c r="V867" s="28"/>
      <c r="W867" s="28"/>
      <c r="X867" s="28"/>
      <c r="Y867" s="28"/>
      <c r="Z867" s="28"/>
      <c r="AA867" s="28"/>
    </row>
    <row r="868" ht="18.75" customHeight="1">
      <c r="A868" s="28"/>
      <c r="B868" s="28"/>
      <c r="C868" s="28"/>
      <c r="D868" s="28"/>
      <c r="E868" s="28"/>
      <c r="F868" s="28"/>
      <c r="G868" s="28"/>
      <c r="H868" s="28"/>
      <c r="I868" s="28"/>
      <c r="J868" s="28"/>
      <c r="K868" s="28"/>
      <c r="L868" s="28"/>
      <c r="M868" s="33"/>
      <c r="N868" s="33"/>
      <c r="O868" s="33"/>
      <c r="P868" s="33"/>
      <c r="Q868" s="28"/>
      <c r="R868" s="28"/>
      <c r="S868" s="28"/>
      <c r="T868" s="28"/>
      <c r="U868" s="28"/>
      <c r="V868" s="28"/>
      <c r="W868" s="28"/>
      <c r="X868" s="28"/>
      <c r="Y868" s="28"/>
      <c r="Z868" s="28"/>
      <c r="AA868" s="28"/>
    </row>
    <row r="869" ht="18.75" customHeight="1">
      <c r="A869" s="28"/>
      <c r="B869" s="28"/>
      <c r="C869" s="28"/>
      <c r="D869" s="28"/>
      <c r="E869" s="28"/>
      <c r="F869" s="28"/>
      <c r="G869" s="28"/>
      <c r="H869" s="28"/>
      <c r="I869" s="28"/>
      <c r="J869" s="28"/>
      <c r="K869" s="28"/>
      <c r="L869" s="28"/>
      <c r="M869" s="33"/>
      <c r="N869" s="33"/>
      <c r="O869" s="33"/>
      <c r="P869" s="33"/>
      <c r="Q869" s="28"/>
      <c r="R869" s="28"/>
      <c r="S869" s="28"/>
      <c r="T869" s="28"/>
      <c r="U869" s="28"/>
      <c r="V869" s="28"/>
      <c r="W869" s="28"/>
      <c r="X869" s="28"/>
      <c r="Y869" s="28"/>
      <c r="Z869" s="28"/>
      <c r="AA869" s="28"/>
    </row>
    <row r="870" ht="18.75" customHeight="1">
      <c r="A870" s="28"/>
      <c r="B870" s="28"/>
      <c r="C870" s="28"/>
      <c r="D870" s="28"/>
      <c r="E870" s="28"/>
      <c r="F870" s="28"/>
      <c r="G870" s="28"/>
      <c r="H870" s="28"/>
      <c r="I870" s="28"/>
      <c r="J870" s="28"/>
      <c r="K870" s="28"/>
      <c r="L870" s="28"/>
      <c r="M870" s="33"/>
      <c r="N870" s="33"/>
      <c r="O870" s="33"/>
      <c r="P870" s="33"/>
      <c r="Q870" s="28"/>
      <c r="R870" s="28"/>
      <c r="S870" s="28"/>
      <c r="T870" s="28"/>
      <c r="U870" s="28"/>
      <c r="V870" s="28"/>
      <c r="W870" s="28"/>
      <c r="X870" s="28"/>
      <c r="Y870" s="28"/>
      <c r="Z870" s="28"/>
      <c r="AA870" s="28"/>
    </row>
    <row r="871" ht="18.75" customHeight="1">
      <c r="A871" s="28"/>
      <c r="B871" s="28"/>
      <c r="C871" s="28"/>
      <c r="D871" s="28"/>
      <c r="E871" s="28"/>
      <c r="F871" s="28"/>
      <c r="G871" s="28"/>
      <c r="H871" s="28"/>
      <c r="I871" s="28"/>
      <c r="J871" s="28"/>
      <c r="K871" s="28"/>
      <c r="L871" s="28"/>
      <c r="M871" s="33"/>
      <c r="N871" s="33"/>
      <c r="O871" s="33"/>
      <c r="P871" s="33"/>
      <c r="Q871" s="28"/>
      <c r="R871" s="28"/>
      <c r="S871" s="28"/>
      <c r="T871" s="28"/>
      <c r="U871" s="28"/>
      <c r="V871" s="28"/>
      <c r="W871" s="28"/>
      <c r="X871" s="28"/>
      <c r="Y871" s="28"/>
      <c r="Z871" s="28"/>
      <c r="AA871" s="28"/>
    </row>
    <row r="872" ht="18.75" customHeight="1">
      <c r="A872" s="28"/>
      <c r="B872" s="28"/>
      <c r="C872" s="28"/>
      <c r="D872" s="28"/>
      <c r="E872" s="28"/>
      <c r="F872" s="28"/>
      <c r="G872" s="28"/>
      <c r="H872" s="28"/>
      <c r="I872" s="28"/>
      <c r="J872" s="28"/>
      <c r="K872" s="28"/>
      <c r="L872" s="28"/>
      <c r="M872" s="33"/>
      <c r="N872" s="33"/>
      <c r="O872" s="33"/>
      <c r="P872" s="33"/>
      <c r="Q872" s="28"/>
      <c r="R872" s="28"/>
      <c r="S872" s="28"/>
      <c r="T872" s="28"/>
      <c r="U872" s="28"/>
      <c r="V872" s="28"/>
      <c r="W872" s="28"/>
      <c r="X872" s="28"/>
      <c r="Y872" s="28"/>
      <c r="Z872" s="28"/>
      <c r="AA872" s="28"/>
    </row>
    <row r="873" ht="18.75" customHeight="1">
      <c r="A873" s="28"/>
      <c r="B873" s="28"/>
      <c r="C873" s="28"/>
      <c r="D873" s="28"/>
      <c r="E873" s="28"/>
      <c r="F873" s="28"/>
      <c r="G873" s="28"/>
      <c r="H873" s="28"/>
      <c r="I873" s="28"/>
      <c r="J873" s="28"/>
      <c r="K873" s="28"/>
      <c r="L873" s="28"/>
      <c r="M873" s="33"/>
      <c r="N873" s="33"/>
      <c r="O873" s="33"/>
      <c r="P873" s="33"/>
      <c r="Q873" s="28"/>
      <c r="R873" s="28"/>
      <c r="S873" s="28"/>
      <c r="T873" s="28"/>
      <c r="U873" s="28"/>
      <c r="V873" s="28"/>
      <c r="W873" s="28"/>
      <c r="X873" s="28"/>
      <c r="Y873" s="28"/>
      <c r="Z873" s="28"/>
      <c r="AA873" s="28"/>
    </row>
    <row r="874" ht="18.75" customHeight="1">
      <c r="A874" s="28"/>
      <c r="B874" s="28"/>
      <c r="C874" s="28"/>
      <c r="D874" s="28"/>
      <c r="E874" s="28"/>
      <c r="F874" s="28"/>
      <c r="G874" s="28"/>
      <c r="H874" s="28"/>
      <c r="I874" s="28"/>
      <c r="J874" s="28"/>
      <c r="K874" s="28"/>
      <c r="L874" s="28"/>
      <c r="M874" s="33"/>
      <c r="N874" s="33"/>
      <c r="O874" s="33"/>
      <c r="P874" s="33"/>
      <c r="Q874" s="28"/>
      <c r="R874" s="28"/>
      <c r="S874" s="28"/>
      <c r="T874" s="28"/>
      <c r="U874" s="28"/>
      <c r="V874" s="28"/>
      <c r="W874" s="28"/>
      <c r="X874" s="28"/>
      <c r="Y874" s="28"/>
      <c r="Z874" s="28"/>
      <c r="AA874" s="28"/>
    </row>
    <row r="875" ht="18.75" customHeight="1">
      <c r="A875" s="28"/>
      <c r="B875" s="28"/>
      <c r="C875" s="28"/>
      <c r="D875" s="28"/>
      <c r="E875" s="28"/>
      <c r="F875" s="28"/>
      <c r="G875" s="28"/>
      <c r="H875" s="28"/>
      <c r="I875" s="28"/>
      <c r="J875" s="28"/>
      <c r="K875" s="28"/>
      <c r="L875" s="28"/>
      <c r="M875" s="33"/>
      <c r="N875" s="33"/>
      <c r="O875" s="33"/>
      <c r="P875" s="33"/>
      <c r="Q875" s="28"/>
      <c r="R875" s="28"/>
      <c r="S875" s="28"/>
      <c r="T875" s="28"/>
      <c r="U875" s="28"/>
      <c r="V875" s="28"/>
      <c r="W875" s="28"/>
      <c r="X875" s="28"/>
      <c r="Y875" s="28"/>
      <c r="Z875" s="28"/>
      <c r="AA875" s="28"/>
    </row>
    <row r="876" ht="18.75" customHeight="1">
      <c r="A876" s="28"/>
      <c r="B876" s="28"/>
      <c r="C876" s="28"/>
      <c r="D876" s="28"/>
      <c r="E876" s="28"/>
      <c r="F876" s="28"/>
      <c r="G876" s="28"/>
      <c r="H876" s="28"/>
      <c r="I876" s="28"/>
      <c r="J876" s="28"/>
      <c r="K876" s="28"/>
      <c r="L876" s="28"/>
      <c r="M876" s="33"/>
      <c r="N876" s="33"/>
      <c r="O876" s="33"/>
      <c r="P876" s="33"/>
      <c r="Q876" s="28"/>
      <c r="R876" s="28"/>
      <c r="S876" s="28"/>
      <c r="T876" s="28"/>
      <c r="U876" s="28"/>
      <c r="V876" s="28"/>
      <c r="W876" s="28"/>
      <c r="X876" s="28"/>
      <c r="Y876" s="28"/>
      <c r="Z876" s="28"/>
      <c r="AA876" s="28"/>
    </row>
    <row r="877" ht="18.75" customHeight="1">
      <c r="A877" s="28"/>
      <c r="B877" s="28"/>
      <c r="C877" s="28"/>
      <c r="D877" s="28"/>
      <c r="E877" s="28"/>
      <c r="F877" s="28"/>
      <c r="G877" s="28"/>
      <c r="H877" s="28"/>
      <c r="I877" s="28"/>
      <c r="J877" s="28"/>
      <c r="K877" s="28"/>
      <c r="L877" s="28"/>
      <c r="M877" s="33"/>
      <c r="N877" s="33"/>
      <c r="O877" s="33"/>
      <c r="P877" s="33"/>
      <c r="Q877" s="28"/>
      <c r="R877" s="28"/>
      <c r="S877" s="28"/>
      <c r="T877" s="28"/>
      <c r="U877" s="28"/>
      <c r="V877" s="28"/>
      <c r="W877" s="28"/>
      <c r="X877" s="28"/>
      <c r="Y877" s="28"/>
      <c r="Z877" s="28"/>
      <c r="AA877" s="28"/>
    </row>
    <row r="878" ht="18.75" customHeight="1">
      <c r="A878" s="28"/>
      <c r="B878" s="28"/>
      <c r="C878" s="28"/>
      <c r="D878" s="28"/>
      <c r="E878" s="28"/>
      <c r="F878" s="28"/>
      <c r="G878" s="28"/>
      <c r="H878" s="28"/>
      <c r="I878" s="28"/>
      <c r="J878" s="28"/>
      <c r="K878" s="28"/>
      <c r="L878" s="28"/>
      <c r="M878" s="33"/>
      <c r="N878" s="33"/>
      <c r="O878" s="33"/>
      <c r="P878" s="33"/>
      <c r="Q878" s="28"/>
      <c r="R878" s="28"/>
      <c r="S878" s="28"/>
      <c r="T878" s="28"/>
      <c r="U878" s="28"/>
      <c r="V878" s="28"/>
      <c r="W878" s="28"/>
      <c r="X878" s="28"/>
      <c r="Y878" s="28"/>
      <c r="Z878" s="28"/>
      <c r="AA878" s="28"/>
    </row>
    <row r="879" ht="18.75" customHeight="1">
      <c r="A879" s="28"/>
      <c r="B879" s="28"/>
      <c r="C879" s="28"/>
      <c r="D879" s="28"/>
      <c r="E879" s="28"/>
      <c r="F879" s="28"/>
      <c r="G879" s="28"/>
      <c r="H879" s="28"/>
      <c r="I879" s="28"/>
      <c r="J879" s="28"/>
      <c r="K879" s="28"/>
      <c r="L879" s="28"/>
      <c r="M879" s="33"/>
      <c r="N879" s="33"/>
      <c r="O879" s="33"/>
      <c r="P879" s="33"/>
      <c r="Q879" s="28"/>
      <c r="R879" s="28"/>
      <c r="S879" s="28"/>
      <c r="T879" s="28"/>
      <c r="U879" s="28"/>
      <c r="V879" s="28"/>
      <c r="W879" s="28"/>
      <c r="X879" s="28"/>
      <c r="Y879" s="28"/>
      <c r="Z879" s="28"/>
      <c r="AA879" s="28"/>
    </row>
    <row r="880" ht="18.75" customHeight="1">
      <c r="A880" s="28"/>
      <c r="B880" s="28"/>
      <c r="C880" s="28"/>
      <c r="D880" s="28"/>
      <c r="E880" s="28"/>
      <c r="F880" s="28"/>
      <c r="G880" s="28"/>
      <c r="H880" s="28"/>
      <c r="I880" s="28"/>
      <c r="J880" s="28"/>
      <c r="K880" s="28"/>
      <c r="L880" s="28"/>
      <c r="M880" s="33"/>
      <c r="N880" s="33"/>
      <c r="O880" s="33"/>
      <c r="P880" s="33"/>
      <c r="Q880" s="28"/>
      <c r="R880" s="28"/>
      <c r="S880" s="28"/>
      <c r="T880" s="28"/>
      <c r="U880" s="28"/>
      <c r="V880" s="28"/>
      <c r="W880" s="28"/>
      <c r="X880" s="28"/>
      <c r="Y880" s="28"/>
      <c r="Z880" s="28"/>
      <c r="AA880" s="28"/>
    </row>
    <row r="881" ht="18.75" customHeight="1">
      <c r="A881" s="28"/>
      <c r="B881" s="28"/>
      <c r="C881" s="28"/>
      <c r="D881" s="28"/>
      <c r="E881" s="28"/>
      <c r="F881" s="28"/>
      <c r="G881" s="28"/>
      <c r="H881" s="28"/>
      <c r="I881" s="28"/>
      <c r="J881" s="28"/>
      <c r="K881" s="28"/>
      <c r="L881" s="28"/>
      <c r="M881" s="33"/>
      <c r="N881" s="33"/>
      <c r="O881" s="33"/>
      <c r="P881" s="33"/>
      <c r="Q881" s="28"/>
      <c r="R881" s="28"/>
      <c r="S881" s="28"/>
      <c r="T881" s="28"/>
      <c r="U881" s="28"/>
      <c r="V881" s="28"/>
      <c r="W881" s="28"/>
      <c r="X881" s="28"/>
      <c r="Y881" s="28"/>
      <c r="Z881" s="28"/>
      <c r="AA881" s="28"/>
    </row>
    <row r="882" ht="18.75" customHeight="1">
      <c r="A882" s="28"/>
      <c r="B882" s="28"/>
      <c r="C882" s="28"/>
      <c r="D882" s="28"/>
      <c r="E882" s="28"/>
      <c r="F882" s="28"/>
      <c r="G882" s="28"/>
      <c r="H882" s="28"/>
      <c r="I882" s="28"/>
      <c r="J882" s="28"/>
      <c r="K882" s="28"/>
      <c r="L882" s="28"/>
      <c r="M882" s="33"/>
      <c r="N882" s="33"/>
      <c r="O882" s="33"/>
      <c r="P882" s="33"/>
      <c r="Q882" s="28"/>
      <c r="R882" s="28"/>
      <c r="S882" s="28"/>
      <c r="T882" s="28"/>
      <c r="U882" s="28"/>
      <c r="V882" s="28"/>
      <c r="W882" s="28"/>
      <c r="X882" s="28"/>
      <c r="Y882" s="28"/>
      <c r="Z882" s="28"/>
      <c r="AA882" s="28"/>
    </row>
    <row r="883" ht="18.75" customHeight="1">
      <c r="A883" s="28"/>
      <c r="B883" s="28"/>
      <c r="C883" s="28"/>
      <c r="D883" s="28"/>
      <c r="E883" s="28"/>
      <c r="F883" s="28"/>
      <c r="G883" s="28"/>
      <c r="H883" s="28"/>
      <c r="I883" s="28"/>
      <c r="J883" s="28"/>
      <c r="K883" s="28"/>
      <c r="L883" s="28"/>
      <c r="M883" s="33"/>
      <c r="N883" s="33"/>
      <c r="O883" s="33"/>
      <c r="P883" s="33"/>
      <c r="Q883" s="28"/>
      <c r="R883" s="28"/>
      <c r="S883" s="28"/>
      <c r="T883" s="28"/>
      <c r="U883" s="28"/>
      <c r="V883" s="28"/>
      <c r="W883" s="28"/>
      <c r="X883" s="28"/>
      <c r="Y883" s="28"/>
      <c r="Z883" s="28"/>
      <c r="AA883" s="28"/>
    </row>
    <row r="884" ht="18.75" customHeight="1">
      <c r="A884" s="28"/>
      <c r="B884" s="28"/>
      <c r="C884" s="28"/>
      <c r="D884" s="28"/>
      <c r="E884" s="28"/>
      <c r="F884" s="28"/>
      <c r="G884" s="28"/>
      <c r="H884" s="28"/>
      <c r="I884" s="28"/>
      <c r="J884" s="28"/>
      <c r="K884" s="28"/>
      <c r="L884" s="28"/>
      <c r="M884" s="33"/>
      <c r="N884" s="33"/>
      <c r="O884" s="33"/>
      <c r="P884" s="33"/>
      <c r="Q884" s="28"/>
      <c r="R884" s="28"/>
      <c r="S884" s="28"/>
      <c r="T884" s="28"/>
      <c r="U884" s="28"/>
      <c r="V884" s="28"/>
      <c r="W884" s="28"/>
      <c r="X884" s="28"/>
      <c r="Y884" s="28"/>
      <c r="Z884" s="28"/>
      <c r="AA884" s="28"/>
    </row>
    <row r="885" ht="18.75" customHeight="1">
      <c r="A885" s="28"/>
      <c r="B885" s="28"/>
      <c r="C885" s="28"/>
      <c r="D885" s="28"/>
      <c r="E885" s="28"/>
      <c r="F885" s="28"/>
      <c r="G885" s="28"/>
      <c r="H885" s="28"/>
      <c r="I885" s="28"/>
      <c r="J885" s="28"/>
      <c r="K885" s="28"/>
      <c r="L885" s="28"/>
      <c r="M885" s="33"/>
      <c r="N885" s="33"/>
      <c r="O885" s="33"/>
      <c r="P885" s="33"/>
      <c r="Q885" s="28"/>
      <c r="R885" s="28"/>
      <c r="S885" s="28"/>
      <c r="T885" s="28"/>
      <c r="U885" s="28"/>
      <c r="V885" s="28"/>
      <c r="W885" s="28"/>
      <c r="X885" s="28"/>
      <c r="Y885" s="28"/>
      <c r="Z885" s="28"/>
      <c r="AA885" s="28"/>
    </row>
    <row r="886" ht="18.75" customHeight="1">
      <c r="A886" s="28"/>
      <c r="B886" s="28"/>
      <c r="C886" s="28"/>
      <c r="D886" s="28"/>
      <c r="E886" s="28"/>
      <c r="F886" s="28"/>
      <c r="G886" s="28"/>
      <c r="H886" s="28"/>
      <c r="I886" s="28"/>
      <c r="J886" s="28"/>
      <c r="K886" s="28"/>
      <c r="L886" s="28"/>
      <c r="M886" s="33"/>
      <c r="N886" s="33"/>
      <c r="O886" s="33"/>
      <c r="P886" s="33"/>
      <c r="Q886" s="28"/>
      <c r="R886" s="28"/>
      <c r="S886" s="28"/>
      <c r="T886" s="28"/>
      <c r="U886" s="28"/>
      <c r="V886" s="28"/>
      <c r="W886" s="28"/>
      <c r="X886" s="28"/>
      <c r="Y886" s="28"/>
      <c r="Z886" s="28"/>
      <c r="AA886" s="28"/>
    </row>
    <row r="887" ht="18.75" customHeight="1">
      <c r="A887" s="28"/>
      <c r="B887" s="28"/>
      <c r="C887" s="28"/>
      <c r="D887" s="28"/>
      <c r="E887" s="28"/>
      <c r="F887" s="28"/>
      <c r="G887" s="28"/>
      <c r="H887" s="28"/>
      <c r="I887" s="28"/>
      <c r="J887" s="28"/>
      <c r="K887" s="28"/>
      <c r="L887" s="28"/>
      <c r="M887" s="33"/>
      <c r="N887" s="33"/>
      <c r="O887" s="33"/>
      <c r="P887" s="33"/>
      <c r="Q887" s="28"/>
      <c r="R887" s="28"/>
      <c r="S887" s="28"/>
      <c r="T887" s="28"/>
      <c r="U887" s="28"/>
      <c r="V887" s="28"/>
      <c r="W887" s="28"/>
      <c r="X887" s="28"/>
      <c r="Y887" s="28"/>
      <c r="Z887" s="28"/>
      <c r="AA887" s="28"/>
    </row>
    <row r="888" ht="18.75" customHeight="1">
      <c r="A888" s="28"/>
      <c r="B888" s="28"/>
      <c r="C888" s="28"/>
      <c r="D888" s="28"/>
      <c r="E888" s="28"/>
      <c r="F888" s="28"/>
      <c r="G888" s="28"/>
      <c r="H888" s="28"/>
      <c r="I888" s="28"/>
      <c r="J888" s="28"/>
      <c r="K888" s="28"/>
      <c r="L888" s="28"/>
      <c r="M888" s="33"/>
      <c r="N888" s="33"/>
      <c r="O888" s="33"/>
      <c r="P888" s="33"/>
      <c r="Q888" s="28"/>
      <c r="R888" s="28"/>
      <c r="S888" s="28"/>
      <c r="T888" s="28"/>
      <c r="U888" s="28"/>
      <c r="V888" s="28"/>
      <c r="W888" s="28"/>
      <c r="X888" s="28"/>
      <c r="Y888" s="28"/>
      <c r="Z888" s="28"/>
      <c r="AA888" s="28"/>
    </row>
    <row r="889" ht="18.75" customHeight="1">
      <c r="A889" s="28"/>
      <c r="B889" s="28"/>
      <c r="C889" s="28"/>
      <c r="D889" s="28"/>
      <c r="E889" s="28"/>
      <c r="F889" s="28"/>
      <c r="G889" s="28"/>
      <c r="H889" s="28"/>
      <c r="I889" s="28"/>
      <c r="J889" s="28"/>
      <c r="K889" s="28"/>
      <c r="L889" s="28"/>
      <c r="M889" s="33"/>
      <c r="N889" s="33"/>
      <c r="O889" s="33"/>
      <c r="P889" s="33"/>
      <c r="Q889" s="28"/>
      <c r="R889" s="28"/>
      <c r="S889" s="28"/>
      <c r="T889" s="28"/>
      <c r="U889" s="28"/>
      <c r="V889" s="28"/>
      <c r="W889" s="28"/>
      <c r="X889" s="28"/>
      <c r="Y889" s="28"/>
      <c r="Z889" s="28"/>
      <c r="AA889" s="28"/>
    </row>
    <row r="890" ht="18.75" customHeight="1">
      <c r="A890" s="28"/>
      <c r="B890" s="28"/>
      <c r="C890" s="28"/>
      <c r="D890" s="28"/>
      <c r="E890" s="28"/>
      <c r="F890" s="28"/>
      <c r="G890" s="28"/>
      <c r="H890" s="28"/>
      <c r="I890" s="28"/>
      <c r="J890" s="28"/>
      <c r="K890" s="28"/>
      <c r="L890" s="28"/>
      <c r="M890" s="33"/>
      <c r="N890" s="33"/>
      <c r="O890" s="33"/>
      <c r="P890" s="33"/>
      <c r="Q890" s="28"/>
      <c r="R890" s="28"/>
      <c r="S890" s="28"/>
      <c r="T890" s="28"/>
      <c r="U890" s="28"/>
      <c r="V890" s="28"/>
      <c r="W890" s="28"/>
      <c r="X890" s="28"/>
      <c r="Y890" s="28"/>
      <c r="Z890" s="28"/>
      <c r="AA890" s="28"/>
    </row>
    <row r="891" ht="18.75" customHeight="1">
      <c r="A891" s="28"/>
      <c r="B891" s="28"/>
      <c r="C891" s="28"/>
      <c r="D891" s="28"/>
      <c r="E891" s="28"/>
      <c r="F891" s="28"/>
      <c r="G891" s="28"/>
      <c r="H891" s="28"/>
      <c r="I891" s="28"/>
      <c r="J891" s="28"/>
      <c r="K891" s="28"/>
      <c r="L891" s="28"/>
      <c r="M891" s="33"/>
      <c r="N891" s="33"/>
      <c r="O891" s="33"/>
      <c r="P891" s="33"/>
      <c r="Q891" s="28"/>
      <c r="R891" s="28"/>
      <c r="S891" s="28"/>
      <c r="T891" s="28"/>
      <c r="U891" s="28"/>
      <c r="V891" s="28"/>
      <c r="W891" s="28"/>
      <c r="X891" s="28"/>
      <c r="Y891" s="28"/>
      <c r="Z891" s="28"/>
      <c r="AA891" s="28"/>
    </row>
    <row r="892" ht="18.75" customHeight="1">
      <c r="A892" s="28"/>
      <c r="B892" s="28"/>
      <c r="C892" s="28"/>
      <c r="D892" s="28"/>
      <c r="E892" s="28"/>
      <c r="F892" s="28"/>
      <c r="G892" s="28"/>
      <c r="H892" s="28"/>
      <c r="I892" s="28"/>
      <c r="J892" s="28"/>
      <c r="K892" s="28"/>
      <c r="L892" s="28"/>
      <c r="M892" s="33"/>
      <c r="N892" s="33"/>
      <c r="O892" s="33"/>
      <c r="P892" s="33"/>
      <c r="Q892" s="28"/>
      <c r="R892" s="28"/>
      <c r="S892" s="28"/>
      <c r="T892" s="28"/>
      <c r="U892" s="28"/>
      <c r="V892" s="28"/>
      <c r="W892" s="28"/>
      <c r="X892" s="28"/>
      <c r="Y892" s="28"/>
      <c r="Z892" s="28"/>
      <c r="AA892" s="28"/>
    </row>
    <row r="893" ht="18.75" customHeight="1">
      <c r="A893" s="28"/>
      <c r="B893" s="28"/>
      <c r="C893" s="28"/>
      <c r="D893" s="28"/>
      <c r="E893" s="28"/>
      <c r="F893" s="28"/>
      <c r="G893" s="28"/>
      <c r="H893" s="28"/>
      <c r="I893" s="28"/>
      <c r="J893" s="28"/>
      <c r="K893" s="28"/>
      <c r="L893" s="28"/>
      <c r="M893" s="33"/>
      <c r="N893" s="33"/>
      <c r="O893" s="33"/>
      <c r="P893" s="33"/>
      <c r="Q893" s="28"/>
      <c r="R893" s="28"/>
      <c r="S893" s="28"/>
      <c r="T893" s="28"/>
      <c r="U893" s="28"/>
      <c r="V893" s="28"/>
      <c r="W893" s="28"/>
      <c r="X893" s="28"/>
      <c r="Y893" s="28"/>
      <c r="Z893" s="28"/>
      <c r="AA893" s="28"/>
    </row>
    <row r="894" ht="18.75" customHeight="1">
      <c r="A894" s="28"/>
      <c r="B894" s="28"/>
      <c r="C894" s="28"/>
      <c r="D894" s="28"/>
      <c r="E894" s="28"/>
      <c r="F894" s="28"/>
      <c r="G894" s="28"/>
      <c r="H894" s="28"/>
      <c r="I894" s="28"/>
      <c r="J894" s="28"/>
      <c r="K894" s="28"/>
      <c r="L894" s="28"/>
      <c r="M894" s="33"/>
      <c r="N894" s="33"/>
      <c r="O894" s="33"/>
      <c r="P894" s="33"/>
      <c r="Q894" s="28"/>
      <c r="R894" s="28"/>
      <c r="S894" s="28"/>
      <c r="T894" s="28"/>
      <c r="U894" s="28"/>
      <c r="V894" s="28"/>
      <c r="W894" s="28"/>
      <c r="X894" s="28"/>
      <c r="Y894" s="28"/>
      <c r="Z894" s="28"/>
      <c r="AA894" s="28"/>
    </row>
    <row r="895" ht="18.75" customHeight="1">
      <c r="A895" s="28"/>
      <c r="B895" s="28"/>
      <c r="C895" s="28"/>
      <c r="D895" s="28"/>
      <c r="E895" s="28"/>
      <c r="F895" s="28"/>
      <c r="G895" s="28"/>
      <c r="H895" s="28"/>
      <c r="I895" s="28"/>
      <c r="J895" s="28"/>
      <c r="K895" s="28"/>
      <c r="L895" s="28"/>
      <c r="M895" s="33"/>
      <c r="N895" s="33"/>
      <c r="O895" s="33"/>
      <c r="P895" s="33"/>
      <c r="Q895" s="28"/>
      <c r="R895" s="28"/>
      <c r="S895" s="28"/>
      <c r="T895" s="28"/>
      <c r="U895" s="28"/>
      <c r="V895" s="28"/>
      <c r="W895" s="28"/>
      <c r="X895" s="28"/>
      <c r="Y895" s="28"/>
      <c r="Z895" s="28"/>
      <c r="AA895" s="28"/>
    </row>
    <row r="896" ht="18.75" customHeight="1">
      <c r="A896" s="28"/>
      <c r="B896" s="28"/>
      <c r="C896" s="28"/>
      <c r="D896" s="28"/>
      <c r="E896" s="28"/>
      <c r="F896" s="28"/>
      <c r="G896" s="28"/>
      <c r="H896" s="28"/>
      <c r="I896" s="28"/>
      <c r="J896" s="28"/>
      <c r="K896" s="28"/>
      <c r="L896" s="28"/>
      <c r="M896" s="33"/>
      <c r="N896" s="33"/>
      <c r="O896" s="33"/>
      <c r="P896" s="33"/>
      <c r="Q896" s="28"/>
      <c r="R896" s="28"/>
      <c r="S896" s="28"/>
      <c r="T896" s="28"/>
      <c r="U896" s="28"/>
      <c r="V896" s="28"/>
      <c r="W896" s="28"/>
      <c r="X896" s="28"/>
      <c r="Y896" s="28"/>
      <c r="Z896" s="28"/>
      <c r="AA896" s="28"/>
    </row>
    <row r="897" ht="18.75" customHeight="1">
      <c r="A897" s="28"/>
      <c r="B897" s="28"/>
      <c r="C897" s="28"/>
      <c r="D897" s="28"/>
      <c r="E897" s="28"/>
      <c r="F897" s="28"/>
      <c r="G897" s="28"/>
      <c r="H897" s="28"/>
      <c r="I897" s="28"/>
      <c r="J897" s="28"/>
      <c r="K897" s="28"/>
      <c r="L897" s="28"/>
      <c r="M897" s="33"/>
      <c r="N897" s="33"/>
      <c r="O897" s="33"/>
      <c r="P897" s="33"/>
      <c r="Q897" s="28"/>
      <c r="R897" s="28"/>
      <c r="S897" s="28"/>
      <c r="T897" s="28"/>
      <c r="U897" s="28"/>
      <c r="V897" s="28"/>
      <c r="W897" s="28"/>
      <c r="X897" s="28"/>
      <c r="Y897" s="28"/>
      <c r="Z897" s="28"/>
      <c r="AA897" s="28"/>
    </row>
    <row r="898" ht="18.75" customHeight="1">
      <c r="A898" s="28"/>
      <c r="B898" s="28"/>
      <c r="C898" s="28"/>
      <c r="D898" s="28"/>
      <c r="E898" s="28"/>
      <c r="F898" s="28"/>
      <c r="G898" s="28"/>
      <c r="H898" s="28"/>
      <c r="I898" s="28"/>
      <c r="J898" s="28"/>
      <c r="K898" s="28"/>
      <c r="L898" s="28"/>
      <c r="M898" s="33"/>
      <c r="N898" s="33"/>
      <c r="O898" s="33"/>
      <c r="P898" s="33"/>
      <c r="Q898" s="28"/>
      <c r="R898" s="28"/>
      <c r="S898" s="28"/>
      <c r="T898" s="28"/>
      <c r="U898" s="28"/>
      <c r="V898" s="28"/>
      <c r="W898" s="28"/>
      <c r="X898" s="28"/>
      <c r="Y898" s="28"/>
      <c r="Z898" s="28"/>
      <c r="AA898" s="28"/>
    </row>
    <row r="899" ht="18.75" customHeight="1">
      <c r="A899" s="28"/>
      <c r="B899" s="28"/>
      <c r="C899" s="28"/>
      <c r="D899" s="28"/>
      <c r="E899" s="28"/>
      <c r="F899" s="28"/>
      <c r="G899" s="28"/>
      <c r="H899" s="28"/>
      <c r="I899" s="28"/>
      <c r="J899" s="28"/>
      <c r="K899" s="28"/>
      <c r="L899" s="28"/>
      <c r="M899" s="33"/>
      <c r="N899" s="33"/>
      <c r="O899" s="33"/>
      <c r="P899" s="33"/>
      <c r="Q899" s="28"/>
      <c r="R899" s="28"/>
      <c r="S899" s="28"/>
      <c r="T899" s="28"/>
      <c r="U899" s="28"/>
      <c r="V899" s="28"/>
      <c r="W899" s="28"/>
      <c r="X899" s="28"/>
      <c r="Y899" s="28"/>
      <c r="Z899" s="28"/>
      <c r="AA899" s="28"/>
    </row>
    <row r="900" ht="18.75" customHeight="1">
      <c r="A900" s="28"/>
      <c r="B900" s="28"/>
      <c r="C900" s="28"/>
      <c r="D900" s="28"/>
      <c r="E900" s="28"/>
      <c r="F900" s="28"/>
      <c r="G900" s="28"/>
      <c r="H900" s="28"/>
      <c r="I900" s="28"/>
      <c r="J900" s="28"/>
      <c r="K900" s="28"/>
      <c r="L900" s="28"/>
      <c r="M900" s="33"/>
      <c r="N900" s="33"/>
      <c r="O900" s="33"/>
      <c r="P900" s="33"/>
      <c r="Q900" s="28"/>
      <c r="R900" s="28"/>
      <c r="S900" s="28"/>
      <c r="T900" s="28"/>
      <c r="U900" s="28"/>
      <c r="V900" s="28"/>
      <c r="W900" s="28"/>
      <c r="X900" s="28"/>
      <c r="Y900" s="28"/>
      <c r="Z900" s="28"/>
      <c r="AA900" s="28"/>
    </row>
    <row r="901" ht="18.75" customHeight="1">
      <c r="A901" s="28"/>
      <c r="B901" s="28"/>
      <c r="C901" s="28"/>
      <c r="D901" s="28"/>
      <c r="E901" s="28"/>
      <c r="F901" s="28"/>
      <c r="G901" s="28"/>
      <c r="H901" s="28"/>
      <c r="I901" s="28"/>
      <c r="J901" s="28"/>
      <c r="K901" s="28"/>
      <c r="L901" s="28"/>
      <c r="M901" s="33"/>
      <c r="N901" s="33"/>
      <c r="O901" s="33"/>
      <c r="P901" s="33"/>
      <c r="Q901" s="28"/>
      <c r="R901" s="28"/>
      <c r="S901" s="28"/>
      <c r="T901" s="28"/>
      <c r="U901" s="28"/>
      <c r="V901" s="28"/>
      <c r="W901" s="28"/>
      <c r="X901" s="28"/>
      <c r="Y901" s="28"/>
      <c r="Z901" s="28"/>
      <c r="AA901" s="28"/>
    </row>
    <row r="902" ht="18.75" customHeight="1">
      <c r="A902" s="28"/>
      <c r="B902" s="28"/>
      <c r="C902" s="28"/>
      <c r="D902" s="28"/>
      <c r="E902" s="28"/>
      <c r="F902" s="28"/>
      <c r="G902" s="28"/>
      <c r="H902" s="28"/>
      <c r="I902" s="28"/>
      <c r="J902" s="28"/>
      <c r="K902" s="28"/>
      <c r="L902" s="28"/>
      <c r="M902" s="33"/>
      <c r="N902" s="33"/>
      <c r="O902" s="33"/>
      <c r="P902" s="33"/>
      <c r="Q902" s="28"/>
      <c r="R902" s="28"/>
      <c r="S902" s="28"/>
      <c r="T902" s="28"/>
      <c r="U902" s="28"/>
      <c r="V902" s="28"/>
      <c r="W902" s="28"/>
      <c r="X902" s="28"/>
      <c r="Y902" s="28"/>
      <c r="Z902" s="28"/>
      <c r="AA902" s="28"/>
    </row>
    <row r="903" ht="18.75" customHeight="1">
      <c r="A903" s="28"/>
      <c r="B903" s="28"/>
      <c r="C903" s="28"/>
      <c r="D903" s="28"/>
      <c r="E903" s="28"/>
      <c r="F903" s="28"/>
      <c r="G903" s="28"/>
      <c r="H903" s="28"/>
      <c r="I903" s="28"/>
      <c r="J903" s="28"/>
      <c r="K903" s="28"/>
      <c r="L903" s="28"/>
      <c r="M903" s="33"/>
      <c r="N903" s="33"/>
      <c r="O903" s="33"/>
      <c r="P903" s="33"/>
      <c r="Q903" s="28"/>
      <c r="R903" s="28"/>
      <c r="S903" s="28"/>
      <c r="T903" s="28"/>
      <c r="U903" s="28"/>
      <c r="V903" s="28"/>
      <c r="W903" s="28"/>
      <c r="X903" s="28"/>
      <c r="Y903" s="28"/>
      <c r="Z903" s="28"/>
      <c r="AA903" s="28"/>
    </row>
    <row r="904" ht="18.75" customHeight="1">
      <c r="A904" s="28"/>
      <c r="B904" s="28"/>
      <c r="C904" s="28"/>
      <c r="D904" s="28"/>
      <c r="E904" s="28"/>
      <c r="F904" s="28"/>
      <c r="G904" s="28"/>
      <c r="H904" s="28"/>
      <c r="I904" s="28"/>
      <c r="J904" s="28"/>
      <c r="K904" s="28"/>
      <c r="L904" s="28"/>
      <c r="M904" s="33"/>
      <c r="N904" s="33"/>
      <c r="O904" s="33"/>
      <c r="P904" s="33"/>
      <c r="Q904" s="28"/>
      <c r="R904" s="28"/>
      <c r="S904" s="28"/>
      <c r="T904" s="28"/>
      <c r="U904" s="28"/>
      <c r="V904" s="28"/>
      <c r="W904" s="28"/>
      <c r="X904" s="28"/>
      <c r="Y904" s="28"/>
      <c r="Z904" s="28"/>
      <c r="AA904" s="28"/>
    </row>
    <row r="905" ht="18.75" customHeight="1">
      <c r="A905" s="28"/>
      <c r="B905" s="28"/>
      <c r="C905" s="28"/>
      <c r="D905" s="28"/>
      <c r="E905" s="28"/>
      <c r="F905" s="28"/>
      <c r="G905" s="28"/>
      <c r="H905" s="28"/>
      <c r="I905" s="28"/>
      <c r="J905" s="28"/>
      <c r="K905" s="28"/>
      <c r="L905" s="28"/>
      <c r="M905" s="33"/>
      <c r="N905" s="33"/>
      <c r="O905" s="33"/>
      <c r="P905" s="33"/>
      <c r="Q905" s="28"/>
      <c r="R905" s="28"/>
      <c r="S905" s="28"/>
      <c r="T905" s="28"/>
      <c r="U905" s="28"/>
      <c r="V905" s="28"/>
      <c r="W905" s="28"/>
      <c r="X905" s="28"/>
      <c r="Y905" s="28"/>
      <c r="Z905" s="28"/>
      <c r="AA905" s="28"/>
    </row>
    <row r="906" ht="18.75" customHeight="1">
      <c r="A906" s="28"/>
      <c r="B906" s="28"/>
      <c r="C906" s="28"/>
      <c r="D906" s="28"/>
      <c r="E906" s="28"/>
      <c r="F906" s="28"/>
      <c r="G906" s="28"/>
      <c r="H906" s="28"/>
      <c r="I906" s="28"/>
      <c r="J906" s="28"/>
      <c r="K906" s="28"/>
      <c r="L906" s="28"/>
      <c r="M906" s="33"/>
      <c r="N906" s="33"/>
      <c r="O906" s="33"/>
      <c r="P906" s="33"/>
      <c r="Q906" s="28"/>
      <c r="R906" s="28"/>
      <c r="S906" s="28"/>
      <c r="T906" s="28"/>
      <c r="U906" s="28"/>
      <c r="V906" s="28"/>
      <c r="W906" s="28"/>
      <c r="X906" s="28"/>
      <c r="Y906" s="28"/>
      <c r="Z906" s="28"/>
      <c r="AA906" s="28"/>
    </row>
    <row r="907" ht="18.75" customHeight="1">
      <c r="A907" s="28"/>
      <c r="B907" s="28"/>
      <c r="C907" s="28"/>
      <c r="D907" s="28"/>
      <c r="E907" s="28"/>
      <c r="F907" s="28"/>
      <c r="G907" s="28"/>
      <c r="H907" s="28"/>
      <c r="I907" s="28"/>
      <c r="J907" s="28"/>
      <c r="K907" s="28"/>
      <c r="L907" s="28"/>
      <c r="M907" s="33"/>
      <c r="N907" s="33"/>
      <c r="O907" s="33"/>
      <c r="P907" s="33"/>
      <c r="Q907" s="28"/>
      <c r="R907" s="28"/>
      <c r="S907" s="28"/>
      <c r="T907" s="28"/>
      <c r="U907" s="28"/>
      <c r="V907" s="28"/>
      <c r="W907" s="28"/>
      <c r="X907" s="28"/>
      <c r="Y907" s="28"/>
      <c r="Z907" s="28"/>
      <c r="AA907" s="28"/>
    </row>
    <row r="908" ht="18.75" customHeight="1">
      <c r="A908" s="28"/>
      <c r="B908" s="28"/>
      <c r="C908" s="28"/>
      <c r="D908" s="28"/>
      <c r="E908" s="28"/>
      <c r="F908" s="28"/>
      <c r="G908" s="28"/>
      <c r="H908" s="28"/>
      <c r="I908" s="28"/>
      <c r="J908" s="28"/>
      <c r="K908" s="28"/>
      <c r="L908" s="28"/>
      <c r="M908" s="33"/>
      <c r="N908" s="33"/>
      <c r="O908" s="33"/>
      <c r="P908" s="33"/>
      <c r="Q908" s="28"/>
      <c r="R908" s="28"/>
      <c r="S908" s="28"/>
      <c r="T908" s="28"/>
      <c r="U908" s="28"/>
      <c r="V908" s="28"/>
      <c r="W908" s="28"/>
      <c r="X908" s="28"/>
      <c r="Y908" s="28"/>
      <c r="Z908" s="28"/>
      <c r="AA908" s="28"/>
    </row>
    <row r="909" ht="18.75" customHeight="1">
      <c r="A909" s="28"/>
      <c r="B909" s="28"/>
      <c r="C909" s="28"/>
      <c r="D909" s="28"/>
      <c r="E909" s="28"/>
      <c r="F909" s="28"/>
      <c r="G909" s="28"/>
      <c r="H909" s="28"/>
      <c r="I909" s="28"/>
      <c r="J909" s="28"/>
      <c r="K909" s="28"/>
      <c r="L909" s="28"/>
      <c r="M909" s="33"/>
      <c r="N909" s="33"/>
      <c r="O909" s="33"/>
      <c r="P909" s="33"/>
      <c r="Q909" s="28"/>
      <c r="R909" s="28"/>
      <c r="S909" s="28"/>
      <c r="T909" s="28"/>
      <c r="U909" s="28"/>
      <c r="V909" s="28"/>
      <c r="W909" s="28"/>
      <c r="X909" s="28"/>
      <c r="Y909" s="28"/>
      <c r="Z909" s="28"/>
      <c r="AA909" s="28"/>
    </row>
    <row r="910" ht="18.75" customHeight="1">
      <c r="A910" s="28"/>
      <c r="B910" s="28"/>
      <c r="C910" s="28"/>
      <c r="D910" s="28"/>
      <c r="E910" s="28"/>
      <c r="F910" s="28"/>
      <c r="G910" s="28"/>
      <c r="H910" s="28"/>
      <c r="I910" s="28"/>
      <c r="J910" s="28"/>
      <c r="K910" s="28"/>
      <c r="L910" s="28"/>
      <c r="M910" s="33"/>
      <c r="N910" s="33"/>
      <c r="O910" s="33"/>
      <c r="P910" s="33"/>
      <c r="Q910" s="28"/>
      <c r="R910" s="28"/>
      <c r="S910" s="28"/>
      <c r="T910" s="28"/>
      <c r="U910" s="28"/>
      <c r="V910" s="28"/>
      <c r="W910" s="28"/>
      <c r="X910" s="28"/>
      <c r="Y910" s="28"/>
      <c r="Z910" s="28"/>
      <c r="AA910" s="28"/>
    </row>
    <row r="911" ht="18.75" customHeight="1">
      <c r="A911" s="28"/>
      <c r="B911" s="28"/>
      <c r="C911" s="28"/>
      <c r="D911" s="28"/>
      <c r="E911" s="28"/>
      <c r="F911" s="28"/>
      <c r="G911" s="28"/>
      <c r="H911" s="28"/>
      <c r="I911" s="28"/>
      <c r="J911" s="28"/>
      <c r="K911" s="28"/>
      <c r="L911" s="28"/>
      <c r="M911" s="33"/>
      <c r="N911" s="33"/>
      <c r="O911" s="33"/>
      <c r="P911" s="33"/>
      <c r="Q911" s="28"/>
      <c r="R911" s="28"/>
      <c r="S911" s="28"/>
      <c r="T911" s="28"/>
      <c r="U911" s="28"/>
      <c r="V911" s="28"/>
      <c r="W911" s="28"/>
      <c r="X911" s="28"/>
      <c r="Y911" s="28"/>
      <c r="Z911" s="28"/>
      <c r="AA911" s="28"/>
    </row>
    <row r="912" ht="18.75" customHeight="1">
      <c r="A912" s="28"/>
      <c r="B912" s="28"/>
      <c r="C912" s="28"/>
      <c r="D912" s="28"/>
      <c r="E912" s="28"/>
      <c r="F912" s="28"/>
      <c r="G912" s="28"/>
      <c r="H912" s="28"/>
      <c r="I912" s="28"/>
      <c r="J912" s="28"/>
      <c r="K912" s="28"/>
      <c r="L912" s="28"/>
      <c r="M912" s="33"/>
      <c r="N912" s="33"/>
      <c r="O912" s="33"/>
      <c r="P912" s="33"/>
      <c r="Q912" s="28"/>
      <c r="R912" s="28"/>
      <c r="S912" s="28"/>
      <c r="T912" s="28"/>
      <c r="U912" s="28"/>
      <c r="V912" s="28"/>
      <c r="W912" s="28"/>
      <c r="X912" s="28"/>
      <c r="Y912" s="28"/>
      <c r="Z912" s="28"/>
      <c r="AA912" s="28"/>
    </row>
    <row r="913" ht="18.75" customHeight="1">
      <c r="A913" s="28"/>
      <c r="B913" s="28"/>
      <c r="C913" s="28"/>
      <c r="D913" s="28"/>
      <c r="E913" s="28"/>
      <c r="F913" s="28"/>
      <c r="G913" s="28"/>
      <c r="H913" s="28"/>
      <c r="I913" s="28"/>
      <c r="J913" s="28"/>
      <c r="K913" s="28"/>
      <c r="L913" s="28"/>
      <c r="M913" s="33"/>
      <c r="N913" s="33"/>
      <c r="O913" s="33"/>
      <c r="P913" s="33"/>
      <c r="Q913" s="28"/>
      <c r="R913" s="28"/>
      <c r="S913" s="28"/>
      <c r="T913" s="28"/>
      <c r="U913" s="28"/>
      <c r="V913" s="28"/>
      <c r="W913" s="28"/>
      <c r="X913" s="28"/>
      <c r="Y913" s="28"/>
      <c r="Z913" s="28"/>
      <c r="AA913" s="28"/>
    </row>
    <row r="914" ht="18.75" customHeight="1">
      <c r="A914" s="28"/>
      <c r="B914" s="28"/>
      <c r="C914" s="28"/>
      <c r="D914" s="28"/>
      <c r="E914" s="28"/>
      <c r="F914" s="28"/>
      <c r="G914" s="28"/>
      <c r="H914" s="28"/>
      <c r="I914" s="28"/>
      <c r="J914" s="28"/>
      <c r="K914" s="28"/>
      <c r="L914" s="28"/>
      <c r="M914" s="33"/>
      <c r="N914" s="33"/>
      <c r="O914" s="33"/>
      <c r="P914" s="33"/>
      <c r="Q914" s="28"/>
      <c r="R914" s="28"/>
      <c r="S914" s="28"/>
      <c r="T914" s="28"/>
      <c r="U914" s="28"/>
      <c r="V914" s="28"/>
      <c r="W914" s="28"/>
      <c r="X914" s="28"/>
      <c r="Y914" s="28"/>
      <c r="Z914" s="28"/>
      <c r="AA914" s="28"/>
    </row>
    <row r="915" ht="18.75" customHeight="1">
      <c r="A915" s="28"/>
      <c r="B915" s="28"/>
      <c r="C915" s="28"/>
      <c r="D915" s="28"/>
      <c r="E915" s="28"/>
      <c r="F915" s="28"/>
      <c r="G915" s="28"/>
      <c r="H915" s="28"/>
      <c r="I915" s="28"/>
      <c r="J915" s="28"/>
      <c r="K915" s="28"/>
      <c r="L915" s="28"/>
      <c r="M915" s="33"/>
      <c r="N915" s="33"/>
      <c r="O915" s="33"/>
      <c r="P915" s="33"/>
      <c r="Q915" s="28"/>
      <c r="R915" s="28"/>
      <c r="S915" s="28"/>
      <c r="T915" s="28"/>
      <c r="U915" s="28"/>
      <c r="V915" s="28"/>
      <c r="W915" s="28"/>
      <c r="X915" s="28"/>
      <c r="Y915" s="28"/>
      <c r="Z915" s="28"/>
      <c r="AA915" s="28"/>
    </row>
    <row r="916" ht="18.75" customHeight="1">
      <c r="A916" s="28"/>
      <c r="B916" s="28"/>
      <c r="C916" s="28"/>
      <c r="D916" s="28"/>
      <c r="E916" s="28"/>
      <c r="F916" s="28"/>
      <c r="G916" s="28"/>
      <c r="H916" s="28"/>
      <c r="I916" s="28"/>
      <c r="J916" s="28"/>
      <c r="K916" s="28"/>
      <c r="L916" s="28"/>
      <c r="M916" s="33"/>
      <c r="N916" s="33"/>
      <c r="O916" s="33"/>
      <c r="P916" s="33"/>
      <c r="Q916" s="28"/>
      <c r="R916" s="28"/>
      <c r="S916" s="28"/>
      <c r="T916" s="28"/>
      <c r="U916" s="28"/>
      <c r="V916" s="28"/>
      <c r="W916" s="28"/>
      <c r="X916" s="28"/>
      <c r="Y916" s="28"/>
      <c r="Z916" s="28"/>
      <c r="AA916" s="28"/>
    </row>
    <row r="917" ht="18.75" customHeight="1">
      <c r="A917" s="28"/>
      <c r="B917" s="28"/>
      <c r="C917" s="28"/>
      <c r="D917" s="28"/>
      <c r="E917" s="28"/>
      <c r="F917" s="28"/>
      <c r="G917" s="28"/>
      <c r="H917" s="28"/>
      <c r="I917" s="28"/>
      <c r="J917" s="28"/>
      <c r="K917" s="28"/>
      <c r="L917" s="28"/>
      <c r="M917" s="33"/>
      <c r="N917" s="33"/>
      <c r="O917" s="33"/>
      <c r="P917" s="33"/>
      <c r="Q917" s="28"/>
      <c r="R917" s="28"/>
      <c r="S917" s="28"/>
      <c r="T917" s="28"/>
      <c r="U917" s="28"/>
      <c r="V917" s="28"/>
      <c r="W917" s="28"/>
      <c r="X917" s="28"/>
      <c r="Y917" s="28"/>
      <c r="Z917" s="28"/>
      <c r="AA917" s="28"/>
    </row>
    <row r="918" ht="18.75" customHeight="1">
      <c r="A918" s="28"/>
      <c r="B918" s="28"/>
      <c r="C918" s="28"/>
      <c r="D918" s="28"/>
      <c r="E918" s="28"/>
      <c r="F918" s="28"/>
      <c r="G918" s="28"/>
      <c r="H918" s="28"/>
      <c r="I918" s="28"/>
      <c r="J918" s="28"/>
      <c r="K918" s="28"/>
      <c r="L918" s="28"/>
      <c r="M918" s="33"/>
      <c r="N918" s="33"/>
      <c r="O918" s="33"/>
      <c r="P918" s="33"/>
      <c r="Q918" s="28"/>
      <c r="R918" s="28"/>
      <c r="S918" s="28"/>
      <c r="T918" s="28"/>
      <c r="U918" s="28"/>
      <c r="V918" s="28"/>
      <c r="W918" s="28"/>
      <c r="X918" s="28"/>
      <c r="Y918" s="28"/>
      <c r="Z918" s="28"/>
      <c r="AA918" s="28"/>
    </row>
    <row r="919" ht="18.75" customHeight="1">
      <c r="A919" s="28"/>
      <c r="B919" s="28"/>
      <c r="C919" s="28"/>
      <c r="D919" s="28"/>
      <c r="E919" s="28"/>
      <c r="F919" s="28"/>
      <c r="G919" s="28"/>
      <c r="H919" s="28"/>
      <c r="I919" s="28"/>
      <c r="J919" s="28"/>
      <c r="K919" s="28"/>
      <c r="L919" s="28"/>
      <c r="M919" s="33"/>
      <c r="N919" s="33"/>
      <c r="O919" s="33"/>
      <c r="P919" s="33"/>
      <c r="Q919" s="28"/>
      <c r="R919" s="28"/>
      <c r="S919" s="28"/>
      <c r="T919" s="28"/>
      <c r="U919" s="28"/>
      <c r="V919" s="28"/>
      <c r="W919" s="28"/>
      <c r="X919" s="28"/>
      <c r="Y919" s="28"/>
      <c r="Z919" s="28"/>
      <c r="AA919" s="28"/>
    </row>
    <row r="920" ht="18.75" customHeight="1">
      <c r="A920" s="28"/>
      <c r="B920" s="28"/>
      <c r="C920" s="28"/>
      <c r="D920" s="28"/>
      <c r="E920" s="28"/>
      <c r="F920" s="28"/>
      <c r="G920" s="28"/>
      <c r="H920" s="28"/>
      <c r="I920" s="28"/>
      <c r="J920" s="28"/>
      <c r="K920" s="28"/>
      <c r="L920" s="28"/>
      <c r="M920" s="33"/>
      <c r="N920" s="33"/>
      <c r="O920" s="33"/>
      <c r="P920" s="33"/>
      <c r="Q920" s="28"/>
      <c r="R920" s="28"/>
      <c r="S920" s="28"/>
      <c r="T920" s="28"/>
      <c r="U920" s="28"/>
      <c r="V920" s="28"/>
      <c r="W920" s="28"/>
      <c r="X920" s="28"/>
      <c r="Y920" s="28"/>
      <c r="Z920" s="28"/>
      <c r="AA920" s="28"/>
    </row>
    <row r="921" ht="18.75" customHeight="1">
      <c r="A921" s="28"/>
      <c r="B921" s="28"/>
      <c r="C921" s="28"/>
      <c r="D921" s="28"/>
      <c r="E921" s="28"/>
      <c r="F921" s="28"/>
      <c r="G921" s="28"/>
      <c r="H921" s="28"/>
      <c r="I921" s="28"/>
      <c r="J921" s="28"/>
      <c r="K921" s="28"/>
      <c r="L921" s="28"/>
      <c r="M921" s="33"/>
      <c r="N921" s="33"/>
      <c r="O921" s="33"/>
      <c r="P921" s="33"/>
      <c r="Q921" s="28"/>
      <c r="R921" s="28"/>
      <c r="S921" s="28"/>
      <c r="T921" s="28"/>
      <c r="U921" s="28"/>
      <c r="V921" s="28"/>
      <c r="W921" s="28"/>
      <c r="X921" s="28"/>
      <c r="Y921" s="28"/>
      <c r="Z921" s="28"/>
      <c r="AA921" s="28"/>
    </row>
    <row r="922" ht="18.75" customHeight="1">
      <c r="A922" s="28"/>
      <c r="B922" s="28"/>
      <c r="C922" s="28"/>
      <c r="D922" s="28"/>
      <c r="E922" s="28"/>
      <c r="F922" s="28"/>
      <c r="G922" s="28"/>
      <c r="H922" s="28"/>
      <c r="I922" s="28"/>
      <c r="J922" s="28"/>
      <c r="K922" s="28"/>
      <c r="L922" s="28"/>
      <c r="M922" s="33"/>
      <c r="N922" s="33"/>
      <c r="O922" s="33"/>
      <c r="P922" s="33"/>
      <c r="Q922" s="28"/>
      <c r="R922" s="28"/>
      <c r="S922" s="28"/>
      <c r="T922" s="28"/>
      <c r="U922" s="28"/>
      <c r="V922" s="28"/>
      <c r="W922" s="28"/>
      <c r="X922" s="28"/>
      <c r="Y922" s="28"/>
      <c r="Z922" s="28"/>
      <c r="AA922" s="28"/>
    </row>
    <row r="923" ht="18.75" customHeight="1">
      <c r="A923" s="28"/>
      <c r="B923" s="28"/>
      <c r="C923" s="28"/>
      <c r="D923" s="28"/>
      <c r="E923" s="28"/>
      <c r="F923" s="28"/>
      <c r="G923" s="28"/>
      <c r="H923" s="28"/>
      <c r="I923" s="28"/>
      <c r="J923" s="28"/>
      <c r="K923" s="28"/>
      <c r="L923" s="28"/>
      <c r="M923" s="33"/>
      <c r="N923" s="33"/>
      <c r="O923" s="33"/>
      <c r="P923" s="33"/>
      <c r="Q923" s="28"/>
      <c r="R923" s="28"/>
      <c r="S923" s="28"/>
      <c r="T923" s="28"/>
      <c r="U923" s="28"/>
      <c r="V923" s="28"/>
      <c r="W923" s="28"/>
      <c r="X923" s="28"/>
      <c r="Y923" s="28"/>
      <c r="Z923" s="28"/>
      <c r="AA923" s="28"/>
    </row>
    <row r="924" ht="18.75" customHeight="1">
      <c r="A924" s="28"/>
      <c r="B924" s="28"/>
      <c r="C924" s="28"/>
      <c r="D924" s="28"/>
      <c r="E924" s="28"/>
      <c r="F924" s="28"/>
      <c r="G924" s="28"/>
      <c r="H924" s="28"/>
      <c r="I924" s="28"/>
      <c r="J924" s="28"/>
      <c r="K924" s="28"/>
      <c r="L924" s="28"/>
      <c r="M924" s="33"/>
      <c r="N924" s="33"/>
      <c r="O924" s="33"/>
      <c r="P924" s="33"/>
      <c r="Q924" s="28"/>
      <c r="R924" s="28"/>
      <c r="S924" s="28"/>
      <c r="T924" s="28"/>
      <c r="U924" s="28"/>
      <c r="V924" s="28"/>
      <c r="W924" s="28"/>
      <c r="X924" s="28"/>
      <c r="Y924" s="28"/>
      <c r="Z924" s="28"/>
      <c r="AA924" s="28"/>
    </row>
    <row r="925" ht="18.75" customHeight="1">
      <c r="A925" s="28"/>
      <c r="B925" s="28"/>
      <c r="C925" s="28"/>
      <c r="D925" s="28"/>
      <c r="E925" s="28"/>
      <c r="F925" s="28"/>
      <c r="G925" s="28"/>
      <c r="H925" s="28"/>
      <c r="I925" s="28"/>
      <c r="J925" s="28"/>
      <c r="K925" s="28"/>
      <c r="L925" s="28"/>
      <c r="M925" s="33"/>
      <c r="N925" s="33"/>
      <c r="O925" s="33"/>
      <c r="P925" s="33"/>
      <c r="Q925" s="28"/>
      <c r="R925" s="28"/>
      <c r="S925" s="28"/>
      <c r="T925" s="28"/>
      <c r="U925" s="28"/>
      <c r="V925" s="28"/>
      <c r="W925" s="28"/>
      <c r="X925" s="28"/>
      <c r="Y925" s="28"/>
      <c r="Z925" s="28"/>
      <c r="AA925" s="28"/>
    </row>
    <row r="926" ht="18.75" customHeight="1">
      <c r="A926" s="28"/>
      <c r="B926" s="28"/>
      <c r="C926" s="28"/>
      <c r="D926" s="28"/>
      <c r="E926" s="28"/>
      <c r="F926" s="28"/>
      <c r="G926" s="28"/>
      <c r="H926" s="28"/>
      <c r="I926" s="28"/>
      <c r="J926" s="28"/>
      <c r="K926" s="28"/>
      <c r="L926" s="28"/>
      <c r="M926" s="33"/>
      <c r="N926" s="33"/>
      <c r="O926" s="33"/>
      <c r="P926" s="33"/>
      <c r="Q926" s="28"/>
      <c r="R926" s="28"/>
      <c r="S926" s="28"/>
      <c r="T926" s="28"/>
      <c r="U926" s="28"/>
      <c r="V926" s="28"/>
      <c r="W926" s="28"/>
      <c r="X926" s="28"/>
      <c r="Y926" s="28"/>
      <c r="Z926" s="28"/>
      <c r="AA926" s="28"/>
    </row>
    <row r="927" ht="18.75" customHeight="1">
      <c r="A927" s="28"/>
      <c r="B927" s="28"/>
      <c r="C927" s="28"/>
      <c r="D927" s="28"/>
      <c r="E927" s="28"/>
      <c r="F927" s="28"/>
      <c r="G927" s="28"/>
      <c r="H927" s="28"/>
      <c r="I927" s="28"/>
      <c r="J927" s="28"/>
      <c r="K927" s="28"/>
      <c r="L927" s="28"/>
      <c r="M927" s="33"/>
      <c r="N927" s="33"/>
      <c r="O927" s="33"/>
      <c r="P927" s="33"/>
      <c r="Q927" s="28"/>
      <c r="R927" s="28"/>
      <c r="S927" s="28"/>
      <c r="T927" s="28"/>
      <c r="U927" s="28"/>
      <c r="V927" s="28"/>
      <c r="W927" s="28"/>
      <c r="X927" s="28"/>
      <c r="Y927" s="28"/>
      <c r="Z927" s="28"/>
      <c r="AA927" s="28"/>
    </row>
    <row r="928" ht="18.75" customHeight="1">
      <c r="A928" s="28"/>
      <c r="B928" s="28"/>
      <c r="C928" s="28"/>
      <c r="D928" s="28"/>
      <c r="E928" s="28"/>
      <c r="F928" s="28"/>
      <c r="G928" s="28"/>
      <c r="H928" s="28"/>
      <c r="I928" s="28"/>
      <c r="J928" s="28"/>
      <c r="K928" s="28"/>
      <c r="L928" s="28"/>
      <c r="M928" s="33"/>
      <c r="N928" s="33"/>
      <c r="O928" s="33"/>
      <c r="P928" s="33"/>
      <c r="Q928" s="28"/>
      <c r="R928" s="28"/>
      <c r="S928" s="28"/>
      <c r="T928" s="28"/>
      <c r="U928" s="28"/>
      <c r="V928" s="28"/>
      <c r="W928" s="28"/>
      <c r="X928" s="28"/>
      <c r="Y928" s="28"/>
      <c r="Z928" s="28"/>
      <c r="AA928" s="28"/>
    </row>
    <row r="929" ht="18.75" customHeight="1">
      <c r="A929" s="28"/>
      <c r="B929" s="28"/>
      <c r="C929" s="28"/>
      <c r="D929" s="28"/>
      <c r="E929" s="28"/>
      <c r="F929" s="28"/>
      <c r="G929" s="28"/>
      <c r="H929" s="28"/>
      <c r="I929" s="28"/>
      <c r="J929" s="28"/>
      <c r="K929" s="28"/>
      <c r="L929" s="28"/>
      <c r="M929" s="33"/>
      <c r="N929" s="33"/>
      <c r="O929" s="33"/>
      <c r="P929" s="33"/>
      <c r="Q929" s="28"/>
      <c r="R929" s="28"/>
      <c r="S929" s="28"/>
      <c r="T929" s="28"/>
      <c r="U929" s="28"/>
      <c r="V929" s="28"/>
      <c r="W929" s="28"/>
      <c r="X929" s="28"/>
      <c r="Y929" s="28"/>
      <c r="Z929" s="28"/>
      <c r="AA929" s="28"/>
    </row>
    <row r="930" ht="18.75" customHeight="1">
      <c r="A930" s="28"/>
      <c r="B930" s="28"/>
      <c r="C930" s="28"/>
      <c r="D930" s="28"/>
      <c r="E930" s="28"/>
      <c r="F930" s="28"/>
      <c r="G930" s="28"/>
      <c r="H930" s="28"/>
      <c r="I930" s="28"/>
      <c r="J930" s="28"/>
      <c r="K930" s="28"/>
      <c r="L930" s="28"/>
      <c r="M930" s="33"/>
      <c r="N930" s="33"/>
      <c r="O930" s="33"/>
      <c r="P930" s="33"/>
      <c r="Q930" s="28"/>
      <c r="R930" s="28"/>
      <c r="S930" s="28"/>
      <c r="T930" s="28"/>
      <c r="U930" s="28"/>
      <c r="V930" s="28"/>
      <c r="W930" s="28"/>
      <c r="X930" s="28"/>
      <c r="Y930" s="28"/>
      <c r="Z930" s="28"/>
      <c r="AA930" s="28"/>
    </row>
    <row r="931" ht="18.75" customHeight="1">
      <c r="A931" s="28"/>
      <c r="B931" s="28"/>
      <c r="C931" s="28"/>
      <c r="D931" s="28"/>
      <c r="E931" s="28"/>
      <c r="F931" s="28"/>
      <c r="G931" s="28"/>
      <c r="H931" s="28"/>
      <c r="I931" s="28"/>
      <c r="J931" s="28"/>
      <c r="K931" s="28"/>
      <c r="L931" s="28"/>
      <c r="M931" s="33"/>
      <c r="N931" s="33"/>
      <c r="O931" s="33"/>
      <c r="P931" s="33"/>
      <c r="Q931" s="28"/>
      <c r="R931" s="28"/>
      <c r="S931" s="28"/>
      <c r="T931" s="28"/>
      <c r="U931" s="28"/>
      <c r="V931" s="28"/>
      <c r="W931" s="28"/>
      <c r="X931" s="28"/>
      <c r="Y931" s="28"/>
      <c r="Z931" s="28"/>
      <c r="AA931" s="28"/>
    </row>
    <row r="932" ht="18.75" customHeight="1">
      <c r="A932" s="28"/>
      <c r="B932" s="28"/>
      <c r="C932" s="28"/>
      <c r="D932" s="28"/>
      <c r="E932" s="28"/>
      <c r="F932" s="28"/>
      <c r="G932" s="28"/>
      <c r="H932" s="28"/>
      <c r="I932" s="28"/>
      <c r="J932" s="28"/>
      <c r="K932" s="28"/>
      <c r="L932" s="28"/>
      <c r="M932" s="33"/>
      <c r="N932" s="33"/>
      <c r="O932" s="33"/>
      <c r="P932" s="33"/>
      <c r="Q932" s="28"/>
      <c r="R932" s="28"/>
      <c r="S932" s="28"/>
      <c r="T932" s="28"/>
      <c r="U932" s="28"/>
      <c r="V932" s="28"/>
      <c r="W932" s="28"/>
      <c r="X932" s="28"/>
      <c r="Y932" s="28"/>
      <c r="Z932" s="28"/>
      <c r="AA932" s="28"/>
    </row>
    <row r="933" ht="18.75" customHeight="1">
      <c r="A933" s="28"/>
      <c r="B933" s="28"/>
      <c r="C933" s="28"/>
      <c r="D933" s="28"/>
      <c r="E933" s="28"/>
      <c r="F933" s="28"/>
      <c r="G933" s="28"/>
      <c r="H933" s="28"/>
      <c r="I933" s="28"/>
      <c r="J933" s="28"/>
      <c r="K933" s="28"/>
      <c r="L933" s="28"/>
      <c r="M933" s="33"/>
      <c r="N933" s="33"/>
      <c r="O933" s="33"/>
      <c r="P933" s="33"/>
      <c r="Q933" s="28"/>
      <c r="R933" s="28"/>
      <c r="S933" s="28"/>
      <c r="T933" s="28"/>
      <c r="U933" s="28"/>
      <c r="V933" s="28"/>
      <c r="W933" s="28"/>
      <c r="X933" s="28"/>
      <c r="Y933" s="28"/>
      <c r="Z933" s="28"/>
      <c r="AA933" s="28"/>
    </row>
    <row r="934" ht="18.75" customHeight="1">
      <c r="A934" s="28"/>
      <c r="B934" s="28"/>
      <c r="C934" s="28"/>
      <c r="D934" s="28"/>
      <c r="E934" s="28"/>
      <c r="F934" s="28"/>
      <c r="G934" s="28"/>
      <c r="H934" s="28"/>
      <c r="I934" s="28"/>
      <c r="J934" s="28"/>
      <c r="K934" s="28"/>
      <c r="L934" s="28"/>
      <c r="M934" s="33"/>
      <c r="N934" s="33"/>
      <c r="O934" s="33"/>
      <c r="P934" s="33"/>
      <c r="Q934" s="28"/>
      <c r="R934" s="28"/>
      <c r="S934" s="28"/>
      <c r="T934" s="28"/>
      <c r="U934" s="28"/>
      <c r="V934" s="28"/>
      <c r="W934" s="28"/>
      <c r="X934" s="28"/>
      <c r="Y934" s="28"/>
      <c r="Z934" s="28"/>
      <c r="AA934" s="28"/>
    </row>
    <row r="935" ht="18.75" customHeight="1">
      <c r="A935" s="28"/>
      <c r="B935" s="28"/>
      <c r="C935" s="28"/>
      <c r="D935" s="28"/>
      <c r="E935" s="28"/>
      <c r="F935" s="28"/>
      <c r="G935" s="28"/>
      <c r="H935" s="28"/>
      <c r="I935" s="28"/>
      <c r="J935" s="28"/>
      <c r="K935" s="28"/>
      <c r="L935" s="28"/>
      <c r="M935" s="33"/>
      <c r="N935" s="33"/>
      <c r="O935" s="33"/>
      <c r="P935" s="33"/>
      <c r="Q935" s="28"/>
      <c r="R935" s="28"/>
      <c r="S935" s="28"/>
      <c r="T935" s="28"/>
      <c r="U935" s="28"/>
      <c r="V935" s="28"/>
      <c r="W935" s="28"/>
      <c r="X935" s="28"/>
      <c r="Y935" s="28"/>
      <c r="Z935" s="28"/>
      <c r="AA935" s="28"/>
    </row>
    <row r="936" ht="18.75" customHeight="1">
      <c r="A936" s="28"/>
      <c r="B936" s="28"/>
      <c r="C936" s="28"/>
      <c r="D936" s="28"/>
      <c r="E936" s="28"/>
      <c r="F936" s="28"/>
      <c r="G936" s="28"/>
      <c r="H936" s="28"/>
      <c r="I936" s="28"/>
      <c r="J936" s="28"/>
      <c r="K936" s="28"/>
      <c r="L936" s="28"/>
      <c r="M936" s="33"/>
      <c r="N936" s="33"/>
      <c r="O936" s="33"/>
      <c r="P936" s="33"/>
      <c r="Q936" s="28"/>
      <c r="R936" s="28"/>
      <c r="S936" s="28"/>
      <c r="T936" s="28"/>
      <c r="U936" s="28"/>
      <c r="V936" s="28"/>
      <c r="W936" s="28"/>
      <c r="X936" s="28"/>
      <c r="Y936" s="28"/>
      <c r="Z936" s="28"/>
      <c r="AA936" s="28"/>
    </row>
    <row r="937" ht="18.75" customHeight="1">
      <c r="A937" s="28"/>
      <c r="B937" s="28"/>
      <c r="C937" s="28"/>
      <c r="D937" s="28"/>
      <c r="E937" s="28"/>
      <c r="F937" s="28"/>
      <c r="G937" s="28"/>
      <c r="H937" s="28"/>
      <c r="I937" s="28"/>
      <c r="J937" s="28"/>
      <c r="K937" s="28"/>
      <c r="L937" s="28"/>
      <c r="M937" s="33"/>
      <c r="N937" s="33"/>
      <c r="O937" s="33"/>
      <c r="P937" s="33"/>
      <c r="Q937" s="28"/>
      <c r="R937" s="28"/>
      <c r="S937" s="28"/>
      <c r="T937" s="28"/>
      <c r="U937" s="28"/>
      <c r="V937" s="28"/>
      <c r="W937" s="28"/>
      <c r="X937" s="28"/>
      <c r="Y937" s="28"/>
      <c r="Z937" s="28"/>
      <c r="AA937" s="28"/>
    </row>
    <row r="938" ht="18.75" customHeight="1">
      <c r="A938" s="28"/>
      <c r="B938" s="28"/>
      <c r="C938" s="28"/>
      <c r="D938" s="28"/>
      <c r="E938" s="28"/>
      <c r="F938" s="28"/>
      <c r="G938" s="28"/>
      <c r="H938" s="28"/>
      <c r="I938" s="28"/>
      <c r="J938" s="28"/>
      <c r="K938" s="28"/>
      <c r="L938" s="28"/>
      <c r="M938" s="33"/>
      <c r="N938" s="33"/>
      <c r="O938" s="33"/>
      <c r="P938" s="33"/>
      <c r="Q938" s="28"/>
      <c r="R938" s="28"/>
      <c r="S938" s="28"/>
      <c r="T938" s="28"/>
      <c r="U938" s="28"/>
      <c r="V938" s="28"/>
      <c r="W938" s="28"/>
      <c r="X938" s="28"/>
      <c r="Y938" s="28"/>
      <c r="Z938" s="28"/>
      <c r="AA938" s="28"/>
    </row>
    <row r="939" ht="18.75" customHeight="1">
      <c r="A939" s="28"/>
      <c r="B939" s="28"/>
      <c r="C939" s="28"/>
      <c r="D939" s="28"/>
      <c r="E939" s="28"/>
      <c r="F939" s="28"/>
      <c r="G939" s="28"/>
      <c r="H939" s="28"/>
      <c r="I939" s="28"/>
      <c r="J939" s="28"/>
      <c r="K939" s="28"/>
      <c r="L939" s="28"/>
      <c r="M939" s="33"/>
      <c r="N939" s="33"/>
      <c r="O939" s="33"/>
      <c r="P939" s="33"/>
      <c r="Q939" s="28"/>
      <c r="R939" s="28"/>
      <c r="S939" s="28"/>
      <c r="T939" s="28"/>
      <c r="U939" s="28"/>
      <c r="V939" s="28"/>
      <c r="W939" s="28"/>
      <c r="X939" s="28"/>
      <c r="Y939" s="28"/>
      <c r="Z939" s="28"/>
      <c r="AA939" s="28"/>
    </row>
    <row r="940" ht="18.75" customHeight="1">
      <c r="A940" s="28"/>
      <c r="B940" s="28"/>
      <c r="C940" s="28"/>
      <c r="D940" s="28"/>
      <c r="E940" s="28"/>
      <c r="F940" s="28"/>
      <c r="G940" s="28"/>
      <c r="H940" s="28"/>
      <c r="I940" s="28"/>
      <c r="J940" s="28"/>
      <c r="K940" s="28"/>
      <c r="L940" s="28"/>
      <c r="M940" s="33"/>
      <c r="N940" s="33"/>
      <c r="O940" s="33"/>
      <c r="P940" s="33"/>
      <c r="Q940" s="28"/>
      <c r="R940" s="28"/>
      <c r="S940" s="28"/>
      <c r="T940" s="28"/>
      <c r="U940" s="28"/>
      <c r="V940" s="28"/>
      <c r="W940" s="28"/>
      <c r="X940" s="28"/>
      <c r="Y940" s="28"/>
      <c r="Z940" s="28"/>
      <c r="AA940" s="28"/>
    </row>
    <row r="941" ht="18.75" customHeight="1">
      <c r="A941" s="28"/>
      <c r="B941" s="28"/>
      <c r="C941" s="28"/>
      <c r="D941" s="28"/>
      <c r="E941" s="28"/>
      <c r="F941" s="28"/>
      <c r="G941" s="28"/>
      <c r="H941" s="28"/>
      <c r="I941" s="28"/>
      <c r="J941" s="28"/>
      <c r="K941" s="28"/>
      <c r="L941" s="28"/>
      <c r="M941" s="33"/>
      <c r="N941" s="33"/>
      <c r="O941" s="33"/>
      <c r="P941" s="33"/>
      <c r="Q941" s="28"/>
      <c r="R941" s="28"/>
      <c r="S941" s="28"/>
      <c r="T941" s="28"/>
      <c r="U941" s="28"/>
      <c r="V941" s="28"/>
      <c r="W941" s="28"/>
      <c r="X941" s="28"/>
      <c r="Y941" s="28"/>
      <c r="Z941" s="28"/>
      <c r="AA941" s="28"/>
    </row>
    <row r="942" ht="18.75" customHeight="1">
      <c r="A942" s="28"/>
      <c r="B942" s="28"/>
      <c r="C942" s="28"/>
      <c r="D942" s="28"/>
      <c r="E942" s="28"/>
      <c r="F942" s="28"/>
      <c r="G942" s="28"/>
      <c r="H942" s="28"/>
      <c r="I942" s="28"/>
      <c r="J942" s="28"/>
      <c r="K942" s="28"/>
      <c r="L942" s="28"/>
      <c r="M942" s="33"/>
      <c r="N942" s="33"/>
      <c r="O942" s="33"/>
      <c r="P942" s="33"/>
      <c r="Q942" s="28"/>
      <c r="R942" s="28"/>
      <c r="S942" s="28"/>
      <c r="T942" s="28"/>
      <c r="U942" s="28"/>
      <c r="V942" s="28"/>
      <c r="W942" s="28"/>
      <c r="X942" s="28"/>
      <c r="Y942" s="28"/>
      <c r="Z942" s="28"/>
      <c r="AA942" s="28"/>
    </row>
    <row r="943" ht="18.75" customHeight="1">
      <c r="A943" s="28"/>
      <c r="B943" s="28"/>
      <c r="C943" s="28"/>
      <c r="D943" s="28"/>
      <c r="E943" s="28"/>
      <c r="F943" s="28"/>
      <c r="G943" s="28"/>
      <c r="H943" s="28"/>
      <c r="I943" s="28"/>
      <c r="J943" s="28"/>
      <c r="K943" s="28"/>
      <c r="L943" s="28"/>
      <c r="M943" s="33"/>
      <c r="N943" s="33"/>
      <c r="O943" s="33"/>
      <c r="P943" s="33"/>
      <c r="Q943" s="28"/>
      <c r="R943" s="28"/>
      <c r="S943" s="28"/>
      <c r="T943" s="28"/>
      <c r="U943" s="28"/>
      <c r="V943" s="28"/>
      <c r="W943" s="28"/>
      <c r="X943" s="28"/>
      <c r="Y943" s="28"/>
      <c r="Z943" s="28"/>
      <c r="AA943" s="28"/>
    </row>
    <row r="944" ht="18.75" customHeight="1">
      <c r="A944" s="28"/>
      <c r="B944" s="28"/>
      <c r="C944" s="28"/>
      <c r="D944" s="28"/>
      <c r="E944" s="28"/>
      <c r="F944" s="28"/>
      <c r="G944" s="28"/>
      <c r="H944" s="28"/>
      <c r="I944" s="28"/>
      <c r="J944" s="28"/>
      <c r="K944" s="28"/>
      <c r="L944" s="28"/>
      <c r="M944" s="33"/>
      <c r="N944" s="33"/>
      <c r="O944" s="33"/>
      <c r="P944" s="33"/>
      <c r="Q944" s="28"/>
      <c r="R944" s="28"/>
      <c r="S944" s="28"/>
      <c r="T944" s="28"/>
      <c r="U944" s="28"/>
      <c r="V944" s="28"/>
      <c r="W944" s="28"/>
      <c r="X944" s="28"/>
      <c r="Y944" s="28"/>
      <c r="Z944" s="28"/>
      <c r="AA944" s="28"/>
    </row>
    <row r="945" ht="18.75" customHeight="1">
      <c r="A945" s="28"/>
      <c r="B945" s="28"/>
      <c r="C945" s="28"/>
      <c r="D945" s="28"/>
      <c r="E945" s="28"/>
      <c r="F945" s="28"/>
      <c r="G945" s="28"/>
      <c r="H945" s="28"/>
      <c r="I945" s="28"/>
      <c r="J945" s="28"/>
      <c r="K945" s="28"/>
      <c r="L945" s="28"/>
      <c r="M945" s="33"/>
      <c r="N945" s="33"/>
      <c r="O945" s="33"/>
      <c r="P945" s="33"/>
      <c r="Q945" s="28"/>
      <c r="R945" s="28"/>
      <c r="S945" s="28"/>
      <c r="T945" s="28"/>
      <c r="U945" s="28"/>
      <c r="V945" s="28"/>
      <c r="W945" s="28"/>
      <c r="X945" s="28"/>
      <c r="Y945" s="28"/>
      <c r="Z945" s="28"/>
      <c r="AA945" s="28"/>
    </row>
    <row r="946" ht="18.75" customHeight="1">
      <c r="A946" s="28"/>
      <c r="B946" s="28"/>
      <c r="C946" s="28"/>
      <c r="D946" s="28"/>
      <c r="E946" s="28"/>
      <c r="F946" s="28"/>
      <c r="G946" s="28"/>
      <c r="H946" s="28"/>
      <c r="I946" s="28"/>
      <c r="J946" s="28"/>
      <c r="K946" s="28"/>
      <c r="L946" s="28"/>
      <c r="M946" s="33"/>
      <c r="N946" s="33"/>
      <c r="O946" s="33"/>
      <c r="P946" s="33"/>
      <c r="Q946" s="28"/>
      <c r="R946" s="28"/>
      <c r="S946" s="28"/>
      <c r="T946" s="28"/>
      <c r="U946" s="28"/>
      <c r="V946" s="28"/>
      <c r="W946" s="28"/>
      <c r="X946" s="28"/>
      <c r="Y946" s="28"/>
      <c r="Z946" s="28"/>
      <c r="AA946" s="28"/>
    </row>
    <row r="947" ht="18.75" customHeight="1">
      <c r="A947" s="28"/>
      <c r="B947" s="28"/>
      <c r="C947" s="28"/>
      <c r="D947" s="28"/>
      <c r="E947" s="28"/>
      <c r="F947" s="28"/>
      <c r="G947" s="28"/>
      <c r="H947" s="28"/>
      <c r="I947" s="28"/>
      <c r="J947" s="28"/>
      <c r="K947" s="28"/>
      <c r="L947" s="28"/>
      <c r="M947" s="33"/>
      <c r="N947" s="33"/>
      <c r="O947" s="33"/>
      <c r="P947" s="33"/>
      <c r="Q947" s="28"/>
      <c r="R947" s="28"/>
      <c r="S947" s="28"/>
      <c r="T947" s="28"/>
      <c r="U947" s="28"/>
      <c r="V947" s="28"/>
      <c r="W947" s="28"/>
      <c r="X947" s="28"/>
      <c r="Y947" s="28"/>
      <c r="Z947" s="28"/>
      <c r="AA947" s="28"/>
    </row>
    <row r="948" ht="18.75" customHeight="1">
      <c r="A948" s="28"/>
      <c r="B948" s="28"/>
      <c r="C948" s="28"/>
      <c r="D948" s="28"/>
      <c r="E948" s="28"/>
      <c r="F948" s="28"/>
      <c r="G948" s="28"/>
      <c r="H948" s="28"/>
      <c r="I948" s="28"/>
      <c r="J948" s="28"/>
      <c r="K948" s="28"/>
      <c r="L948" s="28"/>
      <c r="M948" s="33"/>
      <c r="N948" s="33"/>
      <c r="O948" s="33"/>
      <c r="P948" s="33"/>
      <c r="Q948" s="28"/>
      <c r="R948" s="28"/>
      <c r="S948" s="28"/>
      <c r="T948" s="28"/>
      <c r="U948" s="28"/>
      <c r="V948" s="28"/>
      <c r="W948" s="28"/>
      <c r="X948" s="28"/>
      <c r="Y948" s="28"/>
      <c r="Z948" s="28"/>
      <c r="AA948" s="28"/>
    </row>
    <row r="949" ht="18.75" customHeight="1">
      <c r="A949" s="28"/>
      <c r="B949" s="28"/>
      <c r="C949" s="28"/>
      <c r="D949" s="28"/>
      <c r="E949" s="28"/>
      <c r="F949" s="28"/>
      <c r="G949" s="28"/>
      <c r="H949" s="28"/>
      <c r="I949" s="28"/>
      <c r="J949" s="28"/>
      <c r="K949" s="28"/>
      <c r="L949" s="28"/>
      <c r="M949" s="33"/>
      <c r="N949" s="33"/>
      <c r="O949" s="33"/>
      <c r="P949" s="33"/>
      <c r="Q949" s="28"/>
      <c r="R949" s="28"/>
      <c r="S949" s="28"/>
      <c r="T949" s="28"/>
      <c r="U949" s="28"/>
      <c r="V949" s="28"/>
      <c r="W949" s="28"/>
      <c r="X949" s="28"/>
      <c r="Y949" s="28"/>
      <c r="Z949" s="28"/>
      <c r="AA949" s="28"/>
    </row>
    <row r="950" ht="18.75" customHeight="1">
      <c r="A950" s="28"/>
      <c r="B950" s="28"/>
      <c r="C950" s="28"/>
      <c r="D950" s="28"/>
      <c r="E950" s="28"/>
      <c r="F950" s="28"/>
      <c r="G950" s="28"/>
      <c r="H950" s="28"/>
      <c r="I950" s="28"/>
      <c r="J950" s="28"/>
      <c r="K950" s="28"/>
      <c r="L950" s="28"/>
      <c r="M950" s="33"/>
      <c r="N950" s="33"/>
      <c r="O950" s="33"/>
      <c r="P950" s="33"/>
      <c r="Q950" s="28"/>
      <c r="R950" s="28"/>
      <c r="S950" s="28"/>
      <c r="T950" s="28"/>
      <c r="U950" s="28"/>
      <c r="V950" s="28"/>
      <c r="W950" s="28"/>
      <c r="X950" s="28"/>
      <c r="Y950" s="28"/>
      <c r="Z950" s="28"/>
      <c r="AA950" s="28"/>
    </row>
    <row r="951" ht="18.75" customHeight="1">
      <c r="A951" s="28"/>
      <c r="B951" s="28"/>
      <c r="C951" s="28"/>
      <c r="D951" s="28"/>
      <c r="E951" s="28"/>
      <c r="F951" s="28"/>
      <c r="G951" s="28"/>
      <c r="H951" s="28"/>
      <c r="I951" s="28"/>
      <c r="J951" s="28"/>
      <c r="K951" s="28"/>
      <c r="L951" s="28"/>
      <c r="M951" s="33"/>
      <c r="N951" s="33"/>
      <c r="O951" s="33"/>
      <c r="P951" s="33"/>
      <c r="Q951" s="28"/>
      <c r="R951" s="28"/>
      <c r="S951" s="28"/>
      <c r="T951" s="28"/>
      <c r="U951" s="28"/>
      <c r="V951" s="28"/>
      <c r="W951" s="28"/>
      <c r="X951" s="28"/>
      <c r="Y951" s="28"/>
      <c r="Z951" s="28"/>
      <c r="AA951" s="28"/>
    </row>
    <row r="952" ht="18.75" customHeight="1">
      <c r="A952" s="28"/>
      <c r="B952" s="28"/>
      <c r="C952" s="28"/>
      <c r="D952" s="28"/>
      <c r="E952" s="28"/>
      <c r="F952" s="28"/>
      <c r="G952" s="28"/>
      <c r="H952" s="28"/>
      <c r="I952" s="28"/>
      <c r="J952" s="28"/>
      <c r="K952" s="28"/>
      <c r="L952" s="28"/>
      <c r="M952" s="33"/>
      <c r="N952" s="33"/>
      <c r="O952" s="33"/>
      <c r="P952" s="33"/>
      <c r="Q952" s="28"/>
      <c r="R952" s="28"/>
      <c r="S952" s="28"/>
      <c r="T952" s="28"/>
      <c r="U952" s="28"/>
      <c r="V952" s="28"/>
      <c r="W952" s="28"/>
      <c r="X952" s="28"/>
      <c r="Y952" s="28"/>
      <c r="Z952" s="28"/>
      <c r="AA952" s="28"/>
    </row>
    <row r="953" ht="18.75" customHeight="1">
      <c r="A953" s="28"/>
      <c r="B953" s="28"/>
      <c r="C953" s="28"/>
      <c r="D953" s="28"/>
      <c r="E953" s="28"/>
      <c r="F953" s="28"/>
      <c r="G953" s="28"/>
      <c r="H953" s="28"/>
      <c r="I953" s="28"/>
      <c r="J953" s="28"/>
      <c r="K953" s="28"/>
      <c r="L953" s="28"/>
      <c r="M953" s="33"/>
      <c r="N953" s="33"/>
      <c r="O953" s="33"/>
      <c r="P953" s="33"/>
      <c r="Q953" s="28"/>
      <c r="R953" s="28"/>
      <c r="S953" s="28"/>
      <c r="T953" s="28"/>
      <c r="U953" s="28"/>
      <c r="V953" s="28"/>
      <c r="W953" s="28"/>
      <c r="X953" s="28"/>
      <c r="Y953" s="28"/>
      <c r="Z953" s="28"/>
      <c r="AA953" s="28"/>
    </row>
    <row r="954" ht="18.75" customHeight="1">
      <c r="A954" s="28"/>
      <c r="B954" s="28"/>
      <c r="C954" s="28"/>
      <c r="D954" s="28"/>
      <c r="E954" s="28"/>
      <c r="F954" s="28"/>
      <c r="G954" s="28"/>
      <c r="H954" s="28"/>
      <c r="I954" s="28"/>
      <c r="J954" s="28"/>
      <c r="K954" s="28"/>
      <c r="L954" s="28"/>
      <c r="M954" s="33"/>
      <c r="N954" s="33"/>
      <c r="O954" s="33"/>
      <c r="P954" s="33"/>
      <c r="Q954" s="28"/>
      <c r="R954" s="28"/>
      <c r="S954" s="28"/>
      <c r="T954" s="28"/>
      <c r="U954" s="28"/>
      <c r="V954" s="28"/>
      <c r="W954" s="28"/>
      <c r="X954" s="28"/>
      <c r="Y954" s="28"/>
      <c r="Z954" s="28"/>
      <c r="AA954" s="28"/>
    </row>
    <row r="955" ht="18.75" customHeight="1">
      <c r="A955" s="28"/>
      <c r="B955" s="28"/>
      <c r="C955" s="28"/>
      <c r="D955" s="28"/>
      <c r="E955" s="28"/>
      <c r="F955" s="28"/>
      <c r="G955" s="28"/>
      <c r="H955" s="28"/>
      <c r="I955" s="28"/>
      <c r="J955" s="28"/>
      <c r="K955" s="28"/>
      <c r="L955" s="28"/>
      <c r="M955" s="33"/>
      <c r="N955" s="33"/>
      <c r="O955" s="33"/>
      <c r="P955" s="33"/>
      <c r="Q955" s="28"/>
      <c r="R955" s="28"/>
      <c r="S955" s="28"/>
      <c r="T955" s="28"/>
      <c r="U955" s="28"/>
      <c r="V955" s="28"/>
      <c r="W955" s="28"/>
      <c r="X955" s="28"/>
      <c r="Y955" s="28"/>
      <c r="Z955" s="28"/>
      <c r="AA955" s="28"/>
    </row>
    <row r="956" ht="18.75" customHeight="1">
      <c r="A956" s="28"/>
      <c r="B956" s="28"/>
      <c r="C956" s="28"/>
      <c r="D956" s="28"/>
      <c r="E956" s="28"/>
      <c r="F956" s="28"/>
      <c r="G956" s="28"/>
      <c r="H956" s="28"/>
      <c r="I956" s="28"/>
      <c r="J956" s="28"/>
      <c r="K956" s="28"/>
      <c r="L956" s="28"/>
      <c r="M956" s="33"/>
      <c r="N956" s="33"/>
      <c r="O956" s="33"/>
      <c r="P956" s="33"/>
      <c r="Q956" s="28"/>
      <c r="R956" s="28"/>
      <c r="S956" s="28"/>
      <c r="T956" s="28"/>
      <c r="U956" s="28"/>
      <c r="V956" s="28"/>
      <c r="W956" s="28"/>
      <c r="X956" s="28"/>
      <c r="Y956" s="28"/>
      <c r="Z956" s="28"/>
      <c r="AA956" s="28"/>
    </row>
    <row r="957" ht="18.75" customHeight="1">
      <c r="A957" s="28"/>
      <c r="B957" s="28"/>
      <c r="C957" s="28"/>
      <c r="D957" s="28"/>
      <c r="E957" s="28"/>
      <c r="F957" s="28"/>
      <c r="G957" s="28"/>
      <c r="H957" s="28"/>
      <c r="I957" s="28"/>
      <c r="J957" s="28"/>
      <c r="K957" s="28"/>
      <c r="L957" s="28"/>
      <c r="M957" s="33"/>
      <c r="N957" s="33"/>
      <c r="O957" s="33"/>
      <c r="P957" s="33"/>
      <c r="Q957" s="28"/>
      <c r="R957" s="28"/>
      <c r="S957" s="28"/>
      <c r="T957" s="28"/>
      <c r="U957" s="28"/>
      <c r="V957" s="28"/>
      <c r="W957" s="28"/>
      <c r="X957" s="28"/>
      <c r="Y957" s="28"/>
      <c r="Z957" s="28"/>
      <c r="AA957" s="28"/>
    </row>
    <row r="958" ht="18.75" customHeight="1">
      <c r="A958" s="28"/>
      <c r="B958" s="28"/>
      <c r="C958" s="28"/>
      <c r="D958" s="28"/>
      <c r="E958" s="28"/>
      <c r="F958" s="28"/>
      <c r="G958" s="28"/>
      <c r="H958" s="28"/>
      <c r="I958" s="28"/>
      <c r="J958" s="28"/>
      <c r="K958" s="28"/>
      <c r="L958" s="28"/>
      <c r="M958" s="33"/>
      <c r="N958" s="33"/>
      <c r="O958" s="33"/>
      <c r="P958" s="33"/>
      <c r="Q958" s="28"/>
      <c r="R958" s="28"/>
      <c r="S958" s="28"/>
      <c r="T958" s="28"/>
      <c r="U958" s="28"/>
      <c r="V958" s="28"/>
      <c r="W958" s="28"/>
      <c r="X958" s="28"/>
      <c r="Y958" s="28"/>
      <c r="Z958" s="28"/>
      <c r="AA958" s="28"/>
    </row>
    <row r="959" ht="18.75" customHeight="1">
      <c r="A959" s="28"/>
      <c r="B959" s="28"/>
      <c r="C959" s="28"/>
      <c r="D959" s="28"/>
      <c r="E959" s="28"/>
      <c r="F959" s="28"/>
      <c r="G959" s="28"/>
      <c r="H959" s="28"/>
      <c r="I959" s="28"/>
      <c r="J959" s="28"/>
      <c r="K959" s="28"/>
      <c r="L959" s="28"/>
      <c r="M959" s="33"/>
      <c r="N959" s="33"/>
      <c r="O959" s="33"/>
      <c r="P959" s="33"/>
      <c r="Q959" s="28"/>
      <c r="R959" s="28"/>
      <c r="S959" s="28"/>
      <c r="T959" s="28"/>
      <c r="U959" s="28"/>
      <c r="V959" s="28"/>
      <c r="W959" s="28"/>
      <c r="X959" s="28"/>
      <c r="Y959" s="28"/>
      <c r="Z959" s="28"/>
      <c r="AA959" s="28"/>
    </row>
    <row r="960" ht="18.75" customHeight="1">
      <c r="A960" s="28"/>
      <c r="B960" s="28"/>
      <c r="C960" s="28"/>
      <c r="D960" s="28"/>
      <c r="E960" s="28"/>
      <c r="F960" s="28"/>
      <c r="G960" s="28"/>
      <c r="H960" s="28"/>
      <c r="I960" s="28"/>
      <c r="J960" s="28"/>
      <c r="K960" s="28"/>
      <c r="L960" s="28"/>
      <c r="M960" s="33"/>
      <c r="N960" s="33"/>
      <c r="O960" s="33"/>
      <c r="P960" s="33"/>
      <c r="Q960" s="28"/>
      <c r="R960" s="28"/>
      <c r="S960" s="28"/>
      <c r="T960" s="28"/>
      <c r="U960" s="28"/>
      <c r="V960" s="28"/>
      <c r="W960" s="28"/>
      <c r="X960" s="28"/>
      <c r="Y960" s="28"/>
      <c r="Z960" s="28"/>
      <c r="AA960" s="28"/>
    </row>
    <row r="961" ht="18.75" customHeight="1">
      <c r="A961" s="28"/>
      <c r="B961" s="28"/>
      <c r="C961" s="28"/>
      <c r="D961" s="28"/>
      <c r="E961" s="28"/>
      <c r="F961" s="28"/>
      <c r="G961" s="28"/>
      <c r="H961" s="28"/>
      <c r="I961" s="28"/>
      <c r="J961" s="28"/>
      <c r="K961" s="28"/>
      <c r="L961" s="28"/>
      <c r="M961" s="33"/>
      <c r="N961" s="33"/>
      <c r="O961" s="33"/>
      <c r="P961" s="33"/>
      <c r="Q961" s="28"/>
      <c r="R961" s="28"/>
      <c r="S961" s="28"/>
      <c r="T961" s="28"/>
      <c r="U961" s="28"/>
      <c r="V961" s="28"/>
      <c r="W961" s="28"/>
      <c r="X961" s="28"/>
      <c r="Y961" s="28"/>
      <c r="Z961" s="28"/>
      <c r="AA961" s="28"/>
    </row>
    <row r="962" ht="18.75" customHeight="1">
      <c r="A962" s="28"/>
      <c r="B962" s="28"/>
      <c r="C962" s="28"/>
      <c r="D962" s="28"/>
      <c r="E962" s="28"/>
      <c r="F962" s="28"/>
      <c r="G962" s="28"/>
      <c r="H962" s="28"/>
      <c r="I962" s="28"/>
      <c r="J962" s="28"/>
      <c r="K962" s="28"/>
      <c r="L962" s="28"/>
      <c r="M962" s="33"/>
      <c r="N962" s="33"/>
      <c r="O962" s="33"/>
      <c r="P962" s="33"/>
      <c r="Q962" s="28"/>
      <c r="R962" s="28"/>
      <c r="S962" s="28"/>
      <c r="T962" s="28"/>
      <c r="U962" s="28"/>
      <c r="V962" s="28"/>
      <c r="W962" s="28"/>
      <c r="X962" s="28"/>
      <c r="Y962" s="28"/>
      <c r="Z962" s="28"/>
      <c r="AA962" s="28"/>
    </row>
    <row r="963" ht="18.75" customHeight="1">
      <c r="A963" s="28"/>
      <c r="B963" s="28"/>
      <c r="C963" s="28"/>
      <c r="D963" s="28"/>
      <c r="E963" s="28"/>
      <c r="F963" s="28"/>
      <c r="G963" s="28"/>
      <c r="H963" s="28"/>
      <c r="I963" s="28"/>
      <c r="J963" s="28"/>
      <c r="K963" s="28"/>
      <c r="L963" s="28"/>
      <c r="M963" s="33"/>
      <c r="N963" s="33"/>
      <c r="O963" s="33"/>
      <c r="P963" s="33"/>
      <c r="Q963" s="28"/>
      <c r="R963" s="28"/>
      <c r="S963" s="28"/>
      <c r="T963" s="28"/>
      <c r="U963" s="28"/>
      <c r="V963" s="28"/>
      <c r="W963" s="28"/>
      <c r="X963" s="28"/>
      <c r="Y963" s="28"/>
      <c r="Z963" s="28"/>
      <c r="AA963" s="28"/>
    </row>
    <row r="964" ht="18.75" customHeight="1">
      <c r="A964" s="28"/>
      <c r="B964" s="28"/>
      <c r="C964" s="28"/>
      <c r="D964" s="28"/>
      <c r="E964" s="28"/>
      <c r="F964" s="28"/>
      <c r="G964" s="28"/>
      <c r="H964" s="28"/>
      <c r="I964" s="28"/>
      <c r="J964" s="28"/>
      <c r="K964" s="28"/>
      <c r="L964" s="28"/>
      <c r="M964" s="33"/>
      <c r="N964" s="33"/>
      <c r="O964" s="33"/>
      <c r="P964" s="33"/>
      <c r="Q964" s="28"/>
      <c r="R964" s="28"/>
      <c r="S964" s="28"/>
      <c r="T964" s="28"/>
      <c r="U964" s="28"/>
      <c r="V964" s="28"/>
      <c r="W964" s="28"/>
      <c r="X964" s="28"/>
      <c r="Y964" s="28"/>
      <c r="Z964" s="28"/>
      <c r="AA964" s="28"/>
    </row>
    <row r="965" ht="18.75" customHeight="1">
      <c r="A965" s="28"/>
      <c r="B965" s="28"/>
      <c r="C965" s="28"/>
      <c r="D965" s="28"/>
      <c r="E965" s="28"/>
      <c r="F965" s="28"/>
      <c r="G965" s="28"/>
      <c r="H965" s="28"/>
      <c r="I965" s="28"/>
      <c r="J965" s="28"/>
      <c r="K965" s="28"/>
      <c r="L965" s="28"/>
      <c r="M965" s="33"/>
      <c r="N965" s="33"/>
      <c r="O965" s="33"/>
      <c r="P965" s="33"/>
      <c r="Q965" s="28"/>
      <c r="R965" s="28"/>
      <c r="S965" s="28"/>
      <c r="T965" s="28"/>
      <c r="U965" s="28"/>
      <c r="V965" s="28"/>
      <c r="W965" s="28"/>
      <c r="X965" s="28"/>
      <c r="Y965" s="28"/>
      <c r="Z965" s="28"/>
      <c r="AA965" s="28"/>
    </row>
    <row r="966" ht="18.75" customHeight="1">
      <c r="A966" s="28"/>
      <c r="B966" s="28"/>
      <c r="C966" s="28"/>
      <c r="D966" s="28"/>
      <c r="E966" s="28"/>
      <c r="F966" s="28"/>
      <c r="G966" s="28"/>
      <c r="H966" s="28"/>
      <c r="I966" s="28"/>
      <c r="J966" s="28"/>
      <c r="K966" s="28"/>
      <c r="L966" s="28"/>
      <c r="M966" s="33"/>
      <c r="N966" s="33"/>
      <c r="O966" s="33"/>
      <c r="P966" s="33"/>
      <c r="Q966" s="28"/>
      <c r="R966" s="28"/>
      <c r="S966" s="28"/>
      <c r="T966" s="28"/>
      <c r="U966" s="28"/>
      <c r="V966" s="28"/>
      <c r="W966" s="28"/>
      <c r="X966" s="28"/>
      <c r="Y966" s="28"/>
      <c r="Z966" s="28"/>
      <c r="AA966" s="28"/>
    </row>
    <row r="967" ht="18.75" customHeight="1">
      <c r="A967" s="28"/>
      <c r="B967" s="28"/>
      <c r="C967" s="28"/>
      <c r="D967" s="28"/>
      <c r="E967" s="28"/>
      <c r="F967" s="28"/>
      <c r="G967" s="28"/>
      <c r="H967" s="28"/>
      <c r="I967" s="28"/>
      <c r="J967" s="28"/>
      <c r="K967" s="28"/>
      <c r="L967" s="28"/>
      <c r="M967" s="33"/>
      <c r="N967" s="33"/>
      <c r="O967" s="33"/>
      <c r="P967" s="33"/>
      <c r="Q967" s="28"/>
      <c r="R967" s="28"/>
      <c r="S967" s="28"/>
      <c r="T967" s="28"/>
      <c r="U967" s="28"/>
      <c r="V967" s="28"/>
      <c r="W967" s="28"/>
      <c r="X967" s="28"/>
      <c r="Y967" s="28"/>
      <c r="Z967" s="28"/>
      <c r="AA967" s="28"/>
    </row>
    <row r="968" ht="18.75" customHeight="1">
      <c r="A968" s="28"/>
      <c r="B968" s="28"/>
      <c r="C968" s="28"/>
      <c r="D968" s="28"/>
      <c r="E968" s="28"/>
      <c r="F968" s="28"/>
      <c r="G968" s="28"/>
      <c r="H968" s="28"/>
      <c r="I968" s="28"/>
      <c r="J968" s="28"/>
      <c r="K968" s="28"/>
      <c r="L968" s="28"/>
      <c r="M968" s="33"/>
      <c r="N968" s="33"/>
      <c r="O968" s="33"/>
      <c r="P968" s="33"/>
      <c r="Q968" s="28"/>
      <c r="R968" s="28"/>
      <c r="S968" s="28"/>
      <c r="T968" s="28"/>
      <c r="U968" s="28"/>
      <c r="V968" s="28"/>
      <c r="W968" s="28"/>
      <c r="X968" s="28"/>
      <c r="Y968" s="28"/>
      <c r="Z968" s="28"/>
      <c r="AA968" s="28"/>
    </row>
    <row r="969" ht="18.75" customHeight="1">
      <c r="A969" s="28"/>
      <c r="B969" s="28"/>
      <c r="C969" s="28"/>
      <c r="D969" s="28"/>
      <c r="E969" s="28"/>
      <c r="F969" s="28"/>
      <c r="G969" s="28"/>
      <c r="H969" s="28"/>
      <c r="I969" s="28"/>
      <c r="J969" s="28"/>
      <c r="K969" s="28"/>
      <c r="L969" s="28"/>
      <c r="M969" s="33"/>
      <c r="N969" s="33"/>
      <c r="O969" s="33"/>
      <c r="P969" s="33"/>
      <c r="Q969" s="28"/>
      <c r="R969" s="28"/>
      <c r="S969" s="28"/>
      <c r="T969" s="28"/>
      <c r="U969" s="28"/>
      <c r="V969" s="28"/>
      <c r="W969" s="28"/>
      <c r="X969" s="28"/>
      <c r="Y969" s="28"/>
      <c r="Z969" s="28"/>
      <c r="AA969" s="28"/>
    </row>
    <row r="970" ht="18.75" customHeight="1">
      <c r="A970" s="28"/>
      <c r="B970" s="28"/>
      <c r="C970" s="28"/>
      <c r="D970" s="28"/>
      <c r="E970" s="28"/>
      <c r="F970" s="28"/>
      <c r="G970" s="28"/>
      <c r="H970" s="28"/>
      <c r="I970" s="28"/>
      <c r="J970" s="28"/>
      <c r="K970" s="28"/>
      <c r="L970" s="28"/>
      <c r="M970" s="33"/>
      <c r="N970" s="33"/>
      <c r="O970" s="33"/>
      <c r="P970" s="33"/>
      <c r="Q970" s="28"/>
      <c r="R970" s="28"/>
      <c r="S970" s="28"/>
      <c r="T970" s="28"/>
      <c r="U970" s="28"/>
      <c r="V970" s="28"/>
      <c r="W970" s="28"/>
      <c r="X970" s="28"/>
      <c r="Y970" s="28"/>
      <c r="Z970" s="28"/>
      <c r="AA970" s="28"/>
    </row>
    <row r="971" ht="18.75" customHeight="1">
      <c r="A971" s="28"/>
      <c r="B971" s="28"/>
      <c r="C971" s="28"/>
      <c r="D971" s="28"/>
      <c r="E971" s="28"/>
      <c r="F971" s="28"/>
      <c r="G971" s="28"/>
      <c r="H971" s="28"/>
      <c r="I971" s="28"/>
      <c r="J971" s="28"/>
      <c r="K971" s="28"/>
      <c r="L971" s="28"/>
      <c r="M971" s="33"/>
      <c r="N971" s="33"/>
      <c r="O971" s="33"/>
      <c r="P971" s="33"/>
      <c r="Q971" s="28"/>
      <c r="R971" s="28"/>
      <c r="S971" s="28"/>
      <c r="T971" s="28"/>
      <c r="U971" s="28"/>
      <c r="V971" s="28"/>
      <c r="W971" s="28"/>
      <c r="X971" s="28"/>
      <c r="Y971" s="28"/>
      <c r="Z971" s="28"/>
      <c r="AA971" s="28"/>
    </row>
    <row r="972" ht="18.75" customHeight="1">
      <c r="A972" s="28"/>
      <c r="B972" s="28"/>
      <c r="C972" s="28"/>
      <c r="D972" s="28"/>
      <c r="E972" s="28"/>
      <c r="F972" s="28"/>
      <c r="G972" s="28"/>
      <c r="H972" s="28"/>
      <c r="I972" s="28"/>
      <c r="J972" s="28"/>
      <c r="K972" s="28"/>
      <c r="L972" s="28"/>
      <c r="M972" s="33"/>
      <c r="N972" s="33"/>
      <c r="O972" s="33"/>
      <c r="P972" s="33"/>
      <c r="Q972" s="28"/>
      <c r="R972" s="28"/>
      <c r="S972" s="28"/>
      <c r="T972" s="28"/>
      <c r="U972" s="28"/>
      <c r="V972" s="28"/>
      <c r="W972" s="28"/>
      <c r="X972" s="28"/>
      <c r="Y972" s="28"/>
      <c r="Z972" s="28"/>
      <c r="AA972" s="28"/>
    </row>
    <row r="973" ht="18.75" customHeight="1">
      <c r="A973" s="28"/>
      <c r="B973" s="28"/>
      <c r="C973" s="28"/>
      <c r="D973" s="28"/>
      <c r="E973" s="28"/>
      <c r="F973" s="28"/>
      <c r="G973" s="28"/>
      <c r="H973" s="28"/>
      <c r="I973" s="28"/>
      <c r="J973" s="28"/>
      <c r="K973" s="28"/>
      <c r="L973" s="28"/>
      <c r="M973" s="33"/>
      <c r="N973" s="33"/>
      <c r="O973" s="33"/>
      <c r="P973" s="33"/>
      <c r="Q973" s="28"/>
      <c r="R973" s="28"/>
      <c r="S973" s="28"/>
      <c r="T973" s="28"/>
      <c r="U973" s="28"/>
      <c r="V973" s="28"/>
      <c r="W973" s="28"/>
      <c r="X973" s="28"/>
      <c r="Y973" s="28"/>
      <c r="Z973" s="28"/>
      <c r="AA973" s="28"/>
    </row>
    <row r="974" ht="18.75" customHeight="1">
      <c r="A974" s="28"/>
      <c r="B974" s="28"/>
      <c r="C974" s="28"/>
      <c r="D974" s="28"/>
      <c r="E974" s="28"/>
      <c r="F974" s="28"/>
      <c r="G974" s="28"/>
      <c r="H974" s="28"/>
      <c r="I974" s="28"/>
      <c r="J974" s="28"/>
      <c r="K974" s="28"/>
      <c r="L974" s="28"/>
      <c r="M974" s="33"/>
      <c r="N974" s="33"/>
      <c r="O974" s="33"/>
      <c r="P974" s="33"/>
      <c r="Q974" s="28"/>
      <c r="R974" s="28"/>
      <c r="S974" s="28"/>
      <c r="T974" s="28"/>
      <c r="U974" s="28"/>
      <c r="V974" s="28"/>
      <c r="W974" s="28"/>
      <c r="X974" s="28"/>
      <c r="Y974" s="28"/>
      <c r="Z974" s="28"/>
      <c r="AA974" s="28"/>
    </row>
    <row r="975" ht="18.75" customHeight="1">
      <c r="A975" s="28"/>
      <c r="B975" s="28"/>
      <c r="C975" s="28"/>
      <c r="D975" s="28"/>
      <c r="E975" s="28"/>
      <c r="F975" s="28"/>
      <c r="G975" s="28"/>
      <c r="H975" s="28"/>
      <c r="I975" s="28"/>
      <c r="J975" s="28"/>
      <c r="K975" s="28"/>
      <c r="L975" s="28"/>
      <c r="M975" s="33"/>
      <c r="N975" s="33"/>
      <c r="O975" s="33"/>
      <c r="P975" s="33"/>
      <c r="Q975" s="28"/>
      <c r="R975" s="28"/>
      <c r="S975" s="28"/>
      <c r="T975" s="28"/>
      <c r="U975" s="28"/>
      <c r="V975" s="28"/>
      <c r="W975" s="28"/>
      <c r="X975" s="28"/>
      <c r="Y975" s="28"/>
      <c r="Z975" s="28"/>
      <c r="AA975" s="28"/>
    </row>
    <row r="976" ht="18.75" customHeight="1">
      <c r="A976" s="28"/>
      <c r="B976" s="28"/>
      <c r="C976" s="28"/>
      <c r="D976" s="28"/>
      <c r="E976" s="28"/>
      <c r="F976" s="28"/>
      <c r="G976" s="28"/>
      <c r="H976" s="28"/>
      <c r="I976" s="28"/>
      <c r="J976" s="28"/>
      <c r="K976" s="28"/>
      <c r="L976" s="28"/>
      <c r="M976" s="33"/>
      <c r="N976" s="33"/>
      <c r="O976" s="33"/>
      <c r="P976" s="33"/>
      <c r="Q976" s="28"/>
      <c r="R976" s="28"/>
      <c r="S976" s="28"/>
      <c r="T976" s="28"/>
      <c r="U976" s="28"/>
      <c r="V976" s="28"/>
      <c r="W976" s="28"/>
      <c r="X976" s="28"/>
      <c r="Y976" s="28"/>
      <c r="Z976" s="28"/>
      <c r="AA976" s="28"/>
    </row>
    <row r="977" ht="18.75" customHeight="1">
      <c r="A977" s="28"/>
      <c r="B977" s="28"/>
      <c r="C977" s="28"/>
      <c r="D977" s="28"/>
      <c r="E977" s="28"/>
      <c r="F977" s="28"/>
      <c r="G977" s="28"/>
      <c r="H977" s="28"/>
      <c r="I977" s="28"/>
      <c r="J977" s="28"/>
      <c r="K977" s="28"/>
      <c r="L977" s="28"/>
      <c r="M977" s="33"/>
      <c r="N977" s="33"/>
      <c r="O977" s="33"/>
      <c r="P977" s="33"/>
      <c r="Q977" s="28"/>
      <c r="R977" s="28"/>
      <c r="S977" s="28"/>
      <c r="T977" s="28"/>
      <c r="U977" s="28"/>
      <c r="V977" s="28"/>
      <c r="W977" s="28"/>
      <c r="X977" s="28"/>
      <c r="Y977" s="28"/>
      <c r="Z977" s="28"/>
      <c r="AA977" s="28"/>
    </row>
    <row r="978" ht="18.75" customHeight="1">
      <c r="A978" s="28"/>
      <c r="B978" s="28"/>
      <c r="C978" s="28"/>
      <c r="D978" s="28"/>
      <c r="E978" s="28"/>
      <c r="F978" s="28"/>
      <c r="G978" s="28"/>
      <c r="H978" s="28"/>
      <c r="I978" s="28"/>
      <c r="J978" s="28"/>
      <c r="K978" s="28"/>
      <c r="L978" s="28"/>
      <c r="M978" s="33"/>
      <c r="N978" s="33"/>
      <c r="O978" s="33"/>
      <c r="P978" s="33"/>
      <c r="Q978" s="28"/>
      <c r="R978" s="28"/>
      <c r="S978" s="28"/>
      <c r="T978" s="28"/>
      <c r="U978" s="28"/>
      <c r="V978" s="28"/>
      <c r="W978" s="28"/>
      <c r="X978" s="28"/>
      <c r="Y978" s="28"/>
      <c r="Z978" s="28"/>
      <c r="AA978" s="28"/>
    </row>
    <row r="979" ht="18.75" customHeight="1">
      <c r="A979" s="28"/>
      <c r="B979" s="28"/>
      <c r="C979" s="28"/>
      <c r="D979" s="28"/>
      <c r="E979" s="28"/>
      <c r="F979" s="28"/>
      <c r="G979" s="28"/>
      <c r="H979" s="28"/>
      <c r="I979" s="28"/>
      <c r="J979" s="28"/>
      <c r="K979" s="28"/>
      <c r="L979" s="28"/>
      <c r="M979" s="33"/>
      <c r="N979" s="33"/>
      <c r="O979" s="33"/>
      <c r="P979" s="33"/>
      <c r="Q979" s="28"/>
      <c r="R979" s="28"/>
      <c r="S979" s="28"/>
      <c r="T979" s="28"/>
      <c r="U979" s="28"/>
      <c r="V979" s="28"/>
      <c r="W979" s="28"/>
      <c r="X979" s="28"/>
      <c r="Y979" s="28"/>
      <c r="Z979" s="28"/>
      <c r="AA979" s="28"/>
    </row>
    <row r="980" ht="18.75" customHeight="1">
      <c r="A980" s="28"/>
      <c r="B980" s="28"/>
      <c r="C980" s="28"/>
      <c r="D980" s="28"/>
      <c r="E980" s="28"/>
      <c r="F980" s="28"/>
      <c r="G980" s="28"/>
      <c r="H980" s="28"/>
      <c r="I980" s="28"/>
      <c r="J980" s="28"/>
      <c r="K980" s="28"/>
      <c r="L980" s="28"/>
      <c r="M980" s="33"/>
      <c r="N980" s="33"/>
      <c r="O980" s="33"/>
      <c r="P980" s="33"/>
      <c r="Q980" s="28"/>
      <c r="R980" s="28"/>
      <c r="S980" s="28"/>
      <c r="T980" s="28"/>
      <c r="U980" s="28"/>
      <c r="V980" s="28"/>
      <c r="W980" s="28"/>
      <c r="X980" s="28"/>
      <c r="Y980" s="28"/>
      <c r="Z980" s="28"/>
      <c r="AA980" s="28"/>
    </row>
    <row r="981" ht="18.75" customHeight="1">
      <c r="A981" s="28"/>
      <c r="B981" s="28"/>
      <c r="C981" s="28"/>
      <c r="D981" s="28"/>
      <c r="E981" s="28"/>
      <c r="F981" s="28"/>
      <c r="G981" s="28"/>
      <c r="H981" s="28"/>
      <c r="I981" s="28"/>
      <c r="J981" s="28"/>
      <c r="K981" s="28"/>
      <c r="L981" s="28"/>
      <c r="M981" s="33"/>
      <c r="N981" s="33"/>
      <c r="O981" s="33"/>
      <c r="P981" s="33"/>
      <c r="Q981" s="28"/>
      <c r="R981" s="28"/>
      <c r="S981" s="28"/>
      <c r="T981" s="28"/>
      <c r="U981" s="28"/>
      <c r="V981" s="28"/>
      <c r="W981" s="28"/>
      <c r="X981" s="28"/>
      <c r="Y981" s="28"/>
      <c r="Z981" s="28"/>
      <c r="AA981" s="28"/>
    </row>
    <row r="982" ht="18.75" customHeight="1">
      <c r="A982" s="28"/>
      <c r="B982" s="28"/>
      <c r="C982" s="28"/>
      <c r="D982" s="28"/>
      <c r="E982" s="28"/>
      <c r="F982" s="28"/>
      <c r="G982" s="28"/>
      <c r="H982" s="28"/>
      <c r="I982" s="28"/>
      <c r="J982" s="28"/>
      <c r="K982" s="28"/>
      <c r="L982" s="28"/>
      <c r="M982" s="33"/>
      <c r="N982" s="33"/>
      <c r="O982" s="33"/>
      <c r="P982" s="33"/>
      <c r="Q982" s="28"/>
      <c r="R982" s="28"/>
      <c r="S982" s="28"/>
      <c r="T982" s="28"/>
      <c r="U982" s="28"/>
      <c r="V982" s="28"/>
      <c r="W982" s="28"/>
      <c r="X982" s="28"/>
      <c r="Y982" s="28"/>
      <c r="Z982" s="28"/>
      <c r="AA982" s="28"/>
    </row>
    <row r="983" ht="18.75" customHeight="1">
      <c r="A983" s="28"/>
      <c r="B983" s="28"/>
      <c r="C983" s="28"/>
      <c r="D983" s="28"/>
      <c r="E983" s="28"/>
      <c r="F983" s="28"/>
      <c r="G983" s="28"/>
      <c r="H983" s="28"/>
      <c r="I983" s="28"/>
      <c r="J983" s="28"/>
      <c r="K983" s="28"/>
      <c r="L983" s="28"/>
      <c r="M983" s="33"/>
      <c r="N983" s="33"/>
      <c r="O983" s="33"/>
      <c r="P983" s="33"/>
      <c r="Q983" s="28"/>
      <c r="R983" s="28"/>
      <c r="S983" s="28"/>
      <c r="T983" s="28"/>
      <c r="U983" s="28"/>
      <c r="V983" s="28"/>
      <c r="W983" s="28"/>
      <c r="X983" s="28"/>
      <c r="Y983" s="28"/>
      <c r="Z983" s="28"/>
      <c r="AA983" s="28"/>
    </row>
    <row r="984" ht="18.75" customHeight="1">
      <c r="A984" s="28"/>
      <c r="B984" s="28"/>
      <c r="C984" s="28"/>
      <c r="D984" s="28"/>
      <c r="E984" s="28"/>
      <c r="F984" s="28"/>
      <c r="G984" s="28"/>
      <c r="H984" s="28"/>
      <c r="I984" s="28"/>
      <c r="J984" s="28"/>
      <c r="K984" s="28"/>
      <c r="L984" s="28"/>
      <c r="M984" s="33"/>
      <c r="N984" s="33"/>
      <c r="O984" s="33"/>
      <c r="P984" s="33"/>
      <c r="Q984" s="28"/>
      <c r="R984" s="28"/>
      <c r="S984" s="28"/>
      <c r="T984" s="28"/>
      <c r="U984" s="28"/>
      <c r="V984" s="28"/>
      <c r="W984" s="28"/>
      <c r="X984" s="28"/>
      <c r="Y984" s="28"/>
      <c r="Z984" s="28"/>
      <c r="AA984" s="28"/>
    </row>
    <row r="985" ht="18.75" customHeight="1">
      <c r="A985" s="28"/>
      <c r="B985" s="28"/>
      <c r="C985" s="28"/>
      <c r="D985" s="28"/>
      <c r="E985" s="28"/>
      <c r="F985" s="28"/>
      <c r="G985" s="28"/>
      <c r="H985" s="28"/>
      <c r="I985" s="28"/>
      <c r="J985" s="28"/>
      <c r="K985" s="28"/>
      <c r="L985" s="28"/>
      <c r="M985" s="33"/>
      <c r="N985" s="33"/>
      <c r="O985" s="33"/>
      <c r="P985" s="33"/>
      <c r="Q985" s="28"/>
      <c r="R985" s="28"/>
      <c r="S985" s="28"/>
      <c r="T985" s="28"/>
      <c r="U985" s="28"/>
      <c r="V985" s="28"/>
      <c r="W985" s="28"/>
      <c r="X985" s="28"/>
      <c r="Y985" s="28"/>
      <c r="Z985" s="28"/>
      <c r="AA985" s="28"/>
    </row>
    <row r="986" ht="18.75" customHeight="1">
      <c r="A986" s="28"/>
      <c r="B986" s="28"/>
      <c r="C986" s="28"/>
      <c r="D986" s="28"/>
      <c r="E986" s="28"/>
      <c r="F986" s="28"/>
      <c r="G986" s="28"/>
      <c r="H986" s="28"/>
      <c r="I986" s="28"/>
      <c r="J986" s="28"/>
      <c r="K986" s="28"/>
      <c r="L986" s="28"/>
      <c r="M986" s="33"/>
      <c r="N986" s="33"/>
      <c r="O986" s="33"/>
      <c r="P986" s="33"/>
      <c r="Q986" s="28"/>
      <c r="R986" s="28"/>
      <c r="S986" s="28"/>
      <c r="T986" s="28"/>
      <c r="U986" s="28"/>
      <c r="V986" s="28"/>
      <c r="W986" s="28"/>
      <c r="X986" s="28"/>
      <c r="Y986" s="28"/>
      <c r="Z986" s="28"/>
      <c r="AA986" s="28"/>
    </row>
    <row r="987" ht="18.75" customHeight="1">
      <c r="A987" s="28"/>
      <c r="B987" s="28"/>
      <c r="C987" s="28"/>
      <c r="D987" s="28"/>
      <c r="E987" s="28"/>
      <c r="F987" s="28"/>
      <c r="G987" s="28"/>
      <c r="H987" s="28"/>
      <c r="I987" s="28"/>
      <c r="J987" s="28"/>
      <c r="K987" s="28"/>
      <c r="L987" s="28"/>
      <c r="M987" s="33"/>
      <c r="N987" s="33"/>
      <c r="O987" s="33"/>
      <c r="P987" s="33"/>
      <c r="Q987" s="28"/>
      <c r="R987" s="28"/>
      <c r="S987" s="28"/>
      <c r="T987" s="28"/>
      <c r="U987" s="28"/>
      <c r="V987" s="28"/>
      <c r="W987" s="28"/>
      <c r="X987" s="28"/>
      <c r="Y987" s="28"/>
      <c r="Z987" s="28"/>
      <c r="AA987" s="28"/>
    </row>
    <row r="988" ht="18.75" customHeight="1">
      <c r="A988" s="28"/>
      <c r="B988" s="28"/>
      <c r="C988" s="28"/>
      <c r="D988" s="28"/>
      <c r="E988" s="28"/>
      <c r="F988" s="28"/>
      <c r="G988" s="28"/>
      <c r="H988" s="28"/>
      <c r="I988" s="28"/>
      <c r="J988" s="28"/>
      <c r="K988" s="28"/>
      <c r="L988" s="28"/>
      <c r="M988" s="33"/>
      <c r="N988" s="33"/>
      <c r="O988" s="33"/>
      <c r="P988" s="33"/>
      <c r="Q988" s="28"/>
      <c r="R988" s="28"/>
      <c r="S988" s="28"/>
      <c r="T988" s="28"/>
      <c r="U988" s="28"/>
      <c r="V988" s="28"/>
      <c r="W988" s="28"/>
      <c r="X988" s="28"/>
      <c r="Y988" s="28"/>
      <c r="Z988" s="28"/>
      <c r="AA988" s="28"/>
    </row>
    <row r="989" ht="18.75" customHeight="1">
      <c r="A989" s="28"/>
      <c r="B989" s="28"/>
      <c r="C989" s="28"/>
      <c r="D989" s="28"/>
      <c r="E989" s="28"/>
      <c r="F989" s="28"/>
      <c r="G989" s="28"/>
      <c r="H989" s="28"/>
      <c r="I989" s="28"/>
      <c r="J989" s="28"/>
      <c r="K989" s="28"/>
      <c r="L989" s="28"/>
      <c r="M989" s="33"/>
      <c r="N989" s="33"/>
      <c r="O989" s="33"/>
      <c r="P989" s="33"/>
      <c r="Q989" s="28"/>
      <c r="R989" s="28"/>
      <c r="S989" s="28"/>
      <c r="T989" s="28"/>
      <c r="U989" s="28"/>
      <c r="V989" s="28"/>
      <c r="W989" s="28"/>
      <c r="X989" s="28"/>
      <c r="Y989" s="28"/>
      <c r="Z989" s="28"/>
      <c r="AA989" s="28"/>
    </row>
    <row r="990" ht="18.75" customHeight="1">
      <c r="A990" s="28"/>
      <c r="B990" s="28"/>
      <c r="C990" s="28"/>
      <c r="D990" s="28"/>
      <c r="E990" s="28"/>
      <c r="F990" s="28"/>
      <c r="G990" s="28"/>
      <c r="H990" s="28"/>
      <c r="I990" s="28"/>
      <c r="J990" s="28"/>
      <c r="K990" s="28"/>
      <c r="L990" s="28"/>
      <c r="M990" s="33"/>
      <c r="N990" s="33"/>
      <c r="O990" s="33"/>
      <c r="P990" s="33"/>
      <c r="Q990" s="28"/>
      <c r="R990" s="28"/>
      <c r="S990" s="28"/>
      <c r="T990" s="28"/>
      <c r="U990" s="28"/>
      <c r="V990" s="28"/>
      <c r="W990" s="28"/>
      <c r="X990" s="28"/>
      <c r="Y990" s="28"/>
      <c r="Z990" s="28"/>
      <c r="AA990" s="28"/>
    </row>
    <row r="991" ht="18.75" customHeight="1">
      <c r="A991" s="28"/>
      <c r="B991" s="28"/>
      <c r="C991" s="28"/>
      <c r="D991" s="28"/>
      <c r="E991" s="28"/>
      <c r="F991" s="28"/>
      <c r="G991" s="28"/>
      <c r="H991" s="28"/>
      <c r="I991" s="28"/>
      <c r="J991" s="28"/>
      <c r="K991" s="28"/>
      <c r="L991" s="28"/>
      <c r="M991" s="33"/>
      <c r="N991" s="33"/>
      <c r="O991" s="33"/>
      <c r="P991" s="33"/>
      <c r="Q991" s="28"/>
      <c r="R991" s="28"/>
      <c r="S991" s="28"/>
      <c r="T991" s="28"/>
      <c r="U991" s="28"/>
      <c r="V991" s="28"/>
      <c r="W991" s="28"/>
      <c r="X991" s="28"/>
      <c r="Y991" s="28"/>
      <c r="Z991" s="28"/>
      <c r="AA991" s="28"/>
    </row>
    <row r="992" ht="18.75" customHeight="1">
      <c r="A992" s="28"/>
      <c r="B992" s="28"/>
      <c r="C992" s="28"/>
      <c r="D992" s="28"/>
      <c r="E992" s="28"/>
      <c r="F992" s="28"/>
      <c r="G992" s="28"/>
      <c r="H992" s="28"/>
      <c r="I992" s="28"/>
      <c r="J992" s="28"/>
      <c r="K992" s="28"/>
      <c r="L992" s="28"/>
      <c r="M992" s="33"/>
      <c r="N992" s="33"/>
      <c r="O992" s="33"/>
      <c r="P992" s="33"/>
      <c r="Q992" s="28"/>
      <c r="R992" s="28"/>
      <c r="S992" s="28"/>
      <c r="T992" s="28"/>
      <c r="U992" s="28"/>
      <c r="V992" s="28"/>
      <c r="W992" s="28"/>
      <c r="X992" s="28"/>
      <c r="Y992" s="28"/>
      <c r="Z992" s="28"/>
      <c r="AA992" s="28"/>
    </row>
    <row r="993" ht="18.75" customHeight="1">
      <c r="A993" s="28"/>
      <c r="B993" s="28"/>
      <c r="C993" s="28"/>
      <c r="D993" s="28"/>
      <c r="E993" s="28"/>
      <c r="F993" s="28"/>
      <c r="G993" s="28"/>
      <c r="H993" s="28"/>
      <c r="I993" s="28"/>
      <c r="J993" s="28"/>
      <c r="K993" s="28"/>
      <c r="L993" s="28"/>
      <c r="M993" s="33"/>
      <c r="N993" s="33"/>
      <c r="O993" s="33"/>
      <c r="P993" s="33"/>
      <c r="Q993" s="28"/>
      <c r="R993" s="28"/>
      <c r="S993" s="28"/>
      <c r="T993" s="28"/>
      <c r="U993" s="28"/>
      <c r="V993" s="28"/>
      <c r="W993" s="28"/>
      <c r="X993" s="28"/>
      <c r="Y993" s="28"/>
      <c r="Z993" s="28"/>
      <c r="AA993" s="28"/>
    </row>
    <row r="994" ht="18.75" customHeight="1">
      <c r="A994" s="28"/>
      <c r="B994" s="28"/>
      <c r="C994" s="28"/>
      <c r="D994" s="28"/>
      <c r="E994" s="28"/>
      <c r="F994" s="28"/>
      <c r="G994" s="28"/>
      <c r="H994" s="28"/>
      <c r="I994" s="28"/>
      <c r="J994" s="28"/>
      <c r="K994" s="28"/>
      <c r="L994" s="28"/>
      <c r="M994" s="33"/>
      <c r="N994" s="33"/>
      <c r="O994" s="33"/>
      <c r="P994" s="33"/>
      <c r="Q994" s="28"/>
      <c r="R994" s="28"/>
      <c r="S994" s="28"/>
      <c r="T994" s="28"/>
      <c r="U994" s="28"/>
      <c r="V994" s="28"/>
      <c r="W994" s="28"/>
      <c r="X994" s="28"/>
      <c r="Y994" s="28"/>
      <c r="Z994" s="28"/>
      <c r="AA994" s="28"/>
    </row>
    <row r="995" ht="18.75" customHeight="1">
      <c r="A995" s="28"/>
      <c r="B995" s="28"/>
      <c r="C995" s="28"/>
      <c r="D995" s="28"/>
      <c r="E995" s="28"/>
      <c r="F995" s="28"/>
      <c r="G995" s="28"/>
      <c r="H995" s="28"/>
      <c r="I995" s="28"/>
      <c r="J995" s="28"/>
      <c r="K995" s="28"/>
      <c r="L995" s="28"/>
      <c r="M995" s="33"/>
      <c r="N995" s="33"/>
      <c r="O995" s="33"/>
      <c r="P995" s="33"/>
      <c r="Q995" s="28"/>
      <c r="R995" s="28"/>
      <c r="S995" s="28"/>
      <c r="T995" s="28"/>
      <c r="U995" s="28"/>
      <c r="V995" s="28"/>
      <c r="W995" s="28"/>
      <c r="X995" s="28"/>
      <c r="Y995" s="28"/>
      <c r="Z995" s="28"/>
      <c r="AA995" s="28"/>
    </row>
    <row r="996" ht="18.75" customHeight="1">
      <c r="A996" s="28"/>
      <c r="B996" s="28"/>
      <c r="C996" s="28"/>
      <c r="D996" s="28"/>
      <c r="E996" s="28"/>
      <c r="F996" s="28"/>
      <c r="G996" s="28"/>
      <c r="H996" s="28"/>
      <c r="I996" s="28"/>
      <c r="J996" s="28"/>
      <c r="K996" s="28"/>
      <c r="L996" s="28"/>
      <c r="M996" s="33"/>
      <c r="N996" s="33"/>
      <c r="O996" s="33"/>
      <c r="P996" s="33"/>
      <c r="Q996" s="28"/>
      <c r="R996" s="28"/>
      <c r="S996" s="28"/>
      <c r="T996" s="28"/>
      <c r="U996" s="28"/>
      <c r="V996" s="28"/>
      <c r="W996" s="28"/>
      <c r="X996" s="28"/>
      <c r="Y996" s="28"/>
      <c r="Z996" s="28"/>
      <c r="AA996" s="28"/>
    </row>
    <row r="997" ht="18.75" customHeight="1">
      <c r="A997" s="28"/>
      <c r="B997" s="28"/>
      <c r="C997" s="28"/>
      <c r="D997" s="28"/>
      <c r="E997" s="28"/>
      <c r="F997" s="28"/>
      <c r="G997" s="28"/>
      <c r="H997" s="28"/>
      <c r="I997" s="28"/>
      <c r="J997" s="28"/>
      <c r="K997" s="28"/>
      <c r="L997" s="28"/>
      <c r="M997" s="33"/>
      <c r="N997" s="33"/>
      <c r="O997" s="33"/>
      <c r="P997" s="33"/>
      <c r="Q997" s="28"/>
      <c r="R997" s="28"/>
      <c r="S997" s="28"/>
      <c r="T997" s="28"/>
      <c r="U997" s="28"/>
      <c r="V997" s="28"/>
      <c r="W997" s="28"/>
      <c r="X997" s="28"/>
      <c r="Y997" s="28"/>
      <c r="Z997" s="28"/>
      <c r="AA997" s="28"/>
    </row>
    <row r="998" ht="18.75" customHeight="1">
      <c r="A998" s="28"/>
      <c r="B998" s="28"/>
      <c r="C998" s="28"/>
      <c r="D998" s="28"/>
      <c r="E998" s="28"/>
      <c r="F998" s="28"/>
      <c r="G998" s="28"/>
      <c r="H998" s="28"/>
      <c r="I998" s="28"/>
      <c r="J998" s="28"/>
      <c r="K998" s="28"/>
      <c r="L998" s="28"/>
      <c r="M998" s="33"/>
      <c r="N998" s="33"/>
      <c r="O998" s="33"/>
      <c r="P998" s="33"/>
      <c r="Q998" s="28"/>
      <c r="R998" s="28"/>
      <c r="S998" s="28"/>
      <c r="T998" s="28"/>
      <c r="U998" s="28"/>
      <c r="V998" s="28"/>
      <c r="W998" s="28"/>
      <c r="X998" s="28"/>
      <c r="Y998" s="28"/>
      <c r="Z998" s="28"/>
      <c r="AA998" s="28"/>
    </row>
    <row r="999" ht="18.75" customHeight="1">
      <c r="A999" s="28"/>
      <c r="B999" s="28"/>
      <c r="C999" s="28"/>
      <c r="D999" s="28"/>
      <c r="E999" s="28"/>
      <c r="F999" s="28"/>
      <c r="G999" s="28"/>
      <c r="H999" s="28"/>
      <c r="I999" s="28"/>
      <c r="J999" s="28"/>
      <c r="K999" s="28"/>
      <c r="L999" s="28"/>
      <c r="M999" s="33"/>
      <c r="N999" s="33"/>
      <c r="O999" s="33"/>
      <c r="P999" s="33"/>
      <c r="Q999" s="28"/>
      <c r="R999" s="28"/>
      <c r="S999" s="28"/>
      <c r="T999" s="28"/>
      <c r="U999" s="28"/>
      <c r="V999" s="28"/>
      <c r="W999" s="28"/>
      <c r="X999" s="28"/>
      <c r="Y999" s="28"/>
      <c r="Z999" s="28"/>
      <c r="AA999" s="28"/>
    </row>
    <row r="1000" ht="18.75" customHeight="1">
      <c r="A1000" s="28"/>
      <c r="B1000" s="28"/>
      <c r="C1000" s="28"/>
      <c r="D1000" s="28"/>
      <c r="E1000" s="28"/>
      <c r="F1000" s="28"/>
      <c r="G1000" s="28"/>
      <c r="H1000" s="28"/>
      <c r="I1000" s="28"/>
      <c r="J1000" s="28"/>
      <c r="K1000" s="28"/>
      <c r="L1000" s="28"/>
      <c r="M1000" s="33"/>
      <c r="N1000" s="33"/>
      <c r="O1000" s="33"/>
      <c r="P1000" s="33"/>
      <c r="Q1000" s="28"/>
      <c r="R1000" s="28"/>
      <c r="S1000" s="28"/>
      <c r="T1000" s="28"/>
      <c r="U1000" s="28"/>
      <c r="V1000" s="28"/>
      <c r="W1000" s="28"/>
      <c r="X1000" s="28"/>
      <c r="Y1000" s="28"/>
      <c r="Z1000" s="28"/>
      <c r="AA1000" s="28"/>
    </row>
    <row r="1001" ht="18.75" customHeight="1">
      <c r="A1001" s="28"/>
      <c r="B1001" s="28"/>
      <c r="C1001" s="28"/>
      <c r="D1001" s="28"/>
      <c r="E1001" s="28"/>
      <c r="F1001" s="28"/>
      <c r="G1001" s="28"/>
      <c r="H1001" s="28"/>
      <c r="I1001" s="28"/>
      <c r="J1001" s="28"/>
      <c r="K1001" s="28"/>
      <c r="L1001" s="28"/>
      <c r="M1001" s="33"/>
      <c r="N1001" s="33"/>
      <c r="O1001" s="33"/>
      <c r="P1001" s="33"/>
      <c r="Q1001" s="28"/>
      <c r="R1001" s="28"/>
      <c r="S1001" s="28"/>
      <c r="T1001" s="28"/>
      <c r="U1001" s="28"/>
      <c r="V1001" s="28"/>
      <c r="W1001" s="28"/>
      <c r="X1001" s="28"/>
      <c r="Y1001" s="28"/>
      <c r="Z1001" s="28"/>
      <c r="AA1001" s="28"/>
    </row>
    <row r="1002" ht="18.75" customHeight="1">
      <c r="A1002" s="28"/>
      <c r="B1002" s="28"/>
      <c r="C1002" s="28"/>
      <c r="D1002" s="28"/>
      <c r="E1002" s="28"/>
      <c r="F1002" s="28"/>
      <c r="G1002" s="28"/>
      <c r="H1002" s="28"/>
      <c r="I1002" s="28"/>
      <c r="J1002" s="28"/>
      <c r="K1002" s="28"/>
      <c r="L1002" s="28"/>
      <c r="M1002" s="33"/>
      <c r="N1002" s="33"/>
      <c r="O1002" s="33"/>
      <c r="P1002" s="33"/>
      <c r="Q1002" s="28"/>
      <c r="R1002" s="28"/>
      <c r="S1002" s="28"/>
      <c r="T1002" s="28"/>
      <c r="U1002" s="28"/>
      <c r="V1002" s="28"/>
      <c r="W1002" s="28"/>
      <c r="X1002" s="28"/>
      <c r="Y1002" s="28"/>
      <c r="Z1002" s="28"/>
      <c r="AA1002" s="28"/>
    </row>
    <row r="1003" ht="18.75" customHeight="1">
      <c r="A1003" s="28"/>
      <c r="B1003" s="28"/>
      <c r="C1003" s="28"/>
      <c r="D1003" s="28"/>
      <c r="E1003" s="28"/>
      <c r="F1003" s="28"/>
      <c r="G1003" s="28"/>
      <c r="H1003" s="28"/>
      <c r="I1003" s="28"/>
      <c r="J1003" s="28"/>
      <c r="K1003" s="28"/>
      <c r="L1003" s="28"/>
      <c r="M1003" s="33"/>
      <c r="N1003" s="33"/>
      <c r="O1003" s="33"/>
      <c r="P1003" s="33"/>
      <c r="Q1003" s="28"/>
      <c r="R1003" s="28"/>
      <c r="S1003" s="28"/>
      <c r="T1003" s="28"/>
      <c r="U1003" s="28"/>
      <c r="V1003" s="28"/>
      <c r="W1003" s="28"/>
      <c r="X1003" s="28"/>
      <c r="Y1003" s="28"/>
      <c r="Z1003" s="28"/>
      <c r="AA1003" s="28"/>
    </row>
    <row r="1004" ht="18.75" customHeight="1">
      <c r="A1004" s="28"/>
      <c r="B1004" s="28"/>
      <c r="C1004" s="28"/>
      <c r="D1004" s="28"/>
      <c r="E1004" s="28"/>
      <c r="F1004" s="28"/>
      <c r="G1004" s="28"/>
      <c r="H1004" s="28"/>
      <c r="I1004" s="28"/>
      <c r="J1004" s="28"/>
      <c r="K1004" s="28"/>
      <c r="L1004" s="28"/>
      <c r="M1004" s="33"/>
      <c r="N1004" s="33"/>
      <c r="O1004" s="33"/>
      <c r="P1004" s="33"/>
      <c r="Q1004" s="28"/>
      <c r="R1004" s="28"/>
      <c r="S1004" s="28"/>
      <c r="T1004" s="28"/>
      <c r="U1004" s="28"/>
      <c r="V1004" s="28"/>
      <c r="W1004" s="28"/>
      <c r="X1004" s="28"/>
      <c r="Y1004" s="28"/>
      <c r="Z1004" s="28"/>
      <c r="AA1004" s="28"/>
    </row>
    <row r="1005" ht="18.75" customHeight="1">
      <c r="A1005" s="28"/>
      <c r="B1005" s="28"/>
      <c r="C1005" s="28"/>
      <c r="D1005" s="28"/>
      <c r="E1005" s="28"/>
      <c r="F1005" s="28"/>
      <c r="G1005" s="28"/>
      <c r="H1005" s="28"/>
      <c r="I1005" s="28"/>
      <c r="J1005" s="28"/>
      <c r="K1005" s="28"/>
      <c r="L1005" s="28"/>
      <c r="M1005" s="33"/>
      <c r="N1005" s="33"/>
      <c r="O1005" s="33"/>
      <c r="P1005" s="33"/>
      <c r="Q1005" s="28"/>
      <c r="R1005" s="28"/>
      <c r="S1005" s="28"/>
      <c r="T1005" s="28"/>
      <c r="U1005" s="28"/>
      <c r="V1005" s="28"/>
      <c r="W1005" s="28"/>
      <c r="X1005" s="28"/>
      <c r="Y1005" s="28"/>
      <c r="Z1005" s="28"/>
      <c r="AA1005" s="28"/>
    </row>
  </sheetData>
  <mergeCells count="96">
    <mergeCell ref="A48:B48"/>
    <mergeCell ref="A49:B49"/>
    <mergeCell ref="A50:B50"/>
    <mergeCell ref="A51:B51"/>
    <mergeCell ref="A52:E52"/>
    <mergeCell ref="B53:E53"/>
    <mergeCell ref="B54:E54"/>
    <mergeCell ref="B55:E55"/>
    <mergeCell ref="B56:E56"/>
    <mergeCell ref="B57:E57"/>
    <mergeCell ref="B58:E58"/>
    <mergeCell ref="B59:E59"/>
    <mergeCell ref="B60:E60"/>
    <mergeCell ref="B61:E61"/>
    <mergeCell ref="B62:E62"/>
    <mergeCell ref="B63:E63"/>
    <mergeCell ref="B64:E64"/>
    <mergeCell ref="B65:E65"/>
    <mergeCell ref="B66:E66"/>
    <mergeCell ref="B67:E67"/>
    <mergeCell ref="B68:E68"/>
    <mergeCell ref="B69:E69"/>
    <mergeCell ref="B70:E70"/>
    <mergeCell ref="B71:E71"/>
    <mergeCell ref="B72:E72"/>
    <mergeCell ref="B73:E73"/>
    <mergeCell ref="B74:E74"/>
    <mergeCell ref="B75:E75"/>
    <mergeCell ref="B76:E76"/>
    <mergeCell ref="B77:E77"/>
    <mergeCell ref="B78:E78"/>
    <mergeCell ref="B79:E79"/>
    <mergeCell ref="B80:E80"/>
    <mergeCell ref="B81:E81"/>
    <mergeCell ref="B82:E82"/>
    <mergeCell ref="A95:B95"/>
    <mergeCell ref="A96:B96"/>
    <mergeCell ref="A97:B97"/>
    <mergeCell ref="A98:B98"/>
    <mergeCell ref="A99:B99"/>
    <mergeCell ref="A86:E86"/>
    <mergeCell ref="A87:B87"/>
    <mergeCell ref="A88:B88"/>
    <mergeCell ref="A89:B89"/>
    <mergeCell ref="A90:B90"/>
    <mergeCell ref="A91:B91"/>
    <mergeCell ref="A94:E94"/>
    <mergeCell ref="A1:E1"/>
    <mergeCell ref="M1:P1"/>
    <mergeCell ref="A2:E2"/>
    <mergeCell ref="M2:P2"/>
    <mergeCell ref="A3:B3"/>
    <mergeCell ref="A4:B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E30"/>
    <mergeCell ref="A31:B31"/>
    <mergeCell ref="A32:B32"/>
    <mergeCell ref="A33:B33"/>
    <mergeCell ref="A34:B34"/>
    <mergeCell ref="A35:B35"/>
    <mergeCell ref="A36:B36"/>
    <mergeCell ref="A37:B37"/>
    <mergeCell ref="A38:B38"/>
    <mergeCell ref="A39:B39"/>
    <mergeCell ref="A40:B40"/>
    <mergeCell ref="A41:B41"/>
    <mergeCell ref="A42:B42"/>
    <mergeCell ref="A43:B43"/>
    <mergeCell ref="A44:B44"/>
    <mergeCell ref="A45:B45"/>
    <mergeCell ref="A46:B46"/>
    <mergeCell ref="A47:B47"/>
  </mergeCells>
  <conditionalFormatting sqref="B54:E81">
    <cfRule type="cellIs" dxfId="2" priority="1" stopIfTrue="1" operator="greaterThan">
      <formula>0</formula>
    </cfRule>
  </conditionalFormatting>
  <conditionalFormatting sqref="B54:E81">
    <cfRule type="cellIs" dxfId="1" priority="2" stopIfTrue="1" operator="lessThan">
      <formula>0</formula>
    </cfRule>
  </conditionalFormatting>
  <conditionalFormatting sqref="P22:P26">
    <cfRule type="cellIs" dxfId="2" priority="3" stopIfTrue="1" operator="greaterThan">
      <formula>0</formula>
    </cfRule>
  </conditionalFormatting>
  <conditionalFormatting sqref="P22:P26">
    <cfRule type="cellIs" dxfId="1" priority="4" stopIfTrue="1" operator="lessThan">
      <formula>0</formula>
    </cfRule>
  </conditionalFormatting>
  <conditionalFormatting sqref="P27:P28">
    <cfRule type="cellIs" dxfId="1" priority="5" stopIfTrue="1" operator="greaterThan">
      <formula>0</formula>
    </cfRule>
  </conditionalFormatting>
  <conditionalFormatting sqref="P27:P28">
    <cfRule type="cellIs" dxfId="2" priority="6" stopIfTrue="1" operator="lessThan">
      <formula>0</formula>
    </cfRule>
  </conditionalFormatting>
  <drawing r:id="rId1"/>
</worksheet>
</file>